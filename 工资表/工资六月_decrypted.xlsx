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 tabRatio="930" firstSheet="10" activeTab="1"/>
  </bookViews>
  <sheets>
    <sheet name="Summary" sheetId="100" r:id="rId1"/>
    <sheet name="薪酬明细" sheetId="2" r:id="rId2"/>
    <sheet name="Sheet3" sheetId="61" state="hidden" r:id="rId3"/>
    <sheet name="HR|社保明细" sheetId="4" r:id="rId4"/>
    <sheet name="点才基数调整" sheetId="54" state="hidden" r:id="rId5"/>
    <sheet name="HR|社保政策" sheetId="6" r:id="rId6"/>
    <sheet name="hr.个税累计数据" sheetId="39" r:id="rId7"/>
    <sheet name="考勤调整记录" sheetId="129" r:id="rId8"/>
    <sheet name="考勤vlookup工具" sheetId="249" r:id="rId9"/>
    <sheet name="2026年6月考勤汇总" sheetId="315" r:id="rId10"/>
    <sheet name="2026年5月考勤汇总" sheetId="312" r:id="rId11"/>
    <sheet name="天津5月服务费" sheetId="314" r:id="rId12"/>
    <sheet name="透视表-按部门" sheetId="107" r:id="rId13"/>
    <sheet name="透视表-按公司" sheetId="108" r:id="rId14"/>
    <sheet name="Sheet1" sheetId="283" r:id="rId15"/>
  </sheets>
  <definedNames>
    <definedName name="_xlnm._FilterDatabase" localSheetId="1" hidden="1">薪酬明细!$A$9:$CD$159</definedName>
    <definedName name="_xlnm._FilterDatabase" localSheetId="3" hidden="1">'HR|社保明细'!$A$2:$AZ$120</definedName>
    <definedName name="_xlnm._FilterDatabase" localSheetId="5" hidden="1">'HR|社保政策'!$A$1:$P$24</definedName>
    <definedName name="_xlnm._FilterDatabase" localSheetId="6" hidden="1">hr.个税累计数据!$A$3:$DX$125</definedName>
    <definedName name="_xlnm._FilterDatabase" localSheetId="7" hidden="1">考勤调整记录!$A$3:$AI$97</definedName>
    <definedName name="_xlnm._FilterDatabase" localSheetId="8" hidden="1">考勤vlookup工具!$A$1:$AQ$110</definedName>
    <definedName name="_xlnm._FilterDatabase" localSheetId="9" hidden="1">'2026年6月考勤汇总'!$A$3:$T$83</definedName>
    <definedName name="_xlnm._FilterDatabase" localSheetId="10" hidden="1">'2026年5月考勤汇总'!$A$3:$T$77</definedName>
    <definedName name="_xlnm._FilterDatabase" localSheetId="11" hidden="1">天津5月服务费!$A$2:$G$17</definedName>
    <definedName name="_xlnm._FilterDatabase" localSheetId="14" hidden="1">Sheet1!$B$2:$BQ$172</definedName>
    <definedName name="Pay">#REF!</definedName>
    <definedName name="Payments">#REF!</definedName>
    <definedName name="pick">#REF!</definedName>
    <definedName name="_xlnm.Print_Area" localSheetId="0">Summary!$B$1:$L$61</definedName>
    <definedName name="_xlnm.Print_Area" localSheetId="1">薪酬明细!$B$1:$AG$167</definedName>
    <definedName name="_xlnm.Print_Titles" localSheetId="0">Summary!$1:$6</definedName>
    <definedName name="_xlnm.Print_Titles" localSheetId="1">薪酬明细!$1:$9</definedName>
    <definedName name="Status">#REF!</definedName>
    <definedName name="Type">#REF!</definedName>
    <definedName name="Pay" localSheetId="7">#REF!</definedName>
    <definedName name="Payments" localSheetId="7">#REF!</definedName>
    <definedName name="pick" localSheetId="7">#REF!</definedName>
    <definedName name="Status" localSheetId="7">#REF!</definedName>
    <definedName name="Type" localSheetId="7">#REF!</definedName>
    <definedName name="切片器_月份">#N/A</definedName>
    <definedName name="may">#REF!</definedName>
    <definedName name="结果">#REF!</definedName>
    <definedName name="每日">#REF!</definedName>
    <definedName name="我">#REF!</definedName>
    <definedName name="Pay" localSheetId="8">#REF!</definedName>
    <definedName name="Payments" localSheetId="8">#REF!</definedName>
    <definedName name="pick" localSheetId="8">#REF!</definedName>
    <definedName name="Status" localSheetId="8">#REF!</definedName>
    <definedName name="Type" localSheetId="8">#REF!</definedName>
    <definedName name="may" localSheetId="8">#REF!</definedName>
    <definedName name="结果" localSheetId="8">#REF!</definedName>
    <definedName name="每日" localSheetId="8">#REF!</definedName>
    <definedName name="我" localSheetId="8">#REF!</definedName>
    <definedName name="_xlnm.Print_Area" localSheetId="10">'2026年5月考勤汇总'!$I$4:$I$7</definedName>
    <definedName name="_xlnm.Print_Area" localSheetId="9">'2026年6月考勤汇总'!$I$4:$I$7</definedName>
  </definedNames>
  <calcPr calcId="191029"/>
  <pivotCaches>
    <pivotCache cacheId="0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22926</author>
  </authors>
  <commentList>
    <comment ref="K6" authorId="0">
      <text>
        <r>
          <rPr>
            <sz val="9"/>
            <rFont val="宋体"/>
            <charset val="134"/>
          </rPr>
          <t xml:space="preserve">
单独展现，已含在企业人力成本总计之中</t>
        </r>
      </text>
    </comment>
    <comment ref="L6" authorId="0">
      <text>
        <r>
          <rPr>
            <sz val="9"/>
            <rFont val="宋体"/>
            <charset val="134"/>
          </rPr>
          <t xml:space="preserve">
单独展现，已含在实发中</t>
        </r>
      </text>
    </comment>
    <comment ref="K37" authorId="0">
      <text>
        <r>
          <rPr>
            <sz val="9"/>
            <rFont val="宋体"/>
            <charset val="134"/>
          </rPr>
          <t xml:space="preserve">
单独展现，已含在企业人力成本总计之中</t>
        </r>
      </text>
    </comment>
    <comment ref="L37" authorId="0">
      <text>
        <r>
          <rPr>
            <sz val="9"/>
            <rFont val="宋体"/>
            <charset val="134"/>
          </rPr>
          <t xml:space="preserve">
单独展现，已含在实发中</t>
        </r>
      </text>
    </comment>
  </commentList>
</comments>
</file>

<file path=xl/comments2.xml><?xml version="1.0" encoding="utf-8"?>
<comments xmlns="http://schemas.openxmlformats.org/spreadsheetml/2006/main">
  <authors>
    <author>22926</author>
  </authors>
  <commentList>
    <comment ref="N9" authorId="0">
      <text>
        <r>
          <rPr>
            <sz val="11"/>
            <rFont val="宋体"/>
            <charset val="134"/>
          </rPr>
          <t>用于个税计算</t>
        </r>
      </text>
    </comment>
    <comment ref="R63" authorId="0">
      <text>
        <r>
          <rPr>
            <sz val="9"/>
            <rFont val="宋体"/>
            <charset val="134"/>
          </rPr>
          <t xml:space="preserve">不做实发
</t>
        </r>
      </text>
    </comment>
    <comment ref="R67" authorId="0">
      <text>
        <r>
          <rPr>
            <sz val="9"/>
            <rFont val="宋体"/>
            <charset val="134"/>
          </rPr>
          <t xml:space="preserve">研究院工资在香港发
</t>
        </r>
      </text>
    </comment>
    <comment ref="R80" authorId="0">
      <text>
        <r>
          <rPr>
            <sz val="9"/>
            <rFont val="宋体"/>
            <charset val="134"/>
          </rPr>
          <t>独生子女费</t>
        </r>
      </text>
    </comment>
    <comment ref="R95" authorId="0">
      <text>
        <r>
          <rPr>
            <sz val="9"/>
            <rFont val="宋体"/>
            <charset val="134"/>
          </rPr>
          <t xml:space="preserve">加班费2400，岗位津贴900
</t>
        </r>
      </text>
    </comment>
    <comment ref="R96" authorId="0">
      <text>
        <r>
          <rPr>
            <sz val="9"/>
            <rFont val="宋体"/>
            <charset val="134"/>
          </rPr>
          <t xml:space="preserve">加班费2400，岗位津贴900
</t>
        </r>
      </text>
    </comment>
    <comment ref="R97" authorId="0">
      <text>
        <r>
          <rPr>
            <sz val="9"/>
            <rFont val="宋体"/>
            <charset val="134"/>
          </rPr>
          <t xml:space="preserve">加班费2400，岗位津贴900
</t>
        </r>
      </text>
    </comment>
    <comment ref="R98" authorId="0">
      <text>
        <r>
          <rPr>
            <sz val="9"/>
            <rFont val="宋体"/>
            <charset val="134"/>
          </rPr>
          <t xml:space="preserve">加班费2400，岗位津贴900
</t>
        </r>
      </text>
    </comment>
    <comment ref="O132" authorId="0">
      <text>
        <r>
          <rPr>
            <b/>
            <sz val="9"/>
            <rFont val="宋体"/>
            <charset val="134"/>
          </rPr>
          <t>到手1400元每月</t>
        </r>
      </text>
    </comment>
    <comment ref="O159" authorId="0">
      <text>
        <r>
          <rPr>
            <sz val="9"/>
            <rFont val="宋体"/>
            <charset val="134"/>
          </rPr>
          <t>含1000法人补贴</t>
        </r>
      </text>
    </comment>
  </commentList>
</comments>
</file>

<file path=xl/comments3.xml><?xml version="1.0" encoding="utf-8"?>
<comments xmlns="http://schemas.openxmlformats.org/spreadsheetml/2006/main">
  <authors>
    <author>22926</author>
  </authors>
  <commentList>
    <comment ref="I47" authorId="0">
      <text>
        <r>
          <rPr>
            <sz val="9"/>
            <rFont val="宋体"/>
            <charset val="134"/>
          </rPr>
          <t xml:space="preserve">1/4/7/10每月21元大额保险，其余每月22元
</t>
        </r>
      </text>
    </comment>
    <comment ref="I49" authorId="0">
      <text>
        <r>
          <rPr>
            <sz val="9"/>
            <rFont val="宋体"/>
            <charset val="134"/>
          </rPr>
          <t xml:space="preserve">1/4/7/10每月21元大额保险，其余每月22元
</t>
        </r>
      </text>
    </comment>
    <comment ref="I50" authorId="0">
      <text>
        <r>
          <rPr>
            <sz val="9"/>
            <rFont val="宋体"/>
            <charset val="134"/>
          </rPr>
          <t xml:space="preserve">1/4/7/10每月21元大额保险，其余每月22元
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p</author>
  </authors>
  <commentList>
    <comment ref="I10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按出勤日计算出差津贴
</t>
        </r>
      </text>
    </comment>
    <comment ref="I1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按出勤日计算出差津贴</t>
        </r>
      </text>
    </comment>
    <comment ref="I42" authorId="1">
      <text>
        <r>
          <rPr>
            <b/>
            <sz val="9"/>
            <rFont val="宋体"/>
            <charset val="134"/>
          </rPr>
          <t>p:</t>
        </r>
        <r>
          <rPr>
            <sz val="9"/>
            <rFont val="宋体"/>
            <charset val="134"/>
          </rPr>
          <t xml:space="preserve">
周六加班算工资</t>
        </r>
      </text>
    </comment>
    <comment ref="I62" authorId="1">
      <text>
        <r>
          <rPr>
            <b/>
            <sz val="9"/>
            <rFont val="宋体"/>
            <charset val="134"/>
          </rPr>
          <t>p:</t>
        </r>
        <r>
          <rPr>
            <sz val="9"/>
            <rFont val="宋体"/>
            <charset val="134"/>
          </rPr>
          <t xml:space="preserve">
四点后算工资</t>
        </r>
      </text>
    </comment>
  </commentList>
</comments>
</file>

<file path=xl/comments5.xml><?xml version="1.0" encoding="utf-8"?>
<comments xmlns="http://schemas.openxmlformats.org/spreadsheetml/2006/main">
  <authors>
    <author>p</author>
  </authors>
  <commentList>
    <comment ref="I7" authorId="0">
      <text>
        <r>
          <rPr>
            <b/>
            <sz val="9"/>
            <rFont val="宋体"/>
            <charset val="134"/>
          </rPr>
          <t>p:</t>
        </r>
        <r>
          <rPr>
            <sz val="9"/>
            <rFont val="宋体"/>
            <charset val="134"/>
          </rPr>
          <t xml:space="preserve">
四点钟算工资</t>
        </r>
      </text>
    </comment>
    <comment ref="I41" authorId="0">
      <text>
        <r>
          <rPr>
            <b/>
            <sz val="9"/>
            <rFont val="宋体"/>
            <charset val="134"/>
          </rPr>
          <t>p:</t>
        </r>
        <r>
          <rPr>
            <sz val="9"/>
            <rFont val="宋体"/>
            <charset val="134"/>
          </rPr>
          <t xml:space="preserve">
周六加班算工资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<sst xmlns="http://schemas.openxmlformats.org/spreadsheetml/2006/main" count="6012" uniqueCount="961">
  <si>
    <t>FY2026年6月度Payroll薪酬表</t>
  </si>
  <si>
    <t>HRO｜开弈集团</t>
  </si>
  <si>
    <t>元/年</t>
  </si>
  <si>
    <t>账期：202606</t>
  </si>
  <si>
    <t>h=d+c+b+e+f1</t>
  </si>
  <si>
    <t>d</t>
  </si>
  <si>
    <t>c</t>
  </si>
  <si>
    <t>b</t>
  </si>
  <si>
    <t>e</t>
  </si>
  <si>
    <t>f1</t>
  </si>
  <si>
    <t>元/月</t>
  </si>
  <si>
    <t>每月固定部分</t>
  </si>
  <si>
    <t>福利费</t>
  </si>
  <si>
    <t>成本中心(BU)</t>
  </si>
  <si>
    <t>企业人力成本总计</t>
  </si>
  <si>
    <t>实收工资</t>
  </si>
  <si>
    <t>个人所得税</t>
  </si>
  <si>
    <t>法定社会保险
（公司成本）</t>
  </si>
  <si>
    <t>法定社会保险
（代扣个人）</t>
  </si>
  <si>
    <t>绩效&amp;佣金合计&amp;津贴</t>
  </si>
  <si>
    <t>已包含
考勤调整</t>
  </si>
  <si>
    <t>商业保险（公司成本）</t>
  </si>
  <si>
    <t>预提福利费</t>
  </si>
  <si>
    <t>集团IIT</t>
  </si>
  <si>
    <t>G-集团管理层</t>
  </si>
  <si>
    <t>G-Jenny-家庭</t>
  </si>
  <si>
    <t>G-香港办</t>
  </si>
  <si>
    <t>G-管培生</t>
  </si>
  <si>
    <t>G-时代人才</t>
  </si>
  <si>
    <t>F-大财务部</t>
  </si>
  <si>
    <t>F-账务部</t>
  </si>
  <si>
    <t>公司费用-待结算&amp;法人&amp;智名</t>
  </si>
  <si>
    <t>靠普</t>
  </si>
  <si>
    <t>Shaun-客服部</t>
  </si>
  <si>
    <t>Shaun-外地</t>
  </si>
  <si>
    <t>Shaun-雇员服务部</t>
  </si>
  <si>
    <t>HRO服务-公司销售部</t>
  </si>
  <si>
    <t>HRO服务-代收代付残疾人</t>
  </si>
  <si>
    <t>公寓</t>
  </si>
  <si>
    <t>园区-公寓&amp;企业服务部</t>
  </si>
  <si>
    <t>办公</t>
  </si>
  <si>
    <t>园区-商办&amp;企业服务</t>
  </si>
  <si>
    <t>大后台</t>
  </si>
  <si>
    <t>C-大后台-行政</t>
  </si>
  <si>
    <t>C-大后台-法务</t>
  </si>
  <si>
    <t>C-大后台-人事</t>
  </si>
  <si>
    <t>老龙</t>
  </si>
  <si>
    <t>老龙馄饨</t>
  </si>
  <si>
    <t>物业</t>
  </si>
  <si>
    <t>物业管理部</t>
  </si>
  <si>
    <t>物业维修部</t>
  </si>
  <si>
    <t>物业保安部</t>
  </si>
  <si>
    <t>物业保洁部</t>
  </si>
  <si>
    <t>物业外包保安</t>
  </si>
  <si>
    <t>小计</t>
  </si>
  <si>
    <t>发薪公司</t>
  </si>
  <si>
    <t>开弈人才系</t>
  </si>
  <si>
    <t>开弈信息</t>
  </si>
  <si>
    <t>开弈中国</t>
  </si>
  <si>
    <t>开弈中国-美元</t>
  </si>
  <si>
    <t>开弈人才</t>
  </si>
  <si>
    <t>开弈人力资源</t>
  </si>
  <si>
    <t>开弈企业外包</t>
  </si>
  <si>
    <t>靠普人力</t>
  </si>
  <si>
    <t>开博人才</t>
  </si>
  <si>
    <t>弈享天津</t>
  </si>
  <si>
    <t>北京点才</t>
  </si>
  <si>
    <t>天津英才</t>
  </si>
  <si>
    <t>智名信息</t>
  </si>
  <si>
    <t>深圳和弈</t>
  </si>
  <si>
    <t>开弈投资系</t>
  </si>
  <si>
    <t>开弈投资</t>
  </si>
  <si>
    <t>弈工分信息</t>
  </si>
  <si>
    <t>弈工分健康</t>
  </si>
  <si>
    <t>弈工分健康（外包保安）</t>
  </si>
  <si>
    <t>人力资源研究院</t>
  </si>
  <si>
    <t>弈工分文化</t>
  </si>
  <si>
    <t>微芮洺</t>
  </si>
  <si>
    <t>时代人才</t>
  </si>
  <si>
    <t>老龙馄饨-灵工</t>
  </si>
  <si>
    <t>总计</t>
  </si>
  <si>
    <t>薪资汇总表</t>
  </si>
  <si>
    <t>审核时间</t>
  </si>
  <si>
    <t>考勤统计表</t>
  </si>
  <si>
    <t>a1</t>
  </si>
  <si>
    <t>基本薪资:</t>
  </si>
  <si>
    <t>求职申请表（劳动劳务合同）、员工流动表；a1'待完成手续；</t>
  </si>
  <si>
    <t>本月工资：</t>
  </si>
  <si>
    <t>计税部分合计</t>
  </si>
  <si>
    <t>组织管理</t>
  </si>
  <si>
    <t>人事档案&amp;人事信息统计表</t>
  </si>
  <si>
    <t>执行责任人</t>
  </si>
  <si>
    <t>员工福利</t>
  </si>
  <si>
    <t>-时期</t>
  </si>
  <si>
    <t>2026/6/1-2026/6/30</t>
  </si>
  <si>
    <t>-考勤周期</t>
  </si>
  <si>
    <t>a2</t>
  </si>
  <si>
    <r>
      <rPr>
        <b/>
        <sz val="11"/>
        <rFont val="SimSun"/>
        <charset val="134"/>
      </rPr>
      <t>考勤调整</t>
    </r>
    <r>
      <rPr>
        <b/>
        <sz val="11"/>
        <rFont val="Heiti SC Light"/>
        <charset val="134"/>
      </rPr>
      <t>：</t>
    </r>
  </si>
  <si>
    <t>调整天数来自考勤统计表；</t>
  </si>
  <si>
    <r>
      <rPr>
        <b/>
        <sz val="11"/>
        <rFont val="Heiti SC Light"/>
        <charset val="134"/>
      </rPr>
      <t>KPI</t>
    </r>
    <r>
      <rPr>
        <b/>
        <sz val="11"/>
        <rFont val="宋体"/>
        <charset val="134"/>
      </rPr>
      <t>：</t>
    </r>
  </si>
  <si>
    <t>KPI</t>
  </si>
  <si>
    <t>-人事任命书</t>
  </si>
  <si>
    <t>-人事信息统计表</t>
  </si>
  <si>
    <t>✅</t>
  </si>
  <si>
    <t>发薪</t>
  </si>
  <si>
    <t>黄欢欢</t>
  </si>
  <si>
    <t>行业保险补充医疗</t>
  </si>
  <si>
    <t>-考勤责任人</t>
  </si>
  <si>
    <t>黄燕婷</t>
  </si>
  <si>
    <t>2日发出</t>
  </si>
  <si>
    <t>-考勤制表</t>
  </si>
  <si>
    <t>a3</t>
  </si>
  <si>
    <t>高温费：</t>
  </si>
  <si>
    <t>根据当地政策；含天津历史遗留问题；</t>
  </si>
  <si>
    <t>离职补偿金/年终奖金：</t>
  </si>
  <si>
    <t>根据离职解除协议约定/年终奖公司核算审批额</t>
  </si>
  <si>
    <r>
      <rPr>
        <b/>
        <sz val="11"/>
        <rFont val="Cambria"/>
        <charset val="134"/>
      </rPr>
      <t>-</t>
    </r>
    <r>
      <rPr>
        <b/>
        <sz val="11"/>
        <rFont val="SimSun"/>
        <charset val="134"/>
      </rPr>
      <t>部门架构发起</t>
    </r>
  </si>
  <si>
    <t>-薪酬工资表</t>
  </si>
  <si>
    <t>报税</t>
  </si>
  <si>
    <t>高管健康管理保险</t>
  </si>
  <si>
    <t>-HR责任人</t>
  </si>
  <si>
    <t>黄一萧</t>
  </si>
  <si>
    <t>3日发出</t>
  </si>
  <si>
    <t>-HR审核人</t>
  </si>
  <si>
    <t>a4</t>
  </si>
  <si>
    <t>补差补扣：</t>
  </si>
  <si>
    <t>HR与员工签订申请合约所约定委托代扣部分；</t>
  </si>
  <si>
    <t>特殊员工发：</t>
  </si>
  <si>
    <t>开弈人才报销通道发放</t>
  </si>
  <si>
    <t>-组织架构图</t>
  </si>
  <si>
    <t>-人事档案管理</t>
  </si>
  <si>
    <t>工资单</t>
  </si>
  <si>
    <t>节日津贴（端午/中秋/春节年会/三八/六一）</t>
  </si>
  <si>
    <t>-公司终审批人</t>
  </si>
  <si>
    <t>张毅</t>
  </si>
  <si>
    <t>收到文件+2工作日</t>
  </si>
  <si>
    <t>a61</t>
  </si>
  <si>
    <t>KPI预提：</t>
  </si>
  <si>
    <t>KPI部分预提，KPI结算时减除；</t>
  </si>
  <si>
    <t>薪资小计：</t>
  </si>
  <si>
    <t>本月薪资汇总</t>
  </si>
  <si>
    <t>-相关内部合规审批权限表统筹管理</t>
  </si>
  <si>
    <t>-人事档案薪酬数据文档抄送</t>
  </si>
  <si>
    <t>社保/公积金</t>
  </si>
  <si>
    <t>生日/婚丧孕</t>
  </si>
  <si>
    <t>-发放工资单</t>
  </si>
  <si>
    <t>黄欢欢验证工资数据源文件代发工资单</t>
  </si>
  <si>
    <t>3个工作日</t>
  </si>
  <si>
    <t>-相关信息通知到各个部门</t>
  </si>
  <si>
    <t>福利费申请</t>
  </si>
  <si>
    <t>特殊帮助福利</t>
  </si>
  <si>
    <t>a+e+f</t>
  </si>
  <si>
    <t>d=a-b-c-c1+sum(g)</t>
  </si>
  <si>
    <t>a1'</t>
  </si>
  <si>
    <t>a5</t>
  </si>
  <si>
    <t>a6</t>
  </si>
  <si>
    <t>a0=sum(a1..a61)</t>
  </si>
  <si>
    <t>a75</t>
  </si>
  <si>
    <r>
      <rPr>
        <b/>
        <sz val="11"/>
        <color rgb="FFFF0000"/>
        <rFont val="Arial"/>
        <charset val="134"/>
      </rPr>
      <t>a=sum</t>
    </r>
    <r>
      <rPr>
        <b/>
        <sz val="11"/>
        <color rgb="FFFF0000"/>
        <rFont val="宋体"/>
        <charset val="134"/>
      </rPr>
      <t>（</t>
    </r>
    <r>
      <rPr>
        <b/>
        <sz val="11"/>
        <color rgb="FFFF0000"/>
        <rFont val="Arial"/>
        <charset val="134"/>
      </rPr>
      <t>a71..a8)</t>
    </r>
  </si>
  <si>
    <t>b1</t>
  </si>
  <si>
    <t>b2</t>
  </si>
  <si>
    <t>b3</t>
  </si>
  <si>
    <t>b4</t>
  </si>
  <si>
    <t>b5</t>
  </si>
  <si>
    <t>b=sum(b1..b5)</t>
  </si>
  <si>
    <t>a0-b</t>
  </si>
  <si>
    <t>c1</t>
  </si>
  <si>
    <t>g1</t>
  </si>
  <si>
    <t>g2</t>
  </si>
  <si>
    <t>h=a0-b-c-c1+sum(g)+f2</t>
  </si>
  <si>
    <t>a8</t>
  </si>
  <si>
    <t>d=a-b-c-c1+sum(g)+f2</t>
  </si>
  <si>
    <t>e1</t>
  </si>
  <si>
    <t>e2</t>
  </si>
  <si>
    <t>e3</t>
  </si>
  <si>
    <t>e4</t>
  </si>
  <si>
    <t>e5</t>
  </si>
  <si>
    <t>e6</t>
  </si>
  <si>
    <t>e7</t>
  </si>
  <si>
    <t>e=sum(e1..e7)</t>
  </si>
  <si>
    <t>f2</t>
  </si>
  <si>
    <t>f3</t>
  </si>
  <si>
    <t>f4</t>
  </si>
  <si>
    <t>f=sum(f1:f4)</t>
  </si>
  <si>
    <t>发薪公司验证数据</t>
  </si>
  <si>
    <t>成本中心（P&amp;L核算标准）</t>
  </si>
  <si>
    <t>人员性质</t>
  </si>
  <si>
    <t>部门</t>
  </si>
  <si>
    <t>汇报人</t>
  </si>
  <si>
    <t>职位</t>
  </si>
  <si>
    <t>所属人</t>
  </si>
  <si>
    <t>姓名</t>
  </si>
  <si>
    <t>考勤制</t>
  </si>
  <si>
    <t>实收</t>
  </si>
  <si>
    <t>计税月份</t>
  </si>
  <si>
    <t>基本工资</t>
  </si>
  <si>
    <r>
      <rPr>
        <b/>
        <sz val="11"/>
        <color theme="1"/>
        <rFont val="Heiti SC"/>
        <charset val="134"/>
      </rPr>
      <t>补贴</t>
    </r>
    <r>
      <rPr>
        <b/>
        <sz val="11"/>
        <color theme="1"/>
        <rFont val="Heiti SC Light"/>
        <charset val="134"/>
      </rPr>
      <t>/补充公积金</t>
    </r>
  </si>
  <si>
    <t>考勤调整</t>
  </si>
  <si>
    <t>其他补贴/调整</t>
  </si>
  <si>
    <t>商保金额</t>
  </si>
  <si>
    <t>KPI预提</t>
  </si>
  <si>
    <t>本月工资</t>
  </si>
  <si>
    <t>商办佣金</t>
  </si>
  <si>
    <t>绩效</t>
  </si>
  <si>
    <t>公寓佣金</t>
  </si>
  <si>
    <t>防暑降温费</t>
  </si>
  <si>
    <t>津贴</t>
  </si>
  <si>
    <t>保安奖金</t>
  </si>
  <si>
    <t>保洁奖金</t>
  </si>
  <si>
    <t>薪资小计</t>
  </si>
  <si>
    <t>社保公积金
缴纳月份</t>
  </si>
  <si>
    <t>社保基数</t>
  </si>
  <si>
    <t xml:space="preserve">公积金基数 </t>
  </si>
  <si>
    <t>养老</t>
  </si>
  <si>
    <t>医疗</t>
  </si>
  <si>
    <t xml:space="preserve">失业 </t>
  </si>
  <si>
    <t>公积金</t>
  </si>
  <si>
    <t>补充公积金</t>
  </si>
  <si>
    <t>个人福利合计</t>
  </si>
  <si>
    <t>累计子女教育</t>
  </si>
  <si>
    <t>累计住房贷款利息</t>
  </si>
  <si>
    <t>累计住房租金</t>
  </si>
  <si>
    <t>累计赡养老人</t>
  </si>
  <si>
    <t>累计继续教育</t>
  </si>
  <si>
    <t>本期纳税工资</t>
  </si>
  <si>
    <t>累计收入</t>
  </si>
  <si>
    <t>应纳税所得额</t>
  </si>
  <si>
    <t>累计已扣税额</t>
  </si>
  <si>
    <t>上月个税调整</t>
  </si>
  <si>
    <t>当月个人所得税</t>
  </si>
  <si>
    <t>商保调整</t>
  </si>
  <si>
    <t>个税调整</t>
  </si>
  <si>
    <t>银行实发</t>
  </si>
  <si>
    <t>账外实发</t>
  </si>
  <si>
    <t xml:space="preserve">养老 </t>
  </si>
  <si>
    <t>失业</t>
  </si>
  <si>
    <t>工伤</t>
  </si>
  <si>
    <t>生育</t>
  </si>
  <si>
    <t>公司法定福利合计</t>
  </si>
  <si>
    <t>商业保险</t>
  </si>
  <si>
    <t>健康管理服务费</t>
  </si>
  <si>
    <t>住房津贴</t>
  </si>
  <si>
    <t>福利合计</t>
  </si>
  <si>
    <r>
      <rPr>
        <b/>
        <sz val="11"/>
        <rFont val="Heiti SC Light"/>
        <charset val="134"/>
      </rPr>
      <t>绩效</t>
    </r>
    <r>
      <rPr>
        <b/>
        <sz val="11"/>
        <rFont val="Heiti SC Light"/>
        <charset val="134"/>
      </rPr>
      <t>&amp;</t>
    </r>
    <r>
      <rPr>
        <b/>
        <sz val="11"/>
        <rFont val="宋体"/>
        <charset val="134"/>
      </rPr>
      <t>佣金合计</t>
    </r>
  </si>
  <si>
    <t>富平99号项目福利费</t>
  </si>
  <si>
    <t>备注</t>
  </si>
  <si>
    <r>
      <rPr>
        <b/>
        <sz val="11"/>
        <rFont val="宋体"/>
        <charset val="134"/>
      </rPr>
      <t>发薪公司</t>
    </r>
    <r>
      <rPr>
        <b/>
        <sz val="11"/>
        <rFont val="Heiti SC Light"/>
        <charset val="134"/>
      </rPr>
      <t>&amp;</t>
    </r>
    <r>
      <rPr>
        <b/>
        <sz val="11"/>
        <rFont val="宋体"/>
        <charset val="134"/>
      </rPr>
      <t>姓名</t>
    </r>
  </si>
  <si>
    <t>商保</t>
  </si>
  <si>
    <t>比例</t>
  </si>
  <si>
    <t>累积验证</t>
  </si>
  <si>
    <t>商保筛选</t>
  </si>
  <si>
    <r>
      <rPr>
        <b/>
        <sz val="11"/>
        <rFont val="宋体"/>
        <charset val="134"/>
      </rPr>
      <t>所属人</t>
    </r>
    <r>
      <rPr>
        <b/>
        <sz val="11"/>
        <rFont val="Heiti SC Light"/>
        <charset val="134"/>
      </rPr>
      <t>-</t>
    </r>
    <r>
      <rPr>
        <b/>
        <sz val="11"/>
        <rFont val="宋体"/>
        <charset val="134"/>
      </rPr>
      <t>姓名</t>
    </r>
  </si>
  <si>
    <t>正常计税</t>
  </si>
  <si>
    <t>北京事业部</t>
  </si>
  <si>
    <t>杨崴</t>
  </si>
  <si>
    <t>客服专员</t>
  </si>
  <si>
    <t>孟庆芳</t>
  </si>
  <si>
    <t>全日制</t>
  </si>
  <si>
    <t>无社公</t>
  </si>
  <si>
    <t>无</t>
  </si>
  <si>
    <t>北京点才孟庆芳</t>
  </si>
  <si>
    <t>客户残疾人</t>
  </si>
  <si>
    <t>葛豪平</t>
  </si>
  <si>
    <t>残疾人</t>
  </si>
  <si>
    <t>尚庆军</t>
  </si>
  <si>
    <t>代收代付残疾人</t>
  </si>
  <si>
    <t>北京点才尚庆军</t>
  </si>
  <si>
    <t>劳务计税</t>
  </si>
  <si>
    <t>公司费用-法人</t>
  </si>
  <si>
    <t>法人</t>
  </si>
  <si>
    <t>王倩</t>
  </si>
  <si>
    <t>非全日制</t>
  </si>
  <si>
    <t>北京点才王倩</t>
  </si>
  <si>
    <t>有</t>
  </si>
  <si>
    <t>人才</t>
  </si>
  <si>
    <t>北京点才杨崴</t>
  </si>
  <si>
    <t>开博人才王倩</t>
  </si>
  <si>
    <t>吴玉斌</t>
  </si>
  <si>
    <t>开弈人力资源吴玉斌</t>
  </si>
  <si>
    <t>开弈企业外包王倩</t>
  </si>
  <si>
    <t>英成盛</t>
  </si>
  <si>
    <t>开弈人力资源英成盛</t>
  </si>
  <si>
    <t>曹保兵</t>
  </si>
  <si>
    <t>开弈人力资源曹保兵</t>
  </si>
  <si>
    <t>陶桔林</t>
  </si>
  <si>
    <t>开弈人力资源陶桔林</t>
  </si>
  <si>
    <t>李晓晓</t>
  </si>
  <si>
    <t>开弈人力资源李晓晓</t>
  </si>
  <si>
    <t>闫秀文</t>
  </si>
  <si>
    <t>开弈人力资源闫秀文</t>
  </si>
  <si>
    <t>施宏宇</t>
  </si>
  <si>
    <t>开弈人力资源施宏宇</t>
  </si>
  <si>
    <t>孙文丽</t>
  </si>
  <si>
    <t>开弈人力资源孙文丽</t>
  </si>
  <si>
    <t>谢宁</t>
  </si>
  <si>
    <t>开弈人力资源谢宁</t>
  </si>
  <si>
    <t>销售部</t>
  </si>
  <si>
    <t>销售</t>
  </si>
  <si>
    <t>徐峰</t>
  </si>
  <si>
    <t>开弈人才徐峰</t>
  </si>
  <si>
    <t>樊涛</t>
  </si>
  <si>
    <t>开弈人力资源樊涛</t>
  </si>
  <si>
    <t>社保部</t>
  </si>
  <si>
    <t>社保经理</t>
  </si>
  <si>
    <t>开弈人力资源葛豪平</t>
  </si>
  <si>
    <t>客服部（S）</t>
  </si>
  <si>
    <t>杨漾</t>
  </si>
  <si>
    <t>侯心怡</t>
  </si>
  <si>
    <t>开弈人力资源侯心怡</t>
  </si>
  <si>
    <t>客服总监</t>
  </si>
  <si>
    <t>开弈人力资源黄一萧</t>
  </si>
  <si>
    <t>顾问</t>
  </si>
  <si>
    <t>肖宝仙</t>
  </si>
  <si>
    <t>开弈人力资源肖宝仙</t>
  </si>
  <si>
    <t>李家东</t>
  </si>
  <si>
    <t>开弈人力资源李家东</t>
  </si>
  <si>
    <t>卢素丹</t>
  </si>
  <si>
    <t>开弈人力资源卢素丹</t>
  </si>
  <si>
    <t>财务部</t>
  </si>
  <si>
    <t>财务经理</t>
  </si>
  <si>
    <t>芦智蔚</t>
  </si>
  <si>
    <t>后台</t>
  </si>
  <si>
    <t>开弈人力资源芦智蔚</t>
  </si>
  <si>
    <t>社保专员</t>
  </si>
  <si>
    <t>毛华英</t>
  </si>
  <si>
    <t>靠普人力毛华英</t>
  </si>
  <si>
    <t>裘碧钰</t>
  </si>
  <si>
    <t>开弈人力资源裘碧钰</t>
  </si>
  <si>
    <t>姜启志</t>
  </si>
  <si>
    <t>开弈人力资源姜启志</t>
  </si>
  <si>
    <t>沈丽霞</t>
  </si>
  <si>
    <t>开弈人力资源沈丽霞</t>
  </si>
  <si>
    <t>宋广忠</t>
  </si>
  <si>
    <t>开弈人力资源宋广忠</t>
  </si>
  <si>
    <t>开弈人力资源王倩</t>
  </si>
  <si>
    <t>徐丽红</t>
  </si>
  <si>
    <t>开弈人力资源徐丽红</t>
  </si>
  <si>
    <t>客服主管</t>
  </si>
  <si>
    <t>开弈人力资源杨漾</t>
  </si>
  <si>
    <t>张祥</t>
  </si>
  <si>
    <t>开弈人才张祥</t>
  </si>
  <si>
    <t>蔡心宇</t>
  </si>
  <si>
    <t>会计</t>
  </si>
  <si>
    <t>韩燕</t>
  </si>
  <si>
    <t>开弈投资韩燕</t>
  </si>
  <si>
    <t>方有保</t>
  </si>
  <si>
    <t>水电工程师</t>
  </si>
  <si>
    <t>金学忠</t>
  </si>
  <si>
    <t>不定时工作制</t>
  </si>
  <si>
    <t>开弈投资金学忠</t>
  </si>
  <si>
    <t>办公&amp;企业服务</t>
  </si>
  <si>
    <t>商办总经理</t>
  </si>
  <si>
    <t>韩喆</t>
  </si>
  <si>
    <t>商办</t>
  </si>
  <si>
    <t>开弈投资韩喆</t>
  </si>
  <si>
    <t>账务部</t>
  </si>
  <si>
    <t>账务专员</t>
  </si>
  <si>
    <t>李佳</t>
  </si>
  <si>
    <t>开弈投资李佳</t>
  </si>
  <si>
    <t>行政部</t>
  </si>
  <si>
    <t>人事助理</t>
  </si>
  <si>
    <t>周凯楠</t>
  </si>
  <si>
    <t>开弈投资周凯楠</t>
  </si>
  <si>
    <t>厨师</t>
  </si>
  <si>
    <t>谢志毅</t>
  </si>
  <si>
    <t>老龙馄饨-灵工谢志毅</t>
  </si>
  <si>
    <t>保洁</t>
  </si>
  <si>
    <t>钱玉连</t>
  </si>
  <si>
    <t>老龙馄饨-灵工钱玉连</t>
  </si>
  <si>
    <t>蔡明燕</t>
  </si>
  <si>
    <t>老龙馄饨-灵工蔡明燕</t>
  </si>
  <si>
    <t>李蕾</t>
  </si>
  <si>
    <t>开弈投资李蕾</t>
  </si>
  <si>
    <t>Jenny-家庭</t>
  </si>
  <si>
    <t>驾驶员</t>
  </si>
  <si>
    <t>林水桃</t>
  </si>
  <si>
    <t>开弈投资林水桃</t>
  </si>
  <si>
    <t>商办账务专员</t>
  </si>
  <si>
    <t>邵吴慧</t>
  </si>
  <si>
    <t>开弈投资邵吴慧</t>
  </si>
  <si>
    <t>宣国英</t>
  </si>
  <si>
    <t>王建平</t>
  </si>
  <si>
    <t>开弈投资王建平</t>
  </si>
  <si>
    <t>汪顺</t>
  </si>
  <si>
    <t>物业管理</t>
  </si>
  <si>
    <t>王韬</t>
  </si>
  <si>
    <t>开弈投资王韬</t>
  </si>
  <si>
    <t>王永佳</t>
  </si>
  <si>
    <t>开弈投资王永佳</t>
  </si>
  <si>
    <t>杨美玲</t>
  </si>
  <si>
    <t>开弈投资杨美玲</t>
  </si>
  <si>
    <t>业务拓展经理</t>
  </si>
  <si>
    <t>杜宪</t>
  </si>
  <si>
    <t>开弈信息杜宪</t>
  </si>
  <si>
    <t>账务经理</t>
  </si>
  <si>
    <t>开弈信息黄欢欢</t>
  </si>
  <si>
    <t>泰系统专员</t>
  </si>
  <si>
    <t>沈明明</t>
  </si>
  <si>
    <t>开弈信息沈明明</t>
  </si>
  <si>
    <t>人事部</t>
  </si>
  <si>
    <t>王妤扬</t>
  </si>
  <si>
    <t>人事专员</t>
  </si>
  <si>
    <t>开弈信息黄燕婷</t>
  </si>
  <si>
    <t>开弈信息王倩</t>
  </si>
  <si>
    <t>法务部</t>
  </si>
  <si>
    <t>法务经理</t>
  </si>
  <si>
    <t>人力资源研究院王妤扬</t>
  </si>
  <si>
    <t>总裁办</t>
  </si>
  <si>
    <t>执行董事&amp;CEO</t>
  </si>
  <si>
    <t>开弈信息张毅</t>
  </si>
  <si>
    <t>郑昌杰</t>
  </si>
  <si>
    <t>开弈信息郑昌杰</t>
  </si>
  <si>
    <t>开弈信息蔡心宇</t>
  </si>
  <si>
    <t>国内不计税</t>
  </si>
  <si>
    <t>开弈中国王妤扬</t>
  </si>
  <si>
    <t>香港办</t>
  </si>
  <si>
    <t>行政专员</t>
  </si>
  <si>
    <t>李向榮</t>
  </si>
  <si>
    <t>开弈中国李向榮</t>
  </si>
  <si>
    <t>数据服务</t>
  </si>
  <si>
    <t>劉梓霖</t>
  </si>
  <si>
    <t>开弈中国劉梓霖</t>
  </si>
  <si>
    <t>Jenny</t>
  </si>
  <si>
    <t>賴淑賢</t>
  </si>
  <si>
    <t>开弈中国賴淑賢</t>
  </si>
  <si>
    <t>开弈中国张毅</t>
  </si>
  <si>
    <t>靠普人力杜宪</t>
  </si>
  <si>
    <t>季嘉莉</t>
  </si>
  <si>
    <t>靠普人力季嘉莉</t>
  </si>
  <si>
    <t>张家喜</t>
  </si>
  <si>
    <t>开弈人力资源张家喜</t>
  </si>
  <si>
    <t>开弈人力资源杜宪</t>
  </si>
  <si>
    <t>深圳事业部</t>
  </si>
  <si>
    <t>王雷</t>
  </si>
  <si>
    <t>深圳和弈王雷</t>
  </si>
  <si>
    <t>深圳和弈王倩</t>
  </si>
  <si>
    <t>贾飞龙</t>
  </si>
  <si>
    <t>园区保安副队长</t>
  </si>
  <si>
    <t>安东生</t>
  </si>
  <si>
    <t>弈工分信息安东生</t>
  </si>
  <si>
    <t>蒋孝峰</t>
  </si>
  <si>
    <t>常虹</t>
  </si>
  <si>
    <t>时代人才常虹</t>
  </si>
  <si>
    <t>业务经理</t>
  </si>
  <si>
    <t>时代人才蒋孝峰</t>
  </si>
  <si>
    <t>天津事业部</t>
  </si>
  <si>
    <t>郭双红</t>
  </si>
  <si>
    <t>陈一卓</t>
  </si>
  <si>
    <t>天津英才陈一卓</t>
  </si>
  <si>
    <t>天津英才郭双红</t>
  </si>
  <si>
    <t>天津英才王倩</t>
  </si>
  <si>
    <t>吴靖娴</t>
  </si>
  <si>
    <t>天津英才吴靖娴</t>
  </si>
  <si>
    <t>周梓荣</t>
  </si>
  <si>
    <t>天津英才周梓荣</t>
  </si>
  <si>
    <t>程璐</t>
  </si>
  <si>
    <t>微芮洺程璐</t>
  </si>
  <si>
    <t>弈工分健康戴琼琪</t>
  </si>
  <si>
    <t>胡金明</t>
  </si>
  <si>
    <t>弈工分健康胡金明</t>
  </si>
  <si>
    <t>法务专员</t>
  </si>
  <si>
    <t>赵柳文</t>
  </si>
  <si>
    <t>园区保安队长</t>
  </si>
  <si>
    <t>弈工分健康贾飞龙</t>
  </si>
  <si>
    <t>殷德昌</t>
  </si>
  <si>
    <t>弈工分健康殷德昌</t>
  </si>
  <si>
    <t>有-意外险</t>
  </si>
  <si>
    <t>高玉玲</t>
  </si>
  <si>
    <t>弈工分健康高玉玲</t>
  </si>
  <si>
    <t>丁成英</t>
  </si>
  <si>
    <t>弈工分健康丁成英</t>
  </si>
  <si>
    <t>孙建芳</t>
  </si>
  <si>
    <t>弈工分健康孙建芳</t>
  </si>
  <si>
    <t>园区保安</t>
  </si>
  <si>
    <t>黄连兵</t>
  </si>
  <si>
    <t>保安</t>
  </si>
  <si>
    <t>弈工分健康黄连兵</t>
  </si>
  <si>
    <t>庄艳林</t>
  </si>
  <si>
    <t>弈工分健康庄艳林</t>
  </si>
  <si>
    <t>谢小强</t>
  </si>
  <si>
    <t>弈工分健康谢小强</t>
  </si>
  <si>
    <t>史文奎</t>
  </si>
  <si>
    <t>弈工分健康张子俊</t>
  </si>
  <si>
    <t>胡程林</t>
  </si>
  <si>
    <t>孔令波</t>
  </si>
  <si>
    <t>姚伟</t>
  </si>
  <si>
    <t>弈工分健康（外包保安）蒋团伟</t>
  </si>
  <si>
    <t>弈工分健康（外包保安）梁晓永</t>
  </si>
  <si>
    <t>弈工分健康（外包保安）姚伟</t>
  </si>
  <si>
    <t>刘鹏</t>
  </si>
  <si>
    <t>弈工分健康（外包保安）顾强</t>
  </si>
  <si>
    <t>吉庆</t>
  </si>
  <si>
    <t>弈工分健康（外包保安）王森</t>
  </si>
  <si>
    <t>朱留宇</t>
  </si>
  <si>
    <t>弈工分健康（外包保安）解文翔</t>
  </si>
  <si>
    <t>杨永宁</t>
  </si>
  <si>
    <t>弈工分健康（外包保安）陈文波</t>
  </si>
  <si>
    <t>刘曦文</t>
  </si>
  <si>
    <t>弈工分健康（外包保安）史文奎</t>
  </si>
  <si>
    <t>李俭波</t>
  </si>
  <si>
    <t>弈工分健康（外包保安）朱朝甫</t>
  </si>
  <si>
    <t>李军立</t>
  </si>
  <si>
    <t>弈工分健康（外包保安）李军立</t>
  </si>
  <si>
    <t>胡保林</t>
  </si>
  <si>
    <t>弈工分健康（外包保安）胡保林</t>
  </si>
  <si>
    <t>贾元录</t>
  </si>
  <si>
    <t>弈工分健康（外包保安）贾元录</t>
  </si>
  <si>
    <t>徐刘岸</t>
  </si>
  <si>
    <t>马金超</t>
  </si>
  <si>
    <t>宋英杰</t>
  </si>
  <si>
    <t>李龙</t>
  </si>
  <si>
    <t>朱家良</t>
  </si>
  <si>
    <t>杨永奋</t>
  </si>
  <si>
    <t>许磊</t>
  </si>
  <si>
    <t>李威威</t>
  </si>
  <si>
    <t>王海涛</t>
  </si>
  <si>
    <t>王玉玺</t>
  </si>
  <si>
    <t>季文菊</t>
  </si>
  <si>
    <t>弈工分文化季文菊</t>
  </si>
  <si>
    <t>弈工分文化王建平</t>
  </si>
  <si>
    <t>李萍萍</t>
  </si>
  <si>
    <t>开弈投资李萍萍</t>
  </si>
  <si>
    <t>公寓&amp;企业服务部</t>
  </si>
  <si>
    <t>公寓总经理</t>
  </si>
  <si>
    <t>弈工分信息王倩</t>
  </si>
  <si>
    <t>武敏辉</t>
  </si>
  <si>
    <t>弈工分信息武敏辉</t>
  </si>
  <si>
    <t>公寓管家</t>
  </si>
  <si>
    <t>党红艳</t>
  </si>
  <si>
    <t>弈工分信息党红艳</t>
  </si>
  <si>
    <t>公寓副总</t>
  </si>
  <si>
    <t>林知峰</t>
  </si>
  <si>
    <t>弈工分信息林知峰</t>
  </si>
  <si>
    <t>罗俊尧</t>
  </si>
  <si>
    <t>弈工分信息罗俊尧</t>
  </si>
  <si>
    <t>空调维修</t>
  </si>
  <si>
    <t>方祥</t>
  </si>
  <si>
    <t>弈工分信息方祥</t>
  </si>
  <si>
    <t>保洁主管</t>
  </si>
  <si>
    <t>弈工分信息宣国英</t>
  </si>
  <si>
    <t>工程维修主管</t>
  </si>
  <si>
    <t>弈工分信息方有保</t>
  </si>
  <si>
    <t>吴立军</t>
  </si>
  <si>
    <t>弈工分信息吴立军</t>
  </si>
  <si>
    <t>万能工</t>
  </si>
  <si>
    <t>董宾宾</t>
  </si>
  <si>
    <t>弈工分信息董宾宾</t>
  </si>
  <si>
    <t>吕相坠</t>
  </si>
  <si>
    <t>弈工分信息吕相坠</t>
  </si>
  <si>
    <t>朱鑫沛</t>
  </si>
  <si>
    <t>弈工分信息朱鑫沛</t>
  </si>
  <si>
    <t>物业总经理</t>
  </si>
  <si>
    <t>弈工分信息汪顺</t>
  </si>
  <si>
    <t>贾东升</t>
  </si>
  <si>
    <t>弈工分信息贾东升</t>
  </si>
  <si>
    <t>宋卫东</t>
  </si>
  <si>
    <t>弈工分信息宋卫东</t>
  </si>
  <si>
    <t>苏坤</t>
  </si>
  <si>
    <t>弈工分信息苏坤</t>
  </si>
  <si>
    <t>管培生</t>
  </si>
  <si>
    <t>陈圆</t>
  </si>
  <si>
    <t>弈工分健康施玉芹</t>
  </si>
  <si>
    <t>安子玥</t>
  </si>
  <si>
    <t>陈双杰</t>
  </si>
  <si>
    <t>陈锦</t>
  </si>
  <si>
    <t>任梦超</t>
  </si>
  <si>
    <t>高光付</t>
  </si>
  <si>
    <t>肖德云</t>
  </si>
  <si>
    <t>韦兆斌</t>
  </si>
  <si>
    <t>王力</t>
  </si>
  <si>
    <t>弈工分信息王力</t>
  </si>
  <si>
    <t>翟建设</t>
  </si>
  <si>
    <t>弈工分信息翟建设</t>
  </si>
  <si>
    <t>徐培珍</t>
  </si>
  <si>
    <t>弈工分信息徐培珍</t>
  </si>
  <si>
    <t>施玉芹</t>
  </si>
  <si>
    <t>刘顺兰</t>
  </si>
  <si>
    <t>于爱丽</t>
  </si>
  <si>
    <t>弈工分信息于爱丽</t>
  </si>
  <si>
    <t>弈享天津杜宪</t>
  </si>
  <si>
    <t>弈享天津周梓荣</t>
  </si>
  <si>
    <t>公司费用-待结转</t>
  </si>
  <si>
    <t>张涛</t>
  </si>
  <si>
    <t>智名信息张涛</t>
  </si>
  <si>
    <t/>
  </si>
  <si>
    <t>合计</t>
  </si>
  <si>
    <t>验算</t>
  </si>
  <si>
    <t>税</t>
  </si>
  <si>
    <t>戴琼琪</t>
  </si>
  <si>
    <t>开弈投资戴琼琪</t>
  </si>
  <si>
    <t>弈工分健康金学忠</t>
  </si>
  <si>
    <t>杨晓璐</t>
  </si>
  <si>
    <t>开弈信息杨晓璐</t>
  </si>
  <si>
    <t>开弈信息王力</t>
  </si>
  <si>
    <t>姚娟</t>
  </si>
  <si>
    <t>弈工分信息姚娟</t>
  </si>
  <si>
    <t>罗国秋</t>
  </si>
  <si>
    <t>开弈人才罗国秋</t>
  </si>
  <si>
    <t>开弈投资黄欢欢</t>
  </si>
  <si>
    <t>贺知奕</t>
  </si>
  <si>
    <t>开弈信息贺知奕</t>
  </si>
  <si>
    <t>开弈人才戚珏琳</t>
  </si>
  <si>
    <t>开弈人才朱馨怡</t>
  </si>
  <si>
    <t>开弈人才舒雯</t>
  </si>
  <si>
    <t>公司</t>
  </si>
  <si>
    <t>key</t>
  </si>
  <si>
    <t>社保key</t>
  </si>
  <si>
    <t>标志</t>
  </si>
  <si>
    <t>个人部分</t>
  </si>
  <si>
    <t>企业部分</t>
  </si>
  <si>
    <t>正常部份(7%)-公司</t>
  </si>
  <si>
    <t>养老保险</t>
  </si>
  <si>
    <t>医疗保险</t>
  </si>
  <si>
    <t>附加</t>
  </si>
  <si>
    <t>失业保险</t>
  </si>
  <si>
    <t>正常部份(7%)-个人</t>
  </si>
  <si>
    <t>补充公积金比例</t>
  </si>
  <si>
    <t>企业福利合计</t>
  </si>
  <si>
    <t>失业基数</t>
  </si>
  <si>
    <t>医疗+剩余基数</t>
  </si>
  <si>
    <t>外地</t>
  </si>
  <si>
    <t>有社保</t>
  </si>
  <si>
    <t>有公积金</t>
  </si>
  <si>
    <t>暂无</t>
  </si>
  <si>
    <t>点才残疾人</t>
  </si>
  <si>
    <t>点才</t>
  </si>
  <si>
    <t>开弈企业服务外包</t>
  </si>
  <si>
    <t>陶洁</t>
  </si>
  <si>
    <t>智名</t>
  </si>
  <si>
    <t>弈享</t>
  </si>
  <si>
    <t>深圳</t>
  </si>
  <si>
    <t>天津</t>
  </si>
  <si>
    <t>李欣怡</t>
  </si>
  <si>
    <t>俞慧敏</t>
  </si>
  <si>
    <t>王佩佩</t>
  </si>
  <si>
    <t>范杰</t>
  </si>
  <si>
    <t>郭迎春</t>
  </si>
  <si>
    <t>2019年北京点才-员工社保、公积金新基数</t>
  </si>
  <si>
    <t>身份证</t>
  </si>
  <si>
    <t>缴费基数</t>
  </si>
  <si>
    <t>社保合计</t>
  </si>
  <si>
    <t>公积金基数</t>
  </si>
  <si>
    <t>单位缴纳</t>
  </si>
  <si>
    <t>个人缴纳</t>
  </si>
  <si>
    <t>公积金合计</t>
  </si>
  <si>
    <t>单位缴费16%</t>
  </si>
  <si>
    <t>个人缴费8%</t>
  </si>
  <si>
    <t>单位缴费0.8%</t>
  </si>
  <si>
    <t>个人缴费0.2%</t>
  </si>
  <si>
    <t>单位缴费0.4%</t>
  </si>
  <si>
    <t>单位缴费10%</t>
  </si>
  <si>
    <t>个人缴费2%+3</t>
  </si>
  <si>
    <t>320721198101235214</t>
  </si>
  <si>
    <t>朱孟清</t>
  </si>
  <si>
    <t>320721198708170867</t>
  </si>
  <si>
    <t>110111198304206523</t>
  </si>
  <si>
    <t>所属公司</t>
  </si>
  <si>
    <t>社保前</t>
  </si>
  <si>
    <t>社保后</t>
  </si>
  <si>
    <t>公积金前</t>
  </si>
  <si>
    <t>公积金后</t>
  </si>
  <si>
    <t>ROUNDUP(TRUNC(</t>
  </si>
  <si>
    <t>,2),1)</t>
  </si>
  <si>
    <t>ROUND(</t>
  </si>
  <si>
    <t>,0)</t>
  </si>
  <si>
    <t>开弈营销</t>
  </si>
  <si>
    <t>弈工分企业外包</t>
  </si>
  <si>
    <t>,2)</t>
  </si>
  <si>
    <t>南京开弈人力</t>
  </si>
  <si>
    <t>起始时间</t>
  </si>
  <si>
    <t>年终奖并入综合收入</t>
  </si>
  <si>
    <t>累计月</t>
  </si>
  <si>
    <t>累计应税收入</t>
  </si>
  <si>
    <t>累计个人福利</t>
  </si>
  <si>
    <t>累计专项扣除</t>
  </si>
  <si>
    <t>累计预扣缴个税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</si>
  <si>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</si>
  <si>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</si>
  <si>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</si>
  <si>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</si>
  <si>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</si>
  <si>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</si>
  <si>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</si>
  <si>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</si>
  <si>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</si>
  <si>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</si>
  <si>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</si>
  <si>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</si>
  <si>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专项扣除合计</t>
  </si>
  <si>
    <t>个税</t>
  </si>
  <si>
    <t>(1)</t>
  </si>
  <si>
    <t>(2)</t>
  </si>
  <si>
    <t>(3)</t>
  </si>
  <si>
    <t>(4)</t>
  </si>
  <si>
    <t>(5)=(1)+(2)+(3)+(4)</t>
  </si>
  <si>
    <t>病假</t>
  </si>
  <si>
    <t>事假</t>
  </si>
  <si>
    <t>非全日制小时工勤人员/全日制值班补贴标准/4小时</t>
  </si>
  <si>
    <t>请假和考勤迟到抵扣</t>
  </si>
  <si>
    <t>成本中心</t>
  </si>
  <si>
    <t>入职日期</t>
  </si>
  <si>
    <t>病假扣薪</t>
  </si>
  <si>
    <t>事假扣薪</t>
  </si>
  <si>
    <t>小时工补贴标准</t>
  </si>
  <si>
    <t>实习津贴</t>
  </si>
  <si>
    <t>小时工薪资</t>
  </si>
  <si>
    <t>加班/值班小时</t>
  </si>
  <si>
    <t>金额</t>
  </si>
  <si>
    <t>本月出勤天数</t>
  </si>
  <si>
    <t>旷工</t>
  </si>
  <si>
    <t>金额调整</t>
  </si>
  <si>
    <t>年假天数</t>
  </si>
  <si>
    <t>年假</t>
  </si>
  <si>
    <t>加班天数</t>
  </si>
  <si>
    <t>调休</t>
  </si>
  <si>
    <t>丧假</t>
  </si>
  <si>
    <t>育儿假</t>
  </si>
  <si>
    <t>婚假</t>
  </si>
  <si>
    <t>产假</t>
  </si>
  <si>
    <t>计算规则</t>
  </si>
  <si>
    <t>考勤备注</t>
  </si>
  <si>
    <t>考勤汇总</t>
  </si>
  <si>
    <t>年假1天，调休0.5天</t>
  </si>
  <si>
    <t>八年以上员工，病假不予扣除</t>
  </si>
  <si>
    <t>年假0.5天</t>
  </si>
  <si>
    <t>年假3天</t>
  </si>
  <si>
    <t>年假1天</t>
  </si>
  <si>
    <t>病假2天</t>
  </si>
  <si>
    <t>病假1天</t>
  </si>
  <si>
    <t>病假19.5天</t>
  </si>
  <si>
    <t>年假2天</t>
  </si>
  <si>
    <t>调休0.5天</t>
  </si>
  <si>
    <t>病假1天，年假1天</t>
  </si>
  <si>
    <t>每4小时200元</t>
  </si>
  <si>
    <t>加班63小时算工资</t>
  </si>
  <si>
    <t>国定假结算；满2年不满4年的，病假按本人工资70%计发</t>
  </si>
  <si>
    <t>国定假结算</t>
  </si>
  <si>
    <t>婚假10天</t>
  </si>
  <si>
    <t>节假日加班1天算三倍</t>
  </si>
  <si>
    <t>周六加班3天算双倍，节假日加班一天算三倍</t>
  </si>
  <si>
    <t>调休5天</t>
  </si>
  <si>
    <t>育儿假2天，节假日加班一天算三倍</t>
  </si>
  <si>
    <t>事假1天，年假1天，节假日加班1天算三倍</t>
  </si>
  <si>
    <t>病假3.5天</t>
  </si>
  <si>
    <t>节假日加班一天补贴200</t>
  </si>
  <si>
    <t>6.15离职</t>
  </si>
  <si>
    <t>缺卡4次记旷工2天，本月共计出勤10天</t>
  </si>
  <si>
    <t>事假1天，缺卡22次记旷工11天，本月共出勤1天</t>
  </si>
  <si>
    <t>2天平时加班算工资，节假日加班一天补贴200</t>
  </si>
  <si>
    <t>按每日200发放21天出差津贴</t>
  </si>
  <si>
    <t>节假日加班一天算三倍</t>
  </si>
  <si>
    <t>弈工分信息陈圆</t>
  </si>
  <si>
    <t>G-董事会办公室</t>
  </si>
  <si>
    <t>董事会办公室</t>
  </si>
  <si>
    <t>事假10天，年假6天</t>
  </si>
  <si>
    <t>3天平时加班算工资，节假日加班一天补贴200</t>
  </si>
  <si>
    <t>6.1入职</t>
  </si>
  <si>
    <t>事假1天</t>
  </si>
  <si>
    <t>事假2天</t>
  </si>
  <si>
    <t>出勤4周＋2天，按500美元/周发放实习津贴</t>
  </si>
  <si>
    <t>6.12入职</t>
  </si>
  <si>
    <t>6.12入职，本月出勤一共17天（含加班），平时加班1天算工资</t>
  </si>
  <si>
    <t>6.20入职</t>
  </si>
  <si>
    <t>6.20入职，本月出勤9天</t>
  </si>
  <si>
    <t>6.5-6.11</t>
  </si>
  <si>
    <t>出勤6天</t>
  </si>
  <si>
    <t>全称</t>
  </si>
  <si>
    <t>剩余年假</t>
  </si>
  <si>
    <t>剩余调休</t>
  </si>
  <si>
    <t>欢欢-入离职&amp;加班</t>
  </si>
  <si>
    <t>6月剩余年假</t>
  </si>
  <si>
    <t>6月剩余调休</t>
  </si>
  <si>
    <t>6月</t>
  </si>
  <si>
    <t>欢欢</t>
  </si>
  <si>
    <t>考勤</t>
  </si>
  <si>
    <t>公司组织定义的各BU/职能/项目名称</t>
  </si>
  <si>
    <t>序号分</t>
  </si>
  <si>
    <t>序号原</t>
  </si>
  <si>
    <t>办公费分摊</t>
  </si>
  <si>
    <t>开弈投资-物业</t>
  </si>
  <si>
    <t>物业工程部</t>
  </si>
  <si>
    <t>电工</t>
  </si>
  <si>
    <t>运营部</t>
  </si>
  <si>
    <t>运营副经理</t>
  </si>
  <si>
    <t>总裁办&amp;法务部</t>
  </si>
  <si>
    <t>法务</t>
  </si>
  <si>
    <t>HRO运营版块</t>
  </si>
  <si>
    <t>行政部副经理</t>
  </si>
  <si>
    <t>HR&amp;MIS</t>
  </si>
  <si>
    <t>HKMS&amp;MIS</t>
  </si>
  <si>
    <t>Vivien</t>
  </si>
  <si>
    <t>网管</t>
  </si>
  <si>
    <t>迟到3次可豁免；年假1天；</t>
  </si>
  <si>
    <t>企业人事服务运营二部</t>
  </si>
  <si>
    <t>高级电气工程师</t>
  </si>
  <si>
    <t>外勤专员</t>
  </si>
  <si>
    <t>Larry</t>
  </si>
  <si>
    <t>雇员服务部</t>
  </si>
  <si>
    <t>5月</t>
  </si>
  <si>
    <t>加班66小时算工资</t>
  </si>
  <si>
    <t>调休1天</t>
  </si>
  <si>
    <t>病假2天，年假1.5天，迟到超过一小时-记旷工半天</t>
  </si>
  <si>
    <t>调休3天，病假0.5天，婚假10天</t>
  </si>
  <si>
    <t>5.18入职</t>
  </si>
  <si>
    <t>5.18入职，事假2天，共计出勤8天</t>
  </si>
  <si>
    <t>年假4.5天</t>
  </si>
  <si>
    <t>年假7天</t>
  </si>
  <si>
    <t>节假日加班2天算三倍</t>
  </si>
  <si>
    <t>周六加班4天算工资，节假日加班2天算三倍</t>
  </si>
  <si>
    <t>节假日加班1天算三倍，补4月半天工资</t>
  </si>
  <si>
    <t>年假4天</t>
  </si>
  <si>
    <t>病假1天，年假1天，事假1天</t>
  </si>
  <si>
    <t>病假1.5天，节假日加班1天算三倍</t>
  </si>
  <si>
    <t>年假1.5天</t>
  </si>
  <si>
    <t>调休2天，年假1天</t>
  </si>
  <si>
    <t>调休7天</t>
  </si>
  <si>
    <t>年假2天，节假日加班2天算三倍</t>
  </si>
  <si>
    <t>节假日加班1天补贴200</t>
  </si>
  <si>
    <t>平时加班一天算工资，节假日加班1天补贴200</t>
  </si>
  <si>
    <t>事假1天，节假日加班1天补贴200</t>
  </si>
  <si>
    <t>补发4.11平时加班工资一天，节假日加班1天补贴200</t>
  </si>
  <si>
    <t>5.6入职</t>
  </si>
  <si>
    <t>5.6入职，共计出勤22天</t>
  </si>
  <si>
    <t>调休2天，节假日加班2天算三倍</t>
  </si>
  <si>
    <t>事假1天，节假日加班2天算三倍</t>
  </si>
  <si>
    <t>2026年5月份各单位服务费</t>
  </si>
  <si>
    <t>序号</t>
  </si>
  <si>
    <t>导入</t>
  </si>
  <si>
    <t>单位</t>
  </si>
  <si>
    <t>客户启动人</t>
  </si>
  <si>
    <t>服务费</t>
  </si>
  <si>
    <t>其他收入</t>
  </si>
  <si>
    <t>华腾</t>
  </si>
  <si>
    <t>嘉越物业</t>
  </si>
  <si>
    <t>屹翔物业</t>
  </si>
  <si>
    <t>东建物业</t>
  </si>
  <si>
    <t>国丰供热</t>
  </si>
  <si>
    <t>共享智能停车</t>
  </si>
  <si>
    <t>群邦众泰</t>
  </si>
  <si>
    <t>亿鼎川</t>
  </si>
  <si>
    <t>易义房地产</t>
  </si>
  <si>
    <t>宜兴九洲封头</t>
  </si>
  <si>
    <t>UNIJIL</t>
  </si>
  <si>
    <t>绿色能源</t>
  </si>
  <si>
    <t>天津大乘(代理)</t>
  </si>
  <si>
    <t>克尔瑞</t>
  </si>
  <si>
    <t>6月工资开始，发放防暑降温费（6月~9月，250.7*4=1002.8元）</t>
  </si>
  <si>
    <t>求和项:企业人力成本总计</t>
  </si>
  <si>
    <t>计数项:姓名</t>
  </si>
  <si>
    <t>求和项:实收工资</t>
  </si>
  <si>
    <t>求和项:当月个人所得税</t>
  </si>
  <si>
    <t>求和项:公司法定福利合计</t>
  </si>
  <si>
    <t>求和项:个人福利合计</t>
  </si>
  <si>
    <t>求和项:绩效&amp;佣金合计</t>
  </si>
  <si>
    <t>求和项:考勤调整</t>
  </si>
  <si>
    <t>求和项:商保金额</t>
  </si>
  <si>
    <t>求和项:预提福利费</t>
  </si>
  <si>
    <t>霍秋霞</t>
  </si>
  <si>
    <t>黄夏芸</t>
  </si>
  <si>
    <t>黄毅</t>
  </si>
  <si>
    <t>人力资源研究院马兰明</t>
  </si>
  <si>
    <t>人力资源研究院陈鹏程</t>
  </si>
  <si>
    <t>姜一翔</t>
  </si>
  <si>
    <t>开弈人力资源陶洁</t>
  </si>
  <si>
    <t>李瑞</t>
  </si>
  <si>
    <t>开弈企业外包吴玉斌</t>
  </si>
  <si>
    <t>靠普人力崔颖</t>
  </si>
  <si>
    <t>开弈企业外包英成盛</t>
  </si>
  <si>
    <t>张子俊</t>
  </si>
  <si>
    <t>开弈人力资源李欣怡</t>
  </si>
  <si>
    <t>开弈人力资源蔡春花</t>
  </si>
  <si>
    <t>王强</t>
  </si>
  <si>
    <t>开弈人才谢宁</t>
  </si>
  <si>
    <t>吴老师</t>
  </si>
  <si>
    <t>吴先生</t>
  </si>
  <si>
    <t>靠普人力英成盛</t>
  </si>
  <si>
    <t>弈工分信息王佩佩</t>
  </si>
  <si>
    <t>姚远</t>
  </si>
  <si>
    <t>开弈人力资源贺嘉捷</t>
  </si>
  <si>
    <t>老龙馄饨-灵工王佩佩</t>
  </si>
  <si>
    <t>开弈人力-现金王强</t>
  </si>
  <si>
    <t>开弈人力-现金姚远</t>
  </si>
  <si>
    <t>开弈人力-现金黄毅</t>
  </si>
  <si>
    <t>开弈人力-现金吴先生</t>
  </si>
  <si>
    <t>开弈人力-现金吴老师</t>
  </si>
  <si>
    <t>开弈人力-现金姜一翔</t>
  </si>
  <si>
    <t>开弈人力-现金黄夏芸</t>
  </si>
  <si>
    <t>开弈人力资源尚鲁鲁</t>
  </si>
  <si>
    <t>开弈人力资源俞慧敏</t>
  </si>
  <si>
    <t>开弈投资范杰</t>
  </si>
  <si>
    <t>开弈投资霍秋霞</t>
  </si>
  <si>
    <t>老龙馄饨谢志毅</t>
  </si>
  <si>
    <t>老龙馄饨钱玉连</t>
  </si>
  <si>
    <t>弈工分健康汪顺</t>
  </si>
  <si>
    <t>开弈投资-灵工王佩佩</t>
  </si>
  <si>
    <t>老龙馄饨王佩佩</t>
  </si>
  <si>
    <t>老龙馄饨郭迎春</t>
  </si>
  <si>
    <t>开弈投资-灵工刘旻</t>
  </si>
  <si>
    <t>靠普人力侯栎雯</t>
  </si>
  <si>
    <t>靠普-现金王强</t>
  </si>
  <si>
    <t>开弈信息刘旻</t>
  </si>
  <si>
    <t>靠普-现金姚远</t>
  </si>
  <si>
    <t>靠普-现金黄毅</t>
  </si>
  <si>
    <t>靠普-现金吴先生</t>
  </si>
  <si>
    <t>开弈信息王妤扬</t>
  </si>
  <si>
    <t>靠普-现金吴老师</t>
  </si>
  <si>
    <t>靠普-现金姜一翔</t>
  </si>
  <si>
    <t>靠普-现金黄夏芸</t>
  </si>
  <si>
    <t>老龙馄饨-灵工王倩</t>
  </si>
  <si>
    <t>靠普人力张家喜</t>
  </si>
  <si>
    <t>弈工分信息赵柳文</t>
  </si>
  <si>
    <t>弈工分健康李军立</t>
  </si>
  <si>
    <t>弈工分健康姚伟</t>
  </si>
  <si>
    <t>弈工分健康贾元录</t>
  </si>
  <si>
    <t>弈工分健康顾强</t>
  </si>
  <si>
    <t>弈工分健康史文奎</t>
  </si>
  <si>
    <t>弈工分健康胡程林</t>
  </si>
  <si>
    <t>弈工分健康王森</t>
  </si>
  <si>
    <t>弈工分健康（外包保安）胡程林</t>
  </si>
  <si>
    <t>弈工分健康（外包保安）徐鹏</t>
  </si>
  <si>
    <t>开弈人力-现金聂丽娜</t>
  </si>
  <si>
    <t>弈工分健康（外包保安）张鑫</t>
  </si>
  <si>
    <t>弈工分健康（外包保安）王鹏飞</t>
  </si>
  <si>
    <t>弈工分健康（外包保安）孔令波</t>
  </si>
  <si>
    <t>弈工分健康解文翔</t>
  </si>
  <si>
    <t>开弈人力-现金陈瑾妮</t>
  </si>
  <si>
    <t>弈工分健康王鹏飞</t>
  </si>
  <si>
    <t>弈工分健康（外包保安）朱留宇</t>
  </si>
  <si>
    <t>弈工分健康（外包保安）丁国朝</t>
  </si>
  <si>
    <t>开弈人力-现金朱睿</t>
  </si>
  <si>
    <t>弈工分健康（外包保安）刘冬冬</t>
  </si>
  <si>
    <t>弈工分健康（外包保安）杨永宁</t>
  </si>
  <si>
    <t>弈工分健康（外包保安）刘曦文</t>
  </si>
  <si>
    <t>弈工分健康（外包保安）宋红超</t>
  </si>
  <si>
    <t>弈工分健康（外包保安）李俭波</t>
  </si>
  <si>
    <t>开弈投资蔡心宇</t>
  </si>
  <si>
    <t>开弈投资芦智蔚</t>
  </si>
  <si>
    <t>弈工分健康（外包保安）徐刘岸</t>
  </si>
  <si>
    <t>开弈投资方有保</t>
  </si>
  <si>
    <t>弈工分健康朱兴佳</t>
  </si>
  <si>
    <t>弈工分健康（外包保安）马金超</t>
  </si>
  <si>
    <t>开弈投资贾飞龙</t>
  </si>
  <si>
    <t>弈工分健康（外包保安）宋英杰</t>
  </si>
  <si>
    <t>开弈投资王力</t>
  </si>
  <si>
    <t>弈工分健康（外包保安）李龙</t>
  </si>
  <si>
    <t>开弈投资朱鑫沛</t>
  </si>
  <si>
    <t>弈工分健康（外包保安）朱家良</t>
  </si>
  <si>
    <t>开弈投资安东生</t>
  </si>
  <si>
    <t>弈工分健康（外包保安）杨永奋</t>
  </si>
  <si>
    <t>开弈投资王倩</t>
  </si>
  <si>
    <t>弈工分健康（外包保安）许磊</t>
  </si>
  <si>
    <t>开弈投资黄一萧</t>
  </si>
  <si>
    <t>弈工分健康（外包保安）李威威</t>
  </si>
  <si>
    <t>开弈投资汪顺</t>
  </si>
  <si>
    <t>弈工分健康（外包保安）王海涛</t>
  </si>
  <si>
    <t>弈工分健康（外包保安）王玉玺</t>
  </si>
  <si>
    <t>开弈投资张毅</t>
  </si>
  <si>
    <t>弈工分健康林书华</t>
  </si>
  <si>
    <t>弈工分健康韩雅凤</t>
  </si>
  <si>
    <t>弈工分健康张林梅</t>
  </si>
  <si>
    <t>弈工分健康刘顺兰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</si>
</sst>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 [$CNY]\ * #,##0.00_ ;_ [$CNY]\ * \-#,##0.00_ ;_ [$CNY]\ * &quot;-&quot;??_ ;_ @_ "/>
    <numFmt numFmtId="178" formatCode="_-* #,##0.00_-;\-* #,##0.00_-;_-* &quot;-&quot;??_-;_-@_-"/>
    <numFmt numFmtId="179" formatCode="_-[$£-809]* #,##0.00_-;\-[$£-809]* #,##0.00_-;_-[$£-809]* &quot;-&quot;??_-;_-@_-"/>
    <numFmt numFmtId="180" formatCode="#,##0.00_ "/>
    <numFmt numFmtId="181" formatCode="_ * #,##0.0_ ;_ * \-#,##0.0_ ;_ * &quot;-&quot;??_ ;_ @_ "/>
    <numFmt numFmtId="182" formatCode="&quot;年&quot;&quot;假&quot;0&quot;天&quot;"/>
    <numFmt numFmtId="183" formatCode="yyyy/m/d;@"/>
    <numFmt numFmtId="184" formatCode="0.000_);[Red]\(0.000\)"/>
    <numFmt numFmtId="185" formatCode="0.00000_);[Red]\(0.00000\)"/>
    <numFmt numFmtId="186" formatCode="0.00_);[Red]\(0.00\)"/>
    <numFmt numFmtId="187" formatCode="_ * #,##0.0000_ ;_ * \-#,##0.0000_ ;_ * &quot;-&quot;??_ ;_ @_ "/>
    <numFmt numFmtId="188" formatCode="0.00_ "/>
    <numFmt numFmtId="189" formatCode="_(* #,##0.000_);_(* \(#,##0.000\);_(* &quot;-&quot;??_);_(@_)"/>
    <numFmt numFmtId="190" formatCode="_(* #,##0_);_(* \(#,##0\);_(* &quot;-&quot;??_);_(@_)"/>
  </numFmts>
  <fonts count="85">
    <font>
      <sz val="12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name val="DengXian"/>
      <charset val="134"/>
      <scheme val="minor"/>
    </font>
    <font>
      <b/>
      <sz val="16"/>
      <color theme="1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b/>
      <sz val="11"/>
      <name val="DengXian"/>
      <charset val="134"/>
      <scheme val="minor"/>
    </font>
    <font>
      <sz val="11"/>
      <name val="等线 Light"/>
      <charset val="134"/>
    </font>
    <font>
      <sz val="12"/>
      <name val="宋体"/>
      <charset val="134"/>
    </font>
    <font>
      <sz val="12"/>
      <name val="等线 Light"/>
      <charset val="134"/>
    </font>
    <font>
      <b/>
      <sz val="11"/>
      <name val="等线 Light"/>
      <charset val="134"/>
    </font>
    <font>
      <sz val="11"/>
      <color rgb="FFFF0000"/>
      <name val="等线 Light"/>
      <charset val="134"/>
    </font>
    <font>
      <sz val="16"/>
      <color theme="1" tint="0.349986266670736"/>
      <name val="等线 Light"/>
      <charset val="134"/>
    </font>
    <font>
      <sz val="11"/>
      <color theme="1"/>
      <name val="等线 Light"/>
      <charset val="134"/>
    </font>
    <font>
      <b/>
      <sz val="16"/>
      <color theme="1" tint="0.349986266670736"/>
      <name val="等线 Light"/>
      <charset val="134"/>
    </font>
    <font>
      <b/>
      <sz val="11"/>
      <color rgb="FFFF0000"/>
      <name val="等线 Light"/>
      <charset val="134"/>
    </font>
    <font>
      <b/>
      <sz val="11"/>
      <color theme="1" tint="0.249977111117893"/>
      <name val="等线 Light"/>
      <charset val="134"/>
    </font>
    <font>
      <b/>
      <sz val="11"/>
      <color theme="1"/>
      <name val="等线 Light"/>
      <charset val="134"/>
    </font>
    <font>
      <sz val="11"/>
      <color theme="0"/>
      <name val="等线 Light"/>
      <charset val="134"/>
    </font>
    <font>
      <b/>
      <sz val="11"/>
      <color theme="0"/>
      <name val="等线 Light"/>
      <charset val="134"/>
    </font>
    <font>
      <sz val="11"/>
      <color indexed="8"/>
      <name val="等线 Light"/>
      <charset val="134"/>
    </font>
    <font>
      <sz val="11"/>
      <color theme="1"/>
      <name val="微软雅黑"/>
      <charset val="134"/>
    </font>
    <font>
      <sz val="9"/>
      <name val="微软雅黑"/>
      <charset val="134"/>
    </font>
    <font>
      <sz val="16"/>
      <name val="Heiti SC Light"/>
      <charset val="134"/>
    </font>
    <font>
      <sz val="11"/>
      <name val="Heiti SC Light"/>
      <charset val="134"/>
    </font>
    <font>
      <b/>
      <sz val="14"/>
      <name val="Heiti SC Light"/>
      <charset val="134"/>
    </font>
    <font>
      <b/>
      <sz val="11"/>
      <color rgb="FFFF0000"/>
      <name val="Arial"/>
      <charset val="134"/>
    </font>
    <font>
      <b/>
      <sz val="11"/>
      <name val="Heiti SC Light"/>
      <charset val="134"/>
    </font>
    <font>
      <sz val="12"/>
      <name val="DengXian"/>
      <charset val="134"/>
      <scheme val="minor"/>
    </font>
    <font>
      <b/>
      <sz val="16"/>
      <name val="Heiti SC Light"/>
      <charset val="134"/>
    </font>
    <font>
      <b/>
      <sz val="16"/>
      <name val="SimSun"/>
      <charset val="134"/>
    </font>
    <font>
      <sz val="12"/>
      <color theme="0"/>
      <name val="DengXian"/>
      <charset val="134"/>
      <scheme val="minor"/>
    </font>
    <font>
      <sz val="11"/>
      <color rgb="FFFF0000"/>
      <name val="Heiti SC Light"/>
      <charset val="134"/>
    </font>
    <font>
      <b/>
      <sz val="11"/>
      <name val="SimSun"/>
      <charset val="134"/>
    </font>
    <font>
      <sz val="11"/>
      <name val="宋体"/>
      <charset val="134"/>
    </font>
    <font>
      <b/>
      <sz val="11"/>
      <color rgb="FFFF0000"/>
      <name val="SimSun"/>
      <charset val="134"/>
    </font>
    <font>
      <b/>
      <sz val="11"/>
      <name val="宋体"/>
      <charset val="134"/>
    </font>
    <font>
      <b/>
      <sz val="11"/>
      <name val="Cambria"/>
      <charset val="134"/>
    </font>
    <font>
      <sz val="11"/>
      <color rgb="FFFF0000"/>
      <name val="DengXian"/>
      <charset val="134"/>
      <scheme val="minor"/>
    </font>
    <font>
      <b/>
      <sz val="11"/>
      <name val="Arial"/>
      <charset val="134"/>
    </font>
    <font>
      <b/>
      <sz val="11"/>
      <color theme="1"/>
      <name val="Heiti SC Light"/>
      <charset val="134"/>
    </font>
    <font>
      <b/>
      <sz val="11"/>
      <color theme="1"/>
      <name val="SimSun"/>
      <charset val="134"/>
    </font>
    <font>
      <b/>
      <sz val="11"/>
      <name val="Heiti SC"/>
      <charset val="134"/>
    </font>
    <font>
      <sz val="11"/>
      <color theme="1"/>
      <name val="宋体"/>
      <charset val="134"/>
    </font>
    <font>
      <b/>
      <sz val="11"/>
      <color theme="0"/>
      <name val="Heiti SC Light"/>
      <charset val="134"/>
    </font>
    <font>
      <sz val="12"/>
      <color rgb="FFFF0000"/>
      <name val="DengXian"/>
      <charset val="134"/>
      <scheme val="minor"/>
    </font>
    <font>
      <b/>
      <sz val="11"/>
      <color theme="1" tint="0.499984740745262"/>
      <name val="等线 Light"/>
      <charset val="134"/>
    </font>
    <font>
      <b/>
      <sz val="16"/>
      <color theme="1" tint="0.14966277047029"/>
      <name val="等线 Light"/>
      <charset val="134"/>
    </font>
    <font>
      <b/>
      <sz val="11"/>
      <color theme="8" tint="-0.499984740745262"/>
      <name val="等线 Light"/>
      <charset val="134"/>
    </font>
    <font>
      <sz val="11"/>
      <color theme="1" tint="0.499984740745262"/>
      <name val="等线 Light"/>
      <charset val="134"/>
    </font>
    <font>
      <sz val="11"/>
      <color theme="1" tint="0.149632251960814"/>
      <name val="等线 Light"/>
      <charset val="134"/>
    </font>
    <font>
      <sz val="11"/>
      <color rgb="FF008000"/>
      <name val="等线 Light"/>
      <charset val="134"/>
    </font>
    <font>
      <u val="singleAccounting"/>
      <sz val="11"/>
      <color theme="1"/>
      <name val="等线 Light"/>
      <charset val="134"/>
    </font>
    <font>
      <b/>
      <u val="singleAccounting"/>
      <sz val="11"/>
      <color theme="1"/>
      <name val="等线 Light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 Light"/>
      <charset val="134"/>
      <scheme val="maj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0"/>
      <color theme="1" tint="0.149601733451338"/>
      <name val="宋体"/>
      <charset val="134"/>
    </font>
    <font>
      <sz val="10"/>
      <name val="Arial"/>
      <charset val="134"/>
    </font>
    <font>
      <sz val="12"/>
      <color indexed="8"/>
      <name val="宋体"/>
      <charset val="134"/>
    </font>
    <font>
      <sz val="11"/>
      <color indexed="8"/>
      <name val="DengXian"/>
      <charset val="134"/>
      <scheme val="minor"/>
    </font>
    <font>
      <sz val="11"/>
      <name val="Arial"/>
      <charset val="134"/>
    </font>
    <font>
      <sz val="11"/>
      <color indexed="8"/>
      <name val="宋体"/>
      <charset val="134"/>
    </font>
    <font>
      <sz val="10"/>
      <color indexed="8"/>
      <name val="MS Sans Serif"/>
      <charset val="134"/>
    </font>
    <font>
      <u/>
      <sz val="11"/>
      <color theme="10"/>
      <name val="DengXian"/>
      <charset val="134"/>
      <scheme val="minor"/>
    </font>
    <font>
      <b/>
      <sz val="11"/>
      <color rgb="FFFF0000"/>
      <name val="宋体"/>
      <charset val="134"/>
    </font>
    <font>
      <b/>
      <sz val="11"/>
      <color theme="1"/>
      <name val="Heiti SC"/>
      <charset val="134"/>
    </font>
    <font>
      <b/>
      <sz val="9"/>
      <name val="宋体"/>
      <charset val="134"/>
    </font>
    <font>
      <sz val="11"/>
      <name val="宋体"/>
      <charset val="134"/>
    </font>
    <font>
      <sz val="9"/>
      <name val="宋体"/>
      <charset val="134"/>
    </font>
  </fonts>
  <fills count="62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6627704702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6932889797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584948271126"/>
        <bgColor indexed="64"/>
      </patternFill>
    </fill>
    <fill>
      <patternFill patternType="solid">
        <fgColor theme="4" tint="0.799615466780602"/>
        <bgColor indexed="64"/>
      </patternFill>
    </fill>
  </fills>
  <borders count="8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thin">
        <color theme="0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0"/>
      </left>
      <right style="thin">
        <color theme="0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 tint="0.499984740745262"/>
      </top>
      <bottom style="thin">
        <color theme="0"/>
      </bottom>
      <diagonal/>
    </border>
    <border>
      <left style="thin">
        <color theme="0"/>
      </left>
      <right/>
      <top style="medium">
        <color theme="1" tint="0.499984740745262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medium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medium">
        <color theme="1" tint="0.499984740745262"/>
      </top>
      <bottom style="thin">
        <color theme="0"/>
      </bottom>
      <diagonal/>
    </border>
    <border>
      <left/>
      <right style="thin">
        <color theme="0"/>
      </right>
      <top style="medium">
        <color theme="1" tint="0.499984740745262"/>
      </top>
      <bottom style="thin">
        <color theme="0"/>
      </bottom>
      <diagonal/>
    </border>
    <border>
      <left/>
      <right/>
      <top style="medium">
        <color theme="1" tint="0.499984740745262"/>
      </top>
      <bottom style="thin">
        <color theme="0"/>
      </bottom>
      <diagonal/>
    </border>
    <border>
      <left/>
      <right style="thin">
        <color auto="1"/>
      </right>
      <top style="medium">
        <color theme="1" tint="0.499984740745262"/>
      </top>
      <bottom style="thin">
        <color theme="0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 style="thin">
        <color auto="1"/>
      </left>
      <right style="thin">
        <color theme="0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auto="1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theme="0" tint="-0.0499893185216834"/>
      </bottom>
      <diagonal/>
    </border>
    <border>
      <left style="thick">
        <color theme="0"/>
      </left>
      <right/>
      <top/>
      <bottom style="thin">
        <color theme="0" tint="-0.0499893185216834"/>
      </bottom>
      <diagonal/>
    </border>
    <border>
      <left/>
      <right style="thick">
        <color theme="0"/>
      </right>
      <top/>
      <bottom style="thin">
        <color theme="0" tint="-0.0499893185216834"/>
      </bottom>
      <diagonal/>
    </border>
    <border>
      <left/>
      <right style="thick">
        <color theme="1" tint="0.499984740745262"/>
      </right>
      <top/>
      <bottom style="thin">
        <color theme="0" tint="-0.0499893185216834"/>
      </bottom>
      <diagonal/>
    </border>
    <border>
      <left/>
      <right/>
      <top style="thin">
        <color theme="0" tint="-0.0499893185216834"/>
      </top>
      <bottom/>
      <diagonal/>
    </border>
    <border>
      <left style="thick">
        <color theme="0"/>
      </left>
      <right/>
      <top style="thin">
        <color theme="0" tint="-0.0499893185216834"/>
      </top>
      <bottom/>
      <diagonal/>
    </border>
    <border>
      <left/>
      <right style="thick">
        <color theme="0"/>
      </right>
      <top style="thin">
        <color theme="0" tint="-0.0499893185216834"/>
      </top>
      <bottom/>
      <diagonal/>
    </border>
    <border>
      <left/>
      <right style="thick">
        <color theme="1" tint="0.499984740745262"/>
      </right>
      <top style="thin">
        <color theme="0" tint="-0.0499893185216834"/>
      </top>
      <bottom/>
      <diagonal/>
    </border>
    <border>
      <left style="thick">
        <color theme="0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ck">
        <color theme="1" tint="0.499984740745262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 style="thick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thick">
        <color theme="1" tint="0.499984740745262"/>
      </top>
      <bottom/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thin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auto="1"/>
      </left>
      <right style="thin">
        <color auto="1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/>
      <top style="thin">
        <color theme="0"/>
      </top>
      <bottom style="thin">
        <color theme="0"/>
      </bottom>
      <diagonal/>
    </border>
    <border>
      <left/>
      <right style="thin">
        <color theme="1" tint="0.249977111117893"/>
      </right>
      <top style="thin">
        <color theme="0"/>
      </top>
      <bottom style="thin">
        <color theme="0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medium">
        <color theme="1" tint="0.249946592608417"/>
      </top>
      <bottom/>
      <diagonal/>
    </border>
    <border>
      <left/>
      <right style="thin">
        <color theme="0" tint="-0.499984740745262"/>
      </right>
      <top style="medium">
        <color theme="1" tint="0.249946592608417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 tint="0.249946592608417"/>
      </top>
      <bottom/>
      <diagonal/>
    </border>
    <border>
      <left style="thin">
        <color theme="0" tint="-0.499984740745262"/>
      </left>
      <right/>
      <top style="medium">
        <color theme="1" tint="0.249946592608417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/>
      <diagonal/>
    </border>
    <border>
      <left style="thin">
        <color theme="0" tint="-0.499984740745262"/>
      </left>
      <right/>
      <top style="thin">
        <color auto="1"/>
      </top>
      <bottom/>
      <diagonal/>
    </border>
    <border>
      <left/>
      <right/>
      <top/>
      <bottom style="thin">
        <color theme="1" tint="0.249946592608417"/>
      </bottom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medium">
        <color theme="1" tint="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/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" fillId="30" borderId="77" applyNumberFormat="0" applyFont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58" fillId="0" borderId="78" applyNumberFormat="0" applyFill="0" applyAlignment="0" applyProtection="0"/>
    <xf numFmtId="0" fontId="59" fillId="0" borderId="79" applyNumberFormat="0" applyFill="0" applyAlignment="0" applyProtection="0">
      <alignment vertical="center"/>
    </xf>
    <xf numFmtId="0" fontId="60" fillId="0" borderId="80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1" borderId="81" applyNumberFormat="0" applyAlignment="0" applyProtection="0">
      <alignment vertical="center"/>
    </xf>
    <xf numFmtId="0" fontId="62" fillId="32" borderId="82" applyNumberFormat="0" applyAlignment="0" applyProtection="0">
      <alignment vertical="center"/>
    </xf>
    <xf numFmtId="0" fontId="63" fillId="32" borderId="81" applyNumberFormat="0" applyAlignment="0" applyProtection="0">
      <alignment vertical="center"/>
    </xf>
    <xf numFmtId="0" fontId="64" fillId="33" borderId="83" applyNumberFormat="0" applyAlignment="0" applyProtection="0">
      <alignment vertical="center"/>
    </xf>
    <xf numFmtId="0" fontId="65" fillId="0" borderId="84" applyNumberFormat="0" applyFill="0" applyAlignment="0" applyProtection="0">
      <alignment vertical="center"/>
    </xf>
    <xf numFmtId="0" fontId="66" fillId="0" borderId="85" applyNumberFormat="0" applyFill="0" applyAlignment="0" applyProtection="0">
      <alignment vertical="center"/>
    </xf>
    <xf numFmtId="0" fontId="67" fillId="3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0" fillId="48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0" fillId="51" borderId="0" applyNumberFormat="0" applyBorder="0" applyAlignment="0" applyProtection="0">
      <alignment vertical="center"/>
    </xf>
    <xf numFmtId="0" fontId="70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0" fillId="55" borderId="0" applyNumberFormat="0" applyBorder="0" applyAlignment="0" applyProtection="0">
      <alignment vertical="center"/>
    </xf>
    <xf numFmtId="0" fontId="70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0" fillId="59" borderId="0" applyNumberFormat="0" applyBorder="0" applyAlignment="0" applyProtection="0">
      <alignment vertical="center"/>
    </xf>
    <xf numFmtId="0" fontId="72" fillId="0" borderId="0"/>
    <xf numFmtId="0" fontId="1" fillId="60" borderId="0" applyNumberFormat="0" applyBorder="0" applyAlignment="0" applyProtection="0">
      <alignment vertical="center"/>
    </xf>
    <xf numFmtId="0" fontId="73" fillId="0" borderId="0"/>
    <xf numFmtId="0" fontId="74" fillId="0" borderId="0" applyProtection="0"/>
    <xf numFmtId="9" fontId="0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61" borderId="0" applyNumberFormat="0" applyBorder="0" applyAlignment="0" applyProtection="0">
      <alignment vertical="center"/>
    </xf>
    <xf numFmtId="0" fontId="1" fillId="0" borderId="0"/>
    <xf numFmtId="0" fontId="0" fillId="0" borderId="0">
      <alignment vertical="center"/>
    </xf>
    <xf numFmtId="0" fontId="75" fillId="0" borderId="0">
      <alignment vertical="center"/>
    </xf>
    <xf numFmtId="0" fontId="7" fillId="0" borderId="0" applyProtection="0">
      <alignment vertical="center"/>
    </xf>
    <xf numFmtId="0" fontId="7" fillId="0" borderId="0" applyProtection="0"/>
    <xf numFmtId="0" fontId="73" fillId="0" borderId="0">
      <alignment vertical="center"/>
    </xf>
    <xf numFmtId="0" fontId="76" fillId="0" borderId="0" applyFont="0" applyFill="0" applyBorder="0" applyAlignment="0" applyProtection="0"/>
    <xf numFmtId="0" fontId="7" fillId="0" borderId="0" applyBorder="0"/>
    <xf numFmtId="0" fontId="77" fillId="0" borderId="0">
      <alignment vertical="center"/>
    </xf>
    <xf numFmtId="177" fontId="1" fillId="0" borderId="0">
      <alignment vertical="center"/>
    </xf>
    <xf numFmtId="0" fontId="78" fillId="0" borderId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73" fillId="0" borderId="0" applyBorder="0"/>
    <xf numFmtId="179" fontId="73" fillId="0" borderId="0"/>
    <xf numFmtId="0" fontId="1" fillId="0" borderId="0"/>
    <xf numFmtId="176" fontId="0" fillId="0" borderId="0" applyFont="0" applyFill="0" applyBorder="0" applyAlignment="0" applyProtection="0">
      <alignment vertical="center"/>
    </xf>
  </cellStyleXfs>
  <cellXfs count="466">
    <xf numFmtId="0" fontId="0" fillId="0" borderId="0" xfId="0"/>
    <xf numFmtId="43" fontId="0" fillId="0" borderId="0" xfId="0" applyNumberFormat="1"/>
    <xf numFmtId="0" fontId="0" fillId="2" borderId="0" xfId="0" applyFill="1"/>
    <xf numFmtId="43" fontId="0" fillId="3" borderId="0" xfId="0" applyNumberFormat="1" applyFill="1"/>
    <xf numFmtId="0" fontId="0" fillId="4" borderId="0" xfId="0" applyFill="1"/>
    <xf numFmtId="0" fontId="0" fillId="5" borderId="0" xfId="0" applyFill="1"/>
    <xf numFmtId="0" fontId="0" fillId="3" borderId="0" xfId="0" applyFill="1"/>
    <xf numFmtId="43" fontId="0" fillId="6" borderId="0" xfId="0" applyNumberFormat="1" applyFill="1"/>
    <xf numFmtId="0" fontId="0" fillId="7" borderId="0" xfId="0" applyFill="1"/>
    <xf numFmtId="180" fontId="0" fillId="0" borderId="0" xfId="0" applyNumberFormat="1"/>
    <xf numFmtId="0" fontId="0" fillId="8" borderId="0" xfId="0" applyFill="1"/>
    <xf numFmtId="0" fontId="0" fillId="6" borderId="0" xfId="0" applyFill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Fill="1" applyAlignment="1">
      <alignment horizontal="center"/>
    </xf>
    <xf numFmtId="181" fontId="8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8" fillId="0" borderId="0" xfId="0" applyNumberFormat="1" applyFont="1" applyFill="1" applyAlignment="1"/>
    <xf numFmtId="181" fontId="8" fillId="11" borderId="0" xfId="0" applyNumberFormat="1" applyFont="1" applyFill="1" applyAlignment="1">
      <alignment horizontal="center"/>
    </xf>
    <xf numFmtId="0" fontId="8" fillId="0" borderId="3" xfId="0" applyFont="1" applyFill="1" applyBorder="1" applyAlignment="1">
      <alignment horizontal="center"/>
    </xf>
    <xf numFmtId="181" fontId="8" fillId="0" borderId="3" xfId="0" applyNumberFormat="1" applyFont="1" applyFill="1" applyBorder="1" applyAlignment="1">
      <alignment horizontal="center"/>
    </xf>
    <xf numFmtId="0" fontId="8" fillId="11" borderId="0" xfId="0" applyFont="1" applyFill="1" applyAlignment="1">
      <alignment horizontal="center"/>
    </xf>
    <xf numFmtId="14" fontId="9" fillId="12" borderId="4" xfId="70" applyNumberFormat="1" applyFont="1" applyFill="1" applyBorder="1" applyAlignment="1">
      <alignment horizontal="left" vertical="center"/>
    </xf>
    <xf numFmtId="14" fontId="9" fillId="12" borderId="5" xfId="70" applyNumberFormat="1" applyFont="1" applyFill="1" applyBorder="1" applyAlignment="1">
      <alignment horizontal="left" vertical="center" wrapText="1"/>
    </xf>
    <xf numFmtId="0" fontId="9" fillId="12" borderId="5" xfId="70" applyFont="1" applyFill="1" applyBorder="1" applyAlignment="1">
      <alignment horizontal="left" vertical="center" wrapText="1"/>
    </xf>
    <xf numFmtId="0" fontId="9" fillId="12" borderId="5" xfId="70" applyFont="1" applyFill="1" applyBorder="1" applyAlignment="1">
      <alignment horizontal="left" vertical="center"/>
    </xf>
    <xf numFmtId="0" fontId="9" fillId="12" borderId="5" xfId="70" applyFont="1" applyFill="1" applyBorder="1" applyAlignment="1">
      <alignment horizontal="center" vertical="center" wrapText="1"/>
    </xf>
    <xf numFmtId="0" fontId="9" fillId="12" borderId="6" xfId="70" applyFont="1" applyFill="1" applyBorder="1" applyAlignment="1">
      <alignment horizontal="center" vertical="center" wrapText="1"/>
    </xf>
    <xf numFmtId="0" fontId="9" fillId="12" borderId="7" xfId="70" applyFont="1" applyFill="1" applyBorder="1" applyAlignment="1">
      <alignment horizontal="center" vertical="center" wrapText="1"/>
    </xf>
    <xf numFmtId="181" fontId="9" fillId="12" borderId="8" xfId="70" applyNumberFormat="1" applyFont="1" applyFill="1" applyBorder="1" applyAlignment="1">
      <alignment horizontal="center" vertical="center" wrapText="1"/>
    </xf>
    <xf numFmtId="0" fontId="9" fillId="12" borderId="8" xfId="70" applyFont="1" applyFill="1" applyBorder="1" applyAlignment="1">
      <alignment horizontal="center" vertical="center" wrapText="1"/>
    </xf>
    <xf numFmtId="0" fontId="9" fillId="12" borderId="8" xfId="70" applyFont="1" applyFill="1" applyBorder="1" applyAlignment="1">
      <alignment horizontal="left" vertical="center" wrapText="1"/>
    </xf>
    <xf numFmtId="0" fontId="9" fillId="12" borderId="8" xfId="7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/>
    <xf numFmtId="0" fontId="8" fillId="0" borderId="9" xfId="0" applyFont="1" applyFill="1" applyBorder="1" applyAlignment="1"/>
    <xf numFmtId="0" fontId="6" fillId="10" borderId="9" xfId="0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center" vertical="center"/>
    </xf>
    <xf numFmtId="181" fontId="6" fillId="10" borderId="10" xfId="0" applyNumberFormat="1" applyFont="1" applyFill="1" applyBorder="1" applyAlignment="1">
      <alignment horizontal="center" vertical="center"/>
    </xf>
    <xf numFmtId="181" fontId="6" fillId="10" borderId="2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0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8" fillId="0" borderId="11" xfId="0" applyFont="1" applyFill="1" applyBorder="1" applyAlignment="1"/>
    <xf numFmtId="0" fontId="6" fillId="0" borderId="2" xfId="0" applyFont="1" applyFill="1" applyBorder="1" applyAlignment="1">
      <alignment horizontal="center" vertical="center"/>
    </xf>
    <xf numFmtId="0" fontId="8" fillId="0" borderId="0" xfId="0" applyFont="1" applyFill="1" applyBorder="1" applyAlignment="1"/>
    <xf numFmtId="43" fontId="6" fillId="10" borderId="2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182" fontId="10" fillId="10" borderId="2" xfId="0" applyNumberFormat="1" applyFont="1" applyFill="1" applyBorder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/>
    </xf>
    <xf numFmtId="0" fontId="6" fillId="10" borderId="11" xfId="0" applyFont="1" applyFill="1" applyBorder="1" applyAlignment="1">
      <alignment horizontal="left" vertical="center"/>
    </xf>
    <xf numFmtId="0" fontId="10" fillId="14" borderId="2" xfId="0" applyFont="1" applyFill="1" applyBorder="1" applyAlignment="1">
      <alignment horizontal="center"/>
    </xf>
    <xf numFmtId="0" fontId="10" fillId="14" borderId="0" xfId="0" applyFont="1" applyFill="1" applyBorder="1" applyAlignment="1">
      <alignment horizontal="center" vertical="center"/>
    </xf>
    <xf numFmtId="0" fontId="1" fillId="16" borderId="0" xfId="0" applyFont="1" applyFill="1" applyAlignment="1"/>
    <xf numFmtId="180" fontId="1" fillId="16" borderId="0" xfId="0" applyNumberFormat="1" applyFont="1" applyFill="1" applyAlignment="1"/>
    <xf numFmtId="0" fontId="1" fillId="11" borderId="0" xfId="0" applyFont="1" applyFill="1" applyAlignment="1"/>
    <xf numFmtId="0" fontId="1" fillId="17" borderId="0" xfId="0" applyFont="1" applyFill="1" applyAlignment="1"/>
    <xf numFmtId="0" fontId="0" fillId="11" borderId="0" xfId="0" applyFill="1"/>
    <xf numFmtId="0" fontId="1" fillId="0" borderId="0" xfId="0" applyFont="1" applyFill="1" applyAlignment="1"/>
    <xf numFmtId="0" fontId="1" fillId="16" borderId="0" xfId="0" applyNumberFormat="1" applyFont="1" applyFill="1" applyAlignment="1">
      <alignment horizontal="center"/>
    </xf>
    <xf numFmtId="0" fontId="1" fillId="8" borderId="0" xfId="0" applyFont="1" applyFill="1" applyAlignment="1"/>
    <xf numFmtId="0" fontId="1" fillId="18" borderId="0" xfId="0" applyFont="1" applyFill="1" applyAlignment="1"/>
    <xf numFmtId="180" fontId="1" fillId="18" borderId="0" xfId="0" applyNumberFormat="1" applyFont="1" applyFill="1" applyAlignment="1"/>
    <xf numFmtId="0" fontId="2" fillId="5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2" borderId="0" xfId="0" applyFont="1" applyFill="1" applyAlignment="1"/>
    <xf numFmtId="0" fontId="1" fillId="19" borderId="0" xfId="0" applyFont="1" applyFill="1" applyAlignment="1"/>
    <xf numFmtId="0" fontId="1" fillId="7" borderId="0" xfId="0" applyFont="1" applyFill="1" applyAlignment="1"/>
    <xf numFmtId="0" fontId="1" fillId="3" borderId="0" xfId="0" applyFont="1" applyFill="1" applyAlignment="1"/>
    <xf numFmtId="0" fontId="11" fillId="0" borderId="0" xfId="0" applyFont="1" applyBorder="1" applyAlignment="1"/>
    <xf numFmtId="0" fontId="11" fillId="0" borderId="0" xfId="0" applyFont="1" applyAlignment="1"/>
    <xf numFmtId="0" fontId="6" fillId="0" borderId="0" xfId="0" applyFont="1" applyAlignment="1">
      <alignment vertical="center"/>
    </xf>
    <xf numFmtId="0" fontId="12" fillId="0" borderId="0" xfId="0" applyFont="1"/>
    <xf numFmtId="18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2" fillId="0" borderId="0" xfId="1" applyFont="1" applyAlignment="1">
      <alignment vertical="center"/>
    </xf>
    <xf numFmtId="0" fontId="12" fillId="0" borderId="0" xfId="0" applyFont="1" applyBorder="1" applyAlignment="1">
      <alignment horizontal="center" vertical="center"/>
    </xf>
    <xf numFmtId="176" fontId="12" fillId="0" borderId="0" xfId="1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20" borderId="0" xfId="12" applyFont="1" applyFill="1" applyBorder="1" applyAlignment="1"/>
    <xf numFmtId="183" fontId="13" fillId="20" borderId="0" xfId="12" applyNumberFormat="1" applyFont="1" applyFill="1" applyBorder="1" applyAlignment="1">
      <alignment horizontal="center"/>
    </xf>
    <xf numFmtId="0" fontId="13" fillId="20" borderId="0" xfId="12" applyFont="1" applyFill="1" applyBorder="1" applyAlignment="1">
      <alignment horizontal="center"/>
    </xf>
    <xf numFmtId="176" fontId="13" fillId="20" borderId="0" xfId="1" applyFont="1" applyFill="1" applyBorder="1" applyAlignment="1"/>
    <xf numFmtId="176" fontId="14" fillId="20" borderId="0" xfId="1" applyFont="1" applyFill="1" applyBorder="1" applyAlignment="1">
      <alignment horizontal="center"/>
    </xf>
    <xf numFmtId="176" fontId="14" fillId="20" borderId="0" xfId="1" applyFont="1" applyFill="1" applyBorder="1" applyAlignment="1"/>
    <xf numFmtId="14" fontId="15" fillId="10" borderId="12" xfId="70" applyNumberFormat="1" applyFont="1" applyFill="1" applyBorder="1" applyAlignment="1">
      <alignment vertical="center" wrapText="1"/>
    </xf>
    <xf numFmtId="183" fontId="15" fillId="10" borderId="12" xfId="70" applyNumberFormat="1" applyFont="1" applyFill="1" applyBorder="1" applyAlignment="1">
      <alignment vertical="center" wrapText="1"/>
    </xf>
    <xf numFmtId="14" fontId="15" fillId="10" borderId="12" xfId="70" applyNumberFormat="1" applyFont="1" applyFill="1" applyBorder="1" applyAlignment="1">
      <alignment horizontal="center" vertical="center" wrapText="1"/>
    </xf>
    <xf numFmtId="14" fontId="15" fillId="10" borderId="13" xfId="70" applyNumberFormat="1" applyFont="1" applyFill="1" applyBorder="1" applyAlignment="1">
      <alignment vertical="center" wrapText="1"/>
    </xf>
    <xf numFmtId="14" fontId="15" fillId="10" borderId="14" xfId="70" applyNumberFormat="1" applyFont="1" applyFill="1" applyBorder="1" applyAlignment="1">
      <alignment horizontal="center" vertical="center" wrapText="1"/>
    </xf>
    <xf numFmtId="14" fontId="15" fillId="10" borderId="15" xfId="70" applyNumberFormat="1" applyFont="1" applyFill="1" applyBorder="1" applyAlignment="1">
      <alignment horizontal="center" vertical="center" wrapText="1"/>
    </xf>
    <xf numFmtId="14" fontId="15" fillId="10" borderId="16" xfId="70" applyNumberFormat="1" applyFont="1" applyFill="1" applyBorder="1" applyAlignment="1">
      <alignment horizontal="center" vertical="center" wrapText="1"/>
    </xf>
    <xf numFmtId="14" fontId="15" fillId="10" borderId="17" xfId="70" applyNumberFormat="1" applyFont="1" applyFill="1" applyBorder="1" applyAlignment="1">
      <alignment horizontal="center" vertical="center" wrapText="1"/>
    </xf>
    <xf numFmtId="14" fontId="15" fillId="10" borderId="18" xfId="70" applyNumberFormat="1" applyFont="1" applyFill="1" applyBorder="1" applyAlignment="1">
      <alignment horizontal="center" vertical="center" wrapText="1"/>
    </xf>
    <xf numFmtId="14" fontId="15" fillId="10" borderId="16" xfId="70" applyNumberFormat="1" applyFont="1" applyFill="1" applyBorder="1" applyAlignment="1">
      <alignment vertical="center" wrapText="1"/>
    </xf>
    <xf numFmtId="14" fontId="15" fillId="10" borderId="17" xfId="70" applyNumberFormat="1" applyFont="1" applyFill="1" applyBorder="1" applyAlignment="1">
      <alignment vertical="center" wrapText="1"/>
    </xf>
    <xf numFmtId="14" fontId="15" fillId="10" borderId="15" xfId="70" applyNumberFormat="1" applyFont="1" applyFill="1" applyBorder="1" applyAlignment="1">
      <alignment vertical="center" wrapText="1"/>
    </xf>
    <xf numFmtId="14" fontId="15" fillId="10" borderId="18" xfId="70" applyNumberFormat="1" applyFont="1" applyFill="1" applyBorder="1" applyAlignment="1">
      <alignment vertical="center" wrapText="1"/>
    </xf>
    <xf numFmtId="14" fontId="9" fillId="12" borderId="4" xfId="70" applyNumberFormat="1" applyFont="1" applyFill="1" applyBorder="1" applyAlignment="1">
      <alignment horizontal="center" vertical="center" wrapText="1"/>
    </xf>
    <xf numFmtId="183" fontId="9" fillId="12" borderId="4" xfId="70" applyNumberFormat="1" applyFont="1" applyFill="1" applyBorder="1" applyAlignment="1">
      <alignment horizontal="center" vertical="center" wrapText="1"/>
    </xf>
    <xf numFmtId="176" fontId="9" fillId="12" borderId="19" xfId="1" applyFont="1" applyFill="1" applyBorder="1" applyAlignment="1">
      <alignment horizontal="center" vertical="center" wrapText="1"/>
    </xf>
    <xf numFmtId="14" fontId="9" fillId="12" borderId="20" xfId="70" applyNumberFormat="1" applyFont="1" applyFill="1" applyBorder="1" applyAlignment="1">
      <alignment horizontal="center" vertical="center" wrapText="1"/>
    </xf>
    <xf numFmtId="176" fontId="9" fillId="12" borderId="21" xfId="1" applyFont="1" applyFill="1" applyBorder="1" applyAlignment="1">
      <alignment horizontal="center" vertical="center" wrapText="1"/>
    </xf>
    <xf numFmtId="176" fontId="9" fillId="12" borderId="4" xfId="1" applyFont="1" applyFill="1" applyBorder="1" applyAlignment="1">
      <alignment horizontal="center" vertical="center" wrapText="1"/>
    </xf>
    <xf numFmtId="14" fontId="9" fillId="12" borderId="21" xfId="70" applyNumberFormat="1" applyFont="1" applyFill="1" applyBorder="1" applyAlignment="1">
      <alignment horizontal="center" vertical="center" wrapText="1"/>
    </xf>
    <xf numFmtId="14" fontId="9" fillId="12" borderId="19" xfId="70" applyNumberFormat="1" applyFont="1" applyFill="1" applyBorder="1" applyAlignment="1">
      <alignment horizontal="center" vertical="center" wrapText="1"/>
    </xf>
    <xf numFmtId="176" fontId="9" fillId="5" borderId="21" xfId="1" applyNumberFormat="1" applyFont="1" applyFill="1" applyBorder="1" applyAlignment="1">
      <alignment horizontal="center" vertical="center" wrapText="1"/>
    </xf>
    <xf numFmtId="183" fontId="6" fillId="10" borderId="2" xfId="0" applyNumberFormat="1" applyFont="1" applyFill="1" applyBorder="1" applyAlignment="1">
      <alignment horizontal="center" vertical="center"/>
    </xf>
    <xf numFmtId="176" fontId="6" fillId="10" borderId="9" xfId="1" applyFont="1" applyFill="1" applyBorder="1" applyAlignment="1">
      <alignment horizontal="left" vertical="center"/>
    </xf>
    <xf numFmtId="0" fontId="6" fillId="10" borderId="22" xfId="0" applyFont="1" applyFill="1" applyBorder="1" applyAlignment="1">
      <alignment horizontal="center" vertical="center"/>
    </xf>
    <xf numFmtId="176" fontId="6" fillId="10" borderId="23" xfId="1" applyFont="1" applyFill="1" applyBorder="1" applyAlignment="1">
      <alignment horizontal="left" vertical="center"/>
    </xf>
    <xf numFmtId="0" fontId="6" fillId="10" borderId="10" xfId="0" applyFont="1" applyFill="1" applyBorder="1" applyAlignment="1">
      <alignment horizontal="center" vertical="center"/>
    </xf>
    <xf numFmtId="176" fontId="6" fillId="10" borderId="10" xfId="1" applyFont="1" applyFill="1" applyBorder="1" applyAlignment="1">
      <alignment horizontal="left" vertical="center"/>
    </xf>
    <xf numFmtId="176" fontId="6" fillId="10" borderId="2" xfId="1" applyFont="1" applyFill="1" applyBorder="1" applyAlignment="1">
      <alignment horizontal="left" vertical="center"/>
    </xf>
    <xf numFmtId="176" fontId="6" fillId="10" borderId="24" xfId="1" applyFont="1" applyFill="1" applyBorder="1" applyAlignment="1">
      <alignment horizontal="left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horizontal="center" vertical="center"/>
    </xf>
    <xf numFmtId="176" fontId="6" fillId="10" borderId="10" xfId="1" applyNumberFormat="1" applyFont="1" applyFill="1" applyBorder="1" applyAlignment="1">
      <alignment vertical="center"/>
    </xf>
    <xf numFmtId="176" fontId="6" fillId="10" borderId="2" xfId="1" applyNumberFormat="1" applyFont="1" applyFill="1" applyBorder="1" applyAlignment="1">
      <alignment vertical="center"/>
    </xf>
    <xf numFmtId="176" fontId="12" fillId="0" borderId="25" xfId="1" applyNumberFormat="1" applyFont="1" applyBorder="1" applyAlignment="1">
      <alignment vertical="center"/>
    </xf>
    <xf numFmtId="176" fontId="12" fillId="0" borderId="0" xfId="1" applyFont="1" applyAlignment="1">
      <alignment horizontal="center" vertical="center"/>
    </xf>
    <xf numFmtId="0" fontId="12" fillId="0" borderId="0" xfId="0" applyFont="1" applyAlignment="1"/>
    <xf numFmtId="177" fontId="16" fillId="0" borderId="0" xfId="69" applyFont="1">
      <alignment vertical="center"/>
    </xf>
    <xf numFmtId="177" fontId="12" fillId="0" borderId="0" xfId="69" applyFont="1" applyFill="1">
      <alignment vertical="center"/>
    </xf>
    <xf numFmtId="177" fontId="12" fillId="0" borderId="0" xfId="69" applyFont="1" applyFill="1" applyAlignment="1">
      <alignment vertical="center"/>
    </xf>
    <xf numFmtId="177" fontId="12" fillId="0" borderId="0" xfId="69" applyFont="1" applyAlignment="1">
      <alignment horizontal="center" vertical="center"/>
    </xf>
    <xf numFmtId="43" fontId="12" fillId="0" borderId="0" xfId="75" applyFont="1">
      <alignment vertical="center"/>
    </xf>
    <xf numFmtId="177" fontId="12" fillId="0" borderId="0" xfId="69" applyFont="1">
      <alignment vertical="center"/>
    </xf>
    <xf numFmtId="0" fontId="17" fillId="21" borderId="2" xfId="0" applyFont="1" applyFill="1" applyBorder="1" applyAlignment="1">
      <alignment horizontal="center" vertical="center"/>
    </xf>
    <xf numFmtId="0" fontId="18" fillId="21" borderId="2" xfId="69" applyNumberFormat="1" applyFont="1" applyFill="1" applyBorder="1" applyAlignment="1">
      <alignment horizontal="center" vertical="center"/>
    </xf>
    <xf numFmtId="177" fontId="18" fillId="21" borderId="2" xfId="69" applyFont="1" applyFill="1" applyBorder="1" applyAlignment="1">
      <alignment horizontal="center" vertical="center"/>
    </xf>
    <xf numFmtId="177" fontId="18" fillId="21" borderId="26" xfId="69" applyFont="1" applyFill="1" applyBorder="1" applyAlignment="1">
      <alignment horizontal="center" vertical="center"/>
    </xf>
    <xf numFmtId="177" fontId="18" fillId="21" borderId="2" xfId="69" applyFont="1" applyFill="1" applyBorder="1" applyAlignment="1">
      <alignment horizontal="center" vertical="center" wrapText="1"/>
    </xf>
    <xf numFmtId="177" fontId="18" fillId="21" borderId="0" xfId="69" applyFont="1" applyFill="1" applyAlignment="1">
      <alignment horizontal="center" vertical="center" wrapText="1"/>
    </xf>
    <xf numFmtId="177" fontId="18" fillId="21" borderId="6" xfId="69" applyFont="1" applyFill="1" applyBorder="1" applyAlignment="1">
      <alignment horizontal="center" vertical="center"/>
    </xf>
    <xf numFmtId="43" fontId="18" fillId="21" borderId="2" xfId="75" applyFont="1" applyFill="1" applyBorder="1" applyAlignment="1">
      <alignment horizontal="center" vertical="center"/>
    </xf>
    <xf numFmtId="177" fontId="18" fillId="21" borderId="27" xfId="69" applyFont="1" applyFill="1" applyBorder="1" applyAlignment="1">
      <alignment horizontal="center" vertical="center"/>
    </xf>
    <xf numFmtId="176" fontId="12" fillId="10" borderId="28" xfId="1" applyFont="1" applyFill="1" applyBorder="1"/>
    <xf numFmtId="176" fontId="12" fillId="10" borderId="29" xfId="1" applyFont="1" applyFill="1" applyBorder="1"/>
    <xf numFmtId="14" fontId="12" fillId="10" borderId="29" xfId="1" applyNumberFormat="1" applyFont="1" applyFill="1" applyBorder="1" applyAlignment="1">
      <alignment horizontal="center"/>
    </xf>
    <xf numFmtId="176" fontId="12" fillId="10" borderId="0" xfId="1" applyFont="1" applyFill="1"/>
    <xf numFmtId="43" fontId="12" fillId="0" borderId="25" xfId="75" applyFont="1" applyBorder="1">
      <alignment vertical="center"/>
    </xf>
    <xf numFmtId="43" fontId="10" fillId="0" borderId="0" xfId="75" applyFont="1">
      <alignment vertical="center"/>
    </xf>
    <xf numFmtId="43" fontId="12" fillId="5" borderId="0" xfId="75" applyFont="1" applyFill="1">
      <alignment vertical="center"/>
    </xf>
    <xf numFmtId="0" fontId="12" fillId="0" borderId="0" xfId="0" applyFont="1" applyFill="1"/>
    <xf numFmtId="184" fontId="12" fillId="0" borderId="0" xfId="0" applyNumberFormat="1" applyFont="1"/>
    <xf numFmtId="185" fontId="12" fillId="0" borderId="0" xfId="0" applyNumberFormat="1" applyFont="1"/>
    <xf numFmtId="186" fontId="9" fillId="0" borderId="30" xfId="0" applyNumberFormat="1" applyFont="1" applyFill="1" applyBorder="1" applyAlignment="1" applyProtection="1">
      <alignment vertical="center" wrapText="1"/>
      <protection hidden="1"/>
    </xf>
    <xf numFmtId="186" fontId="9" fillId="22" borderId="1" xfId="0" applyNumberFormat="1" applyFont="1" applyFill="1" applyBorder="1" applyAlignment="1" applyProtection="1">
      <alignment horizontal="center" vertical="center" wrapText="1"/>
      <protection hidden="1"/>
    </xf>
    <xf numFmtId="184" fontId="9" fillId="22" borderId="1" xfId="0" applyNumberFormat="1" applyFont="1" applyFill="1" applyBorder="1" applyAlignment="1" applyProtection="1">
      <alignment horizontal="center" vertical="center" wrapText="1"/>
      <protection hidden="1"/>
    </xf>
    <xf numFmtId="185" fontId="9" fillId="22" borderId="1" xfId="0" applyNumberFormat="1" applyFont="1" applyFill="1" applyBorder="1" applyAlignment="1" applyProtection="1">
      <alignment horizontal="center" vertical="center" wrapText="1"/>
      <protection hidden="1"/>
    </xf>
    <xf numFmtId="186" fontId="9" fillId="23" borderId="1" xfId="0" applyNumberFormat="1" applyFont="1" applyFill="1" applyBorder="1" applyAlignment="1" applyProtection="1">
      <alignment horizontal="center" vertical="center" wrapText="1"/>
      <protection hidden="1"/>
    </xf>
    <xf numFmtId="184" fontId="9" fillId="23" borderId="1" xfId="0" applyNumberFormat="1" applyFont="1" applyFill="1" applyBorder="1" applyAlignment="1" applyProtection="1">
      <alignment horizontal="center" vertical="center" wrapText="1"/>
      <protection hidden="1"/>
    </xf>
    <xf numFmtId="0" fontId="19" fillId="0" borderId="1" xfId="0" applyNumberFormat="1" applyFont="1" applyFill="1" applyBorder="1" applyAlignment="1">
      <alignment vertical="center"/>
    </xf>
    <xf numFmtId="187" fontId="19" fillId="22" borderId="1" xfId="76" applyNumberFormat="1" applyFont="1" applyFill="1" applyBorder="1" applyAlignment="1"/>
    <xf numFmtId="185" fontId="19" fillId="2" borderId="1" xfId="76" applyNumberFormat="1" applyFont="1" applyFill="1" applyBorder="1" applyAlignment="1"/>
    <xf numFmtId="187" fontId="19" fillId="23" borderId="1" xfId="76" applyNumberFormat="1" applyFont="1" applyFill="1" applyBorder="1" applyAlignment="1"/>
    <xf numFmtId="185" fontId="19" fillId="18" borderId="1" xfId="76" applyNumberFormat="1" applyFont="1" applyFill="1" applyBorder="1" applyAlignment="1"/>
    <xf numFmtId="185" fontId="19" fillId="11" borderId="1" xfId="76" applyNumberFormat="1" applyFont="1" applyFill="1" applyBorder="1" applyAlignment="1"/>
    <xf numFmtId="185" fontId="19" fillId="22" borderId="1" xfId="76" applyNumberFormat="1" applyFont="1" applyFill="1" applyBorder="1" applyAlignment="1"/>
    <xf numFmtId="0" fontId="0" fillId="0" borderId="0" xfId="0" applyAlignment="1">
      <alignment vertical="center"/>
    </xf>
    <xf numFmtId="0" fontId="20" fillId="0" borderId="31" xfId="0" applyFont="1" applyBorder="1" applyAlignment="1">
      <alignment horizontal="center" vertical="center"/>
    </xf>
    <xf numFmtId="0" fontId="0" fillId="24" borderId="30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vertical="center"/>
    </xf>
    <xf numFmtId="0" fontId="20" fillId="24" borderId="30" xfId="0" applyFont="1" applyFill="1" applyBorder="1" applyAlignment="1">
      <alignment horizontal="center" vertical="center"/>
    </xf>
    <xf numFmtId="0" fontId="0" fillId="24" borderId="32" xfId="0" applyFill="1" applyBorder="1" applyAlignment="1">
      <alignment horizontal="center" vertical="center"/>
    </xf>
    <xf numFmtId="0" fontId="20" fillId="24" borderId="32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33" xfId="0" applyFont="1" applyBorder="1" applyAlignment="1">
      <alignment horizontal="left"/>
    </xf>
    <xf numFmtId="186" fontId="20" fillId="0" borderId="1" xfId="0" applyNumberFormat="1" applyFont="1" applyBorder="1" applyAlignment="1">
      <alignment vertical="center"/>
    </xf>
    <xf numFmtId="188" fontId="2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12" fillId="0" borderId="0" xfId="0" applyFont="1" applyAlignment="1">
      <alignment horizontal="center"/>
    </xf>
    <xf numFmtId="0" fontId="12" fillId="0" borderId="0" xfId="0" applyFont="1" applyFill="1" applyAlignment="1"/>
    <xf numFmtId="176" fontId="12" fillId="0" borderId="0" xfId="1" applyFont="1"/>
    <xf numFmtId="10" fontId="12" fillId="0" borderId="0" xfId="3" applyNumberFormat="1" applyFont="1" applyAlignment="1"/>
    <xf numFmtId="180" fontId="12" fillId="0" borderId="0" xfId="0" applyNumberFormat="1" applyFont="1"/>
    <xf numFmtId="0" fontId="17" fillId="25" borderId="34" xfId="0" applyFont="1" applyFill="1" applyBorder="1" applyAlignment="1">
      <alignment horizontal="center" vertical="center"/>
    </xf>
    <xf numFmtId="0" fontId="17" fillId="25" borderId="0" xfId="0" applyFont="1" applyFill="1" applyBorder="1" applyAlignment="1">
      <alignment horizontal="center" vertical="center"/>
    </xf>
    <xf numFmtId="176" fontId="17" fillId="25" borderId="34" xfId="1" applyFont="1" applyFill="1" applyBorder="1" applyAlignment="1">
      <alignment horizontal="center" vertical="center" wrapText="1"/>
    </xf>
    <xf numFmtId="0" fontId="17" fillId="25" borderId="35" xfId="0" applyFont="1" applyFill="1" applyBorder="1" applyAlignment="1">
      <alignment horizontal="center" vertical="center"/>
    </xf>
    <xf numFmtId="0" fontId="17" fillId="25" borderId="36" xfId="0" applyFont="1" applyFill="1" applyBorder="1" applyAlignment="1">
      <alignment horizontal="center" vertical="center"/>
    </xf>
    <xf numFmtId="184" fontId="17" fillId="25" borderId="35" xfId="0" applyNumberFormat="1" applyFont="1" applyFill="1" applyBorder="1" applyAlignment="1">
      <alignment horizontal="center" vertical="center"/>
    </xf>
    <xf numFmtId="184" fontId="17" fillId="25" borderId="34" xfId="0" applyNumberFormat="1" applyFont="1" applyFill="1" applyBorder="1" applyAlignment="1">
      <alignment horizontal="center" vertical="center"/>
    </xf>
    <xf numFmtId="10" fontId="17" fillId="25" borderId="34" xfId="3" applyNumberFormat="1" applyFont="1" applyFill="1" applyBorder="1" applyAlignment="1">
      <alignment horizontal="center" vertical="center"/>
    </xf>
    <xf numFmtId="0" fontId="17" fillId="25" borderId="37" xfId="0" applyFont="1" applyFill="1" applyBorder="1" applyAlignment="1">
      <alignment horizontal="center" vertical="center"/>
    </xf>
    <xf numFmtId="0" fontId="17" fillId="25" borderId="34" xfId="0" applyFont="1" applyFill="1" applyBorder="1" applyAlignment="1">
      <alignment vertical="center"/>
    </xf>
    <xf numFmtId="180" fontId="12" fillId="0" borderId="0" xfId="0" applyNumberFormat="1" applyFont="1" applyAlignment="1">
      <alignment vertical="center"/>
    </xf>
    <xf numFmtId="0" fontId="17" fillId="25" borderId="38" xfId="0" applyFont="1" applyFill="1" applyBorder="1" applyAlignment="1">
      <alignment horizontal="center" vertical="center"/>
    </xf>
    <xf numFmtId="0" fontId="17" fillId="25" borderId="29" xfId="0" applyFont="1" applyFill="1" applyBorder="1" applyAlignment="1">
      <alignment horizontal="center" vertical="center"/>
    </xf>
    <xf numFmtId="176" fontId="17" fillId="25" borderId="38" xfId="1" applyFont="1" applyFill="1" applyBorder="1" applyAlignment="1">
      <alignment horizontal="center" vertical="center" wrapText="1"/>
    </xf>
    <xf numFmtId="0" fontId="17" fillId="25" borderId="39" xfId="70" applyFont="1" applyFill="1" applyBorder="1" applyAlignment="1">
      <alignment horizontal="center" vertical="center" wrapText="1"/>
    </xf>
    <xf numFmtId="0" fontId="17" fillId="25" borderId="38" xfId="70" applyFont="1" applyFill="1" applyBorder="1" applyAlignment="1">
      <alignment horizontal="center" vertical="center" wrapText="1"/>
    </xf>
    <xf numFmtId="0" fontId="17" fillId="25" borderId="40" xfId="70" applyFont="1" applyFill="1" applyBorder="1" applyAlignment="1">
      <alignment horizontal="center" vertical="center" wrapText="1"/>
    </xf>
    <xf numFmtId="184" fontId="18" fillId="25" borderId="39" xfId="0" applyNumberFormat="1" applyFont="1" applyFill="1" applyBorder="1" applyAlignment="1" applyProtection="1">
      <alignment horizontal="center" vertical="center" wrapText="1"/>
      <protection hidden="1"/>
    </xf>
    <xf numFmtId="184" fontId="18" fillId="25" borderId="38" xfId="0" applyNumberFormat="1" applyFont="1" applyFill="1" applyBorder="1" applyAlignment="1" applyProtection="1">
      <alignment horizontal="center" vertical="center" wrapText="1"/>
      <protection hidden="1"/>
    </xf>
    <xf numFmtId="10" fontId="18" fillId="25" borderId="38" xfId="3" applyNumberFormat="1" applyFont="1" applyFill="1" applyBorder="1" applyAlignment="1" applyProtection="1">
      <alignment horizontal="center" vertical="center" wrapText="1"/>
      <protection hidden="1"/>
    </xf>
    <xf numFmtId="186" fontId="18" fillId="25" borderId="38" xfId="0" applyNumberFormat="1" applyFont="1" applyFill="1" applyBorder="1" applyAlignment="1" applyProtection="1">
      <alignment horizontal="center" vertical="center" wrapText="1"/>
      <protection hidden="1"/>
    </xf>
    <xf numFmtId="0" fontId="17" fillId="25" borderId="41" xfId="70" applyFont="1" applyFill="1" applyBorder="1" applyAlignment="1">
      <alignment horizontal="center" vertical="center" wrapText="1"/>
    </xf>
    <xf numFmtId="180" fontId="12" fillId="0" borderId="0" xfId="0" applyNumberFormat="1" applyFont="1" applyAlignment="1">
      <alignment horizontal="center"/>
    </xf>
    <xf numFmtId="176" fontId="12" fillId="24" borderId="28" xfId="1" applyFont="1" applyFill="1" applyBorder="1"/>
    <xf numFmtId="176" fontId="12" fillId="10" borderId="42" xfId="1" applyFont="1" applyFill="1" applyBorder="1"/>
    <xf numFmtId="176" fontId="12" fillId="10" borderId="43" xfId="1" applyFont="1" applyFill="1" applyBorder="1"/>
    <xf numFmtId="10" fontId="12" fillId="10" borderId="28" xfId="3" applyNumberFormat="1" applyFont="1" applyFill="1" applyBorder="1" applyAlignment="1"/>
    <xf numFmtId="184" fontId="12" fillId="10" borderId="28" xfId="1" applyNumberFormat="1" applyFont="1" applyFill="1" applyBorder="1"/>
    <xf numFmtId="176" fontId="12" fillId="10" borderId="44" xfId="1" applyFont="1" applyFill="1" applyBorder="1"/>
    <xf numFmtId="176" fontId="12" fillId="0" borderId="0" xfId="0" applyNumberFormat="1" applyFont="1" applyFill="1" applyAlignment="1"/>
    <xf numFmtId="0" fontId="0" fillId="26" borderId="0" xfId="0" applyFill="1"/>
    <xf numFmtId="176" fontId="1" fillId="10" borderId="28" xfId="1" applyFont="1" applyFill="1" applyBorder="1"/>
    <xf numFmtId="0" fontId="22" fillId="20" borderId="0" xfId="70" applyFont="1" applyFill="1"/>
    <xf numFmtId="0" fontId="23" fillId="20" borderId="0" xfId="70" applyFont="1" applyFill="1"/>
    <xf numFmtId="0" fontId="23" fillId="20" borderId="0" xfId="70" applyFont="1" applyFill="1" applyAlignment="1">
      <alignment horizontal="center" vertical="center"/>
    </xf>
    <xf numFmtId="0" fontId="24" fillId="20" borderId="0" xfId="70" applyFont="1" applyFill="1" applyAlignment="1">
      <alignment horizontal="center" vertical="center" wrapText="1"/>
    </xf>
    <xf numFmtId="0" fontId="25" fillId="20" borderId="0" xfId="70" applyFont="1" applyFill="1" applyAlignment="1">
      <alignment horizontal="center"/>
    </xf>
    <xf numFmtId="0" fontId="26" fillId="0" borderId="0" xfId="7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76" fontId="26" fillId="0" borderId="0" xfId="56" applyFont="1" applyAlignment="1">
      <alignment horizontal="center" vertical="center" wrapText="1"/>
    </xf>
    <xf numFmtId="0" fontId="27" fillId="0" borderId="0" xfId="0" applyFont="1" applyAlignment="1"/>
    <xf numFmtId="0" fontId="27" fillId="0" borderId="0" xfId="0" applyFont="1"/>
    <xf numFmtId="176" fontId="27" fillId="0" borderId="0" xfId="0" applyNumberFormat="1" applyFont="1"/>
    <xf numFmtId="0" fontId="27" fillId="0" borderId="0" xfId="0" applyFont="1" applyFill="1" applyBorder="1"/>
    <xf numFmtId="0" fontId="27" fillId="0" borderId="0" xfId="0" applyFont="1" applyBorder="1"/>
    <xf numFmtId="0" fontId="27" fillId="0" borderId="0" xfId="0" applyFont="1" applyAlignment="1">
      <alignment horizontal="center"/>
    </xf>
    <xf numFmtId="0" fontId="28" fillId="20" borderId="45" xfId="70" applyFont="1" applyFill="1" applyBorder="1" applyAlignment="1">
      <alignment horizontal="left"/>
    </xf>
    <xf numFmtId="0" fontId="28" fillId="20" borderId="46" xfId="70" applyFont="1" applyFill="1" applyBorder="1" applyAlignment="1">
      <alignment horizontal="left"/>
    </xf>
    <xf numFmtId="176" fontId="29" fillId="20" borderId="46" xfId="70" applyNumberFormat="1" applyFont="1" applyFill="1" applyBorder="1" applyAlignment="1"/>
    <xf numFmtId="176" fontId="30" fillId="0" borderId="0" xfId="0" applyNumberFormat="1" applyFont="1" applyFill="1" applyBorder="1"/>
    <xf numFmtId="0" fontId="31" fillId="20" borderId="0" xfId="70" applyFont="1" applyFill="1" applyAlignment="1">
      <alignment horizontal="right"/>
    </xf>
    <xf numFmtId="14" fontId="32" fillId="10" borderId="47" xfId="70" applyNumberFormat="1" applyFont="1" applyFill="1" applyBorder="1" applyAlignment="1">
      <alignment horizontal="left"/>
    </xf>
    <xf numFmtId="14" fontId="26" fillId="10" borderId="47" xfId="70" applyNumberFormat="1" applyFont="1" applyFill="1" applyBorder="1" applyAlignment="1">
      <alignment horizontal="left"/>
    </xf>
    <xf numFmtId="0" fontId="23" fillId="20" borderId="0" xfId="70" applyFont="1" applyFill="1" applyAlignment="1">
      <alignment horizontal="center"/>
    </xf>
    <xf numFmtId="0" fontId="28" fillId="10" borderId="48" xfId="70" applyFont="1" applyFill="1" applyBorder="1" applyAlignment="1">
      <alignment horizontal="left"/>
    </xf>
    <xf numFmtId="0" fontId="22" fillId="10" borderId="46" xfId="70" applyFont="1" applyFill="1" applyBorder="1"/>
    <xf numFmtId="0" fontId="22" fillId="20" borderId="0" xfId="70" applyFont="1" applyFill="1" applyBorder="1"/>
    <xf numFmtId="0" fontId="22" fillId="10" borderId="0" xfId="70" applyFont="1" applyFill="1" applyBorder="1"/>
    <xf numFmtId="14" fontId="26" fillId="10" borderId="49" xfId="70" applyNumberFormat="1" applyFont="1" applyFill="1" applyBorder="1" applyAlignment="1">
      <alignment horizontal="left"/>
    </xf>
    <xf numFmtId="0" fontId="22" fillId="20" borderId="0" xfId="70" applyFont="1" applyFill="1" applyAlignment="1">
      <alignment horizontal="center"/>
    </xf>
    <xf numFmtId="176" fontId="26" fillId="10" borderId="47" xfId="70" applyNumberFormat="1" applyFont="1" applyFill="1" applyBorder="1" applyAlignment="1">
      <alignment horizontal="left"/>
    </xf>
    <xf numFmtId="14" fontId="26" fillId="10" borderId="28" xfId="70" applyNumberFormat="1" applyFont="1" applyFill="1" applyBorder="1" applyAlignment="1"/>
    <xf numFmtId="14" fontId="32" fillId="10" borderId="28" xfId="70" applyNumberFormat="1" applyFont="1" applyFill="1" applyBorder="1" applyAlignment="1"/>
    <xf numFmtId="0" fontId="32" fillId="10" borderId="28" xfId="70" applyFont="1" applyFill="1" applyBorder="1" applyAlignment="1">
      <alignment horizontal="left"/>
    </xf>
    <xf numFmtId="0" fontId="26" fillId="10" borderId="28" xfId="70" applyFont="1" applyFill="1" applyBorder="1" applyAlignment="1">
      <alignment horizontal="left"/>
    </xf>
    <xf numFmtId="14" fontId="26" fillId="20" borderId="49" xfId="70" applyNumberFormat="1" applyFont="1" applyFill="1" applyBorder="1" applyAlignment="1"/>
    <xf numFmtId="0" fontId="33" fillId="20" borderId="0" xfId="70" applyFont="1" applyFill="1"/>
    <xf numFmtId="0" fontId="23" fillId="20" borderId="0" xfId="70" applyFont="1" applyFill="1" applyBorder="1"/>
    <xf numFmtId="0" fontId="23" fillId="20" borderId="49" xfId="70" applyFont="1" applyFill="1" applyBorder="1"/>
    <xf numFmtId="14" fontId="26" fillId="10" borderId="0" xfId="70" applyNumberFormat="1" applyFont="1" applyFill="1" applyBorder="1" applyAlignment="1">
      <alignment horizontal="left"/>
    </xf>
    <xf numFmtId="14" fontId="32" fillId="10" borderId="0" xfId="70" applyNumberFormat="1" applyFont="1" applyFill="1" applyBorder="1" applyAlignment="1">
      <alignment horizontal="left"/>
    </xf>
    <xf numFmtId="176" fontId="26" fillId="10" borderId="28" xfId="70" applyNumberFormat="1" applyFont="1" applyFill="1" applyBorder="1" applyAlignment="1">
      <alignment horizontal="left"/>
    </xf>
    <xf numFmtId="14" fontId="26" fillId="20" borderId="0" xfId="70" applyNumberFormat="1" applyFont="1" applyFill="1" applyBorder="1" applyAlignment="1"/>
    <xf numFmtId="176" fontId="23" fillId="20" borderId="0" xfId="70" applyNumberFormat="1" applyFont="1" applyFill="1"/>
    <xf numFmtId="43" fontId="23" fillId="20" borderId="0" xfId="70" applyNumberFormat="1" applyFont="1" applyFill="1"/>
    <xf numFmtId="176" fontId="26" fillId="10" borderId="50" xfId="70" applyNumberFormat="1" applyFont="1" applyFill="1" applyBorder="1" applyAlignment="1">
      <alignment horizontal="left"/>
    </xf>
    <xf numFmtId="14" fontId="32" fillId="10" borderId="50" xfId="70" applyNumberFormat="1" applyFont="1" applyFill="1" applyBorder="1" applyAlignment="1">
      <alignment horizontal="left"/>
    </xf>
    <xf numFmtId="14" fontId="34" fillId="10" borderId="28" xfId="70" applyNumberFormat="1" applyFont="1" applyFill="1" applyBorder="1" applyAlignment="1"/>
    <xf numFmtId="176" fontId="23" fillId="5" borderId="0" xfId="70" applyNumberFormat="1" applyFont="1" applyFill="1"/>
    <xf numFmtId="14" fontId="35" fillId="10" borderId="0" xfId="70" applyNumberFormat="1" applyFont="1" applyFill="1" applyBorder="1" applyAlignment="1">
      <alignment horizontal="left"/>
    </xf>
    <xf numFmtId="14" fontId="36" fillId="10" borderId="0" xfId="70" applyNumberFormat="1" applyFont="1" applyFill="1" applyBorder="1" applyAlignment="1">
      <alignment horizontal="left"/>
    </xf>
    <xf numFmtId="14" fontId="32" fillId="10" borderId="51" xfId="70" applyNumberFormat="1" applyFont="1" applyFill="1" applyBorder="1" applyAlignment="1"/>
    <xf numFmtId="14" fontId="26" fillId="10" borderId="51" xfId="70" applyNumberFormat="1" applyFont="1" applyFill="1" applyBorder="1" applyAlignment="1"/>
    <xf numFmtId="14" fontId="36" fillId="10" borderId="46" xfId="70" applyNumberFormat="1" applyFont="1" applyFill="1" applyBorder="1" applyAlignment="1">
      <alignment horizontal="left" vertical="center"/>
    </xf>
    <xf numFmtId="14" fontId="32" fillId="10" borderId="46" xfId="70" applyNumberFormat="1" applyFont="1" applyFill="1" applyBorder="1" applyAlignment="1">
      <alignment horizontal="left" vertical="center"/>
    </xf>
    <xf numFmtId="14" fontId="26" fillId="10" borderId="46" xfId="70" applyNumberFormat="1" applyFont="1" applyFill="1" applyBorder="1" applyAlignment="1">
      <alignment horizontal="left" vertical="center"/>
    </xf>
    <xf numFmtId="176" fontId="23" fillId="20" borderId="0" xfId="70" applyNumberFormat="1" applyFont="1" applyFill="1" applyBorder="1" applyAlignment="1">
      <alignment horizontal="center" vertical="center"/>
    </xf>
    <xf numFmtId="176" fontId="23" fillId="20" borderId="0" xfId="70" applyNumberFormat="1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Fill="1" applyBorder="1" applyAlignment="1">
      <alignment vertical="center"/>
    </xf>
    <xf numFmtId="14" fontId="26" fillId="20" borderId="46" xfId="70" applyNumberFormat="1" applyFont="1" applyFill="1" applyBorder="1" applyAlignment="1">
      <alignment vertical="center"/>
    </xf>
    <xf numFmtId="0" fontId="23" fillId="20" borderId="46" xfId="70" applyFont="1" applyFill="1" applyBorder="1" applyAlignment="1">
      <alignment horizontal="left" vertical="center"/>
    </xf>
    <xf numFmtId="0" fontId="23" fillId="20" borderId="46" xfId="70" applyFont="1" applyFill="1" applyBorder="1" applyAlignment="1">
      <alignment horizontal="center" vertical="center"/>
    </xf>
    <xf numFmtId="0" fontId="33" fillId="20" borderId="46" xfId="70" applyFont="1" applyFill="1" applyBorder="1" applyAlignment="1">
      <alignment horizontal="left" vertical="center"/>
    </xf>
    <xf numFmtId="0" fontId="23" fillId="20" borderId="0" xfId="70" applyFont="1" applyFill="1" applyBorder="1" applyAlignment="1">
      <alignment horizontal="center" vertical="center"/>
    </xf>
    <xf numFmtId="176" fontId="2" fillId="0" borderId="2" xfId="1" applyNumberFormat="1" applyFont="1" applyFill="1" applyBorder="1" applyAlignment="1">
      <alignment vertical="center"/>
    </xf>
    <xf numFmtId="0" fontId="23" fillId="20" borderId="0" xfId="7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176" fontId="30" fillId="0" borderId="0" xfId="0" applyNumberFormat="1" applyFont="1" applyFill="1" applyBorder="1" applyAlignment="1">
      <alignment vertical="center"/>
    </xf>
    <xf numFmtId="176" fontId="26" fillId="20" borderId="0" xfId="56" applyFont="1" applyFill="1" applyAlignment="1">
      <alignment horizontal="center" vertical="center"/>
    </xf>
    <xf numFmtId="176" fontId="26" fillId="20" borderId="0" xfId="56" applyFont="1" applyFill="1" applyAlignment="1">
      <alignment horizontal="center" vertical="center" wrapText="1"/>
    </xf>
    <xf numFmtId="176" fontId="22" fillId="20" borderId="0" xfId="70" applyNumberFormat="1" applyFont="1" applyFill="1"/>
    <xf numFmtId="176" fontId="30" fillId="20" borderId="0" xfId="0" applyNumberFormat="1" applyFont="1" applyFill="1"/>
    <xf numFmtId="0" fontId="25" fillId="20" borderId="0" xfId="70" applyFont="1" applyFill="1" applyBorder="1" applyAlignment="1">
      <alignment horizontal="center"/>
    </xf>
    <xf numFmtId="176" fontId="25" fillId="20" borderId="52" xfId="70" applyNumberFormat="1" applyFont="1" applyFill="1" applyBorder="1" applyAlignment="1">
      <alignment horizontal="center"/>
    </xf>
    <xf numFmtId="0" fontId="25" fillId="20" borderId="53" xfId="70" applyFont="1" applyFill="1" applyBorder="1" applyAlignment="1">
      <alignment horizontal="center"/>
    </xf>
    <xf numFmtId="0" fontId="25" fillId="20" borderId="54" xfId="70" applyFont="1" applyFill="1" applyBorder="1" applyAlignment="1">
      <alignment horizontal="center"/>
    </xf>
    <xf numFmtId="176" fontId="37" fillId="0" borderId="0" xfId="0" applyNumberFormat="1" applyFont="1" applyFill="1" applyBorder="1"/>
    <xf numFmtId="0" fontId="25" fillId="20" borderId="0" xfId="70" applyFont="1" applyFill="1" applyBorder="1" applyAlignment="1">
      <alignment horizontal="center" wrapText="1"/>
    </xf>
    <xf numFmtId="0" fontId="38" fillId="20" borderId="0" xfId="70" applyFont="1" applyFill="1" applyAlignment="1">
      <alignment horizontal="center"/>
    </xf>
    <xf numFmtId="14" fontId="26" fillId="12" borderId="4" xfId="70" applyNumberFormat="1" applyFont="1" applyFill="1" applyBorder="1" applyAlignment="1">
      <alignment horizontal="left" vertical="center"/>
    </xf>
    <xf numFmtId="0" fontId="26" fillId="12" borderId="5" xfId="70" applyFont="1" applyFill="1" applyBorder="1" applyAlignment="1">
      <alignment horizontal="left" vertical="center" wrapText="1"/>
    </xf>
    <xf numFmtId="0" fontId="26" fillId="12" borderId="5" xfId="70" applyFont="1" applyFill="1" applyBorder="1" applyAlignment="1">
      <alignment horizontal="left" vertical="center"/>
    </xf>
    <xf numFmtId="0" fontId="26" fillId="12" borderId="5" xfId="70" applyFont="1" applyFill="1" applyBorder="1" applyAlignment="1">
      <alignment horizontal="center" vertical="center" wrapText="1"/>
    </xf>
    <xf numFmtId="0" fontId="35" fillId="12" borderId="5" xfId="70" applyFont="1" applyFill="1" applyBorder="1" applyAlignment="1">
      <alignment horizontal="center" vertical="center" wrapText="1"/>
    </xf>
    <xf numFmtId="176" fontId="26" fillId="27" borderId="55" xfId="70" applyNumberFormat="1" applyFont="1" applyFill="1" applyBorder="1" applyAlignment="1">
      <alignment horizontal="center" vertical="center" wrapText="1"/>
    </xf>
    <xf numFmtId="189" fontId="26" fillId="27" borderId="56" xfId="70" applyNumberFormat="1" applyFont="1" applyFill="1" applyBorder="1" applyAlignment="1">
      <alignment horizontal="center" vertical="center" wrapText="1"/>
    </xf>
    <xf numFmtId="0" fontId="35" fillId="27" borderId="4" xfId="70" applyFont="1" applyFill="1" applyBorder="1" applyAlignment="1">
      <alignment horizontal="center" vertical="center" wrapText="1"/>
    </xf>
    <xf numFmtId="0" fontId="39" fillId="12" borderId="5" xfId="70" applyFont="1" applyFill="1" applyBorder="1" applyAlignment="1">
      <alignment horizontal="center" vertical="center" wrapText="1"/>
    </xf>
    <xf numFmtId="176" fontId="39" fillId="12" borderId="5" xfId="1" applyFont="1" applyFill="1" applyBorder="1" applyAlignment="1">
      <alignment horizontal="center" vertical="center" wrapText="1"/>
    </xf>
    <xf numFmtId="176" fontId="40" fillId="12" borderId="5" xfId="56" applyFont="1" applyFill="1" applyBorder="1" applyAlignment="1">
      <alignment horizontal="center" vertical="center" wrapText="1"/>
    </xf>
    <xf numFmtId="40" fontId="40" fillId="5" borderId="5" xfId="70" applyNumberFormat="1" applyFont="1" applyFill="1" applyBorder="1" applyAlignment="1">
      <alignment horizontal="center" vertical="center" wrapText="1"/>
    </xf>
    <xf numFmtId="0" fontId="26" fillId="12" borderId="57" xfId="70" applyFont="1" applyFill="1" applyBorder="1" applyAlignment="1">
      <alignment horizontal="center" vertical="center" wrapText="1"/>
    </xf>
    <xf numFmtId="0" fontId="35" fillId="2" borderId="5" xfId="70" applyFont="1" applyFill="1" applyBorder="1" applyAlignment="1">
      <alignment horizontal="center" vertical="center" wrapText="1"/>
    </xf>
    <xf numFmtId="0" fontId="35" fillId="2" borderId="58" xfId="70" applyFont="1" applyFill="1" applyBorder="1" applyAlignment="1">
      <alignment horizontal="center" vertical="center" wrapText="1"/>
    </xf>
    <xf numFmtId="0" fontId="35" fillId="5" borderId="58" xfId="70" applyFont="1" applyFill="1" applyBorder="1" applyAlignment="1">
      <alignment horizontal="center" vertical="center" wrapText="1"/>
    </xf>
    <xf numFmtId="0" fontId="35" fillId="18" borderId="58" xfId="70" applyFont="1" applyFill="1" applyBorder="1" applyAlignment="1">
      <alignment horizontal="center" vertical="center" wrapText="1"/>
    </xf>
    <xf numFmtId="0" fontId="35" fillId="12" borderId="58" xfId="70" applyFont="1" applyFill="1" applyBorder="1" applyAlignment="1">
      <alignment horizontal="center" vertical="center" wrapText="1"/>
    </xf>
    <xf numFmtId="40" fontId="26" fillId="12" borderId="5" xfId="70" applyNumberFormat="1" applyFont="1" applyFill="1" applyBorder="1" applyAlignment="1">
      <alignment horizontal="center" vertical="center" wrapText="1"/>
    </xf>
    <xf numFmtId="0" fontId="26" fillId="12" borderId="8" xfId="70" applyFont="1" applyFill="1" applyBorder="1" applyAlignment="1">
      <alignment horizontal="center" vertical="center" wrapText="1"/>
    </xf>
    <xf numFmtId="176" fontId="26" fillId="12" borderId="5" xfId="1" applyFont="1" applyFill="1" applyBorder="1" applyAlignment="1">
      <alignment horizontal="center" vertical="center" wrapText="1"/>
    </xf>
    <xf numFmtId="0" fontId="26" fillId="12" borderId="4" xfId="70" applyFont="1" applyFill="1" applyBorder="1" applyAlignment="1">
      <alignment horizontal="center" vertical="center" wrapText="1"/>
    </xf>
    <xf numFmtId="0" fontId="41" fillId="12" borderId="5" xfId="70" applyFont="1" applyFill="1" applyBorder="1" applyAlignment="1">
      <alignment horizontal="center" vertical="center" wrapText="1"/>
    </xf>
    <xf numFmtId="0" fontId="26" fillId="27" borderId="57" xfId="70" applyFont="1" applyFill="1" applyBorder="1" applyAlignment="1">
      <alignment horizontal="center" vertical="center" wrapText="1"/>
    </xf>
    <xf numFmtId="0" fontId="32" fillId="12" borderId="5" xfId="70" applyFont="1" applyFill="1" applyBorder="1" applyAlignment="1">
      <alignment horizontal="center" vertical="center" wrapText="1"/>
    </xf>
    <xf numFmtId="0" fontId="26" fillId="12" borderId="19" xfId="70" applyFont="1" applyFill="1" applyBorder="1" applyAlignment="1">
      <alignment horizontal="center" vertical="center" wrapText="1"/>
    </xf>
    <xf numFmtId="0" fontId="35" fillId="20" borderId="0" xfId="70" applyFont="1" applyFill="1" applyAlignment="1">
      <alignment horizontal="center" vertical="center" wrapText="1"/>
    </xf>
    <xf numFmtId="0" fontId="35" fillId="0" borderId="0" xfId="70" applyFont="1" applyFill="1" applyAlignment="1">
      <alignment horizontal="center" vertical="center" wrapText="1"/>
    </xf>
    <xf numFmtId="0" fontId="33" fillId="10" borderId="2" xfId="0" applyFont="1" applyFill="1" applyBorder="1" applyAlignment="1">
      <alignment horizontal="left" vertical="center"/>
    </xf>
    <xf numFmtId="0" fontId="42" fillId="10" borderId="2" xfId="0" applyFont="1" applyFill="1" applyBorder="1" applyAlignment="1">
      <alignment horizontal="left" vertical="center"/>
    </xf>
    <xf numFmtId="176" fontId="2" fillId="24" borderId="59" xfId="1" applyNumberFormat="1" applyFont="1" applyFill="1" applyBorder="1" applyAlignment="1">
      <alignment vertical="center"/>
    </xf>
    <xf numFmtId="176" fontId="2" fillId="24" borderId="60" xfId="1" applyNumberFormat="1" applyFont="1" applyFill="1" applyBorder="1" applyAlignment="1">
      <alignment vertical="center"/>
    </xf>
    <xf numFmtId="190" fontId="2" fillId="24" borderId="10" xfId="1" applyNumberFormat="1" applyFont="1" applyFill="1" applyBorder="1" applyAlignment="1">
      <alignment vertical="center"/>
    </xf>
    <xf numFmtId="176" fontId="2" fillId="10" borderId="2" xfId="1" applyNumberFormat="1" applyFont="1" applyFill="1" applyBorder="1" applyAlignment="1">
      <alignment vertical="center"/>
    </xf>
    <xf numFmtId="176" fontId="2" fillId="24" borderId="61" xfId="1" applyNumberFormat="1" applyFont="1" applyFill="1" applyBorder="1" applyAlignment="1">
      <alignment vertical="center"/>
    </xf>
    <xf numFmtId="176" fontId="2" fillId="10" borderId="2" xfId="1" applyNumberFormat="1" applyFont="1" applyFill="1" applyBorder="1" applyAlignment="1">
      <alignment horizontal="center" vertical="center"/>
    </xf>
    <xf numFmtId="176" fontId="37" fillId="0" borderId="0" xfId="0" applyNumberFormat="1" applyFont="1" applyFill="1" applyBorder="1" applyAlignment="1"/>
    <xf numFmtId="0" fontId="2" fillId="10" borderId="2" xfId="1" applyNumberFormat="1" applyFont="1" applyFill="1" applyBorder="1" applyAlignment="1">
      <alignment horizontal="center" vertical="center"/>
    </xf>
    <xf numFmtId="176" fontId="2" fillId="10" borderId="9" xfId="1" applyNumberFormat="1" applyFont="1" applyFill="1" applyBorder="1" applyAlignment="1">
      <alignment vertical="center"/>
    </xf>
    <xf numFmtId="176" fontId="30" fillId="0" borderId="0" xfId="0" applyNumberFormat="1" applyFont="1" applyFill="1" applyBorder="1" applyAlignment="1"/>
    <xf numFmtId="176" fontId="2" fillId="24" borderId="2" xfId="1" applyNumberFormat="1" applyFont="1" applyFill="1" applyBorder="1" applyAlignment="1">
      <alignment vertical="center"/>
    </xf>
    <xf numFmtId="176" fontId="2" fillId="10" borderId="10" xfId="1" applyNumberFormat="1" applyFont="1" applyFill="1" applyBorder="1" applyAlignment="1">
      <alignment vertical="center"/>
    </xf>
    <xf numFmtId="176" fontId="2" fillId="24" borderId="62" xfId="1" applyNumberFormat="1" applyFont="1" applyFill="1" applyBorder="1" applyAlignment="1">
      <alignment vertical="center"/>
    </xf>
    <xf numFmtId="176" fontId="2" fillId="10" borderId="26" xfId="1" applyNumberFormat="1" applyFont="1" applyFill="1" applyBorder="1" applyAlignment="1">
      <alignment horizontal="center" vertical="center"/>
    </xf>
    <xf numFmtId="0" fontId="2" fillId="20" borderId="0" xfId="0" applyFont="1" applyFill="1" applyAlignment="1">
      <alignment vertical="center"/>
    </xf>
    <xf numFmtId="0" fontId="2" fillId="20" borderId="0" xfId="0" applyFont="1" applyFill="1" applyAlignment="1">
      <alignment horizontal="center" vertical="center"/>
    </xf>
    <xf numFmtId="43" fontId="2" fillId="10" borderId="2" xfId="1" applyNumberFormat="1" applyFont="1" applyFill="1" applyBorder="1" applyAlignment="1">
      <alignment vertical="center"/>
    </xf>
    <xf numFmtId="0" fontId="0" fillId="0" borderId="0" xfId="0" applyFont="1" applyFill="1" applyAlignment="1"/>
    <xf numFmtId="176" fontId="26" fillId="20" borderId="0" xfId="1" applyFont="1" applyFill="1" applyBorder="1" applyAlignment="1">
      <alignment horizontal="center" vertical="center"/>
    </xf>
    <xf numFmtId="176" fontId="26" fillId="12" borderId="4" xfId="56" applyFont="1" applyFill="1" applyBorder="1" applyAlignment="1">
      <alignment horizontal="left" vertical="center"/>
    </xf>
    <xf numFmtId="176" fontId="26" fillId="12" borderId="5" xfId="56" applyFont="1" applyFill="1" applyBorder="1" applyAlignment="1">
      <alignment horizontal="center" vertical="center" wrapText="1"/>
    </xf>
    <xf numFmtId="176" fontId="26" fillId="12" borderId="5" xfId="56" applyFont="1" applyFill="1" applyBorder="1" applyAlignment="1">
      <alignment horizontal="center" vertical="center"/>
    </xf>
    <xf numFmtId="176" fontId="26" fillId="12" borderId="8" xfId="56" applyFont="1" applyFill="1" applyBorder="1" applyAlignment="1">
      <alignment horizontal="center" vertical="center" wrapText="1"/>
    </xf>
    <xf numFmtId="176" fontId="43" fillId="27" borderId="19" xfId="56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 applyAlignment="1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27" fillId="20" borderId="0" xfId="0" applyFont="1" applyFill="1" applyAlignment="1"/>
    <xf numFmtId="0" fontId="27" fillId="20" borderId="0" xfId="0" applyFont="1" applyFill="1"/>
    <xf numFmtId="176" fontId="27" fillId="20" borderId="0" xfId="0" applyNumberFormat="1" applyFont="1" applyFill="1"/>
    <xf numFmtId="180" fontId="27" fillId="20" borderId="0" xfId="0" applyNumberFormat="1" applyFont="1" applyFill="1"/>
    <xf numFmtId="176" fontId="27" fillId="20" borderId="0" xfId="0" applyNumberFormat="1" applyFont="1" applyFill="1" applyAlignment="1">
      <alignment horizontal="center"/>
    </xf>
    <xf numFmtId="0" fontId="27" fillId="20" borderId="0" xfId="0" applyFont="1" applyFill="1" applyAlignment="1">
      <alignment horizontal="center"/>
    </xf>
    <xf numFmtId="176" fontId="30" fillId="11" borderId="0" xfId="0" applyNumberFormat="1" applyFont="1" applyFill="1"/>
    <xf numFmtId="176" fontId="27" fillId="20" borderId="0" xfId="0" applyNumberFormat="1" applyFont="1" applyFill="1" applyBorder="1"/>
    <xf numFmtId="43" fontId="44" fillId="20" borderId="0" xfId="0" applyNumberFormat="1" applyFont="1" applyFill="1" applyBorder="1"/>
    <xf numFmtId="43" fontId="27" fillId="20" borderId="0" xfId="0" applyNumberFormat="1" applyFont="1" applyFill="1"/>
    <xf numFmtId="0" fontId="27" fillId="20" borderId="0" xfId="0" applyFont="1" applyFill="1" applyBorder="1"/>
    <xf numFmtId="0" fontId="27" fillId="25" borderId="0" xfId="0" applyFont="1" applyFill="1" applyAlignment="1"/>
    <xf numFmtId="176" fontId="27" fillId="25" borderId="0" xfId="0" applyNumberFormat="1" applyFont="1" applyFill="1" applyAlignment="1"/>
    <xf numFmtId="176" fontId="27" fillId="0" borderId="0" xfId="0" applyNumberFormat="1" applyFont="1" applyFill="1" applyBorder="1"/>
    <xf numFmtId="0" fontId="12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10" fillId="0" borderId="0" xfId="0" applyFont="1" applyAlignment="1"/>
    <xf numFmtId="43" fontId="12" fillId="0" borderId="0" xfId="0" applyNumberFormat="1" applyFont="1" applyAlignment="1"/>
    <xf numFmtId="0" fontId="45" fillId="20" borderId="0" xfId="0" applyFont="1" applyFill="1" applyAlignment="1"/>
    <xf numFmtId="0" fontId="46" fillId="20" borderId="46" xfId="12" applyFont="1" applyFill="1" applyBorder="1" applyAlignment="1"/>
    <xf numFmtId="0" fontId="47" fillId="20" borderId="46" xfId="12" applyFont="1" applyFill="1" applyBorder="1" applyAlignment="1"/>
    <xf numFmtId="0" fontId="48" fillId="20" borderId="0" xfId="0" applyFont="1" applyFill="1" applyAlignment="1"/>
    <xf numFmtId="0" fontId="49" fillId="20" borderId="0" xfId="10" applyFont="1" applyFill="1" applyAlignment="1"/>
    <xf numFmtId="176" fontId="10" fillId="20" borderId="0" xfId="10" applyNumberFormat="1" applyFont="1" applyFill="1" applyAlignment="1"/>
    <xf numFmtId="180" fontId="12" fillId="0" borderId="0" xfId="0" applyNumberFormat="1" applyFont="1" applyAlignment="1"/>
    <xf numFmtId="178" fontId="50" fillId="20" borderId="0" xfId="0" applyNumberFormat="1" applyFont="1" applyFill="1" applyAlignment="1"/>
    <xf numFmtId="0" fontId="14" fillId="20" borderId="0" xfId="0" applyFont="1" applyFill="1" applyAlignment="1">
      <alignment horizontal="center"/>
    </xf>
    <xf numFmtId="0" fontId="12" fillId="20" borderId="0" xfId="0" applyFont="1" applyFill="1" applyAlignment="1"/>
    <xf numFmtId="176" fontId="12" fillId="20" borderId="0" xfId="0" applyNumberFormat="1" applyFont="1" applyFill="1" applyAlignment="1"/>
    <xf numFmtId="176" fontId="12" fillId="20" borderId="0" xfId="0" applyNumberFormat="1" applyFont="1" applyFill="1" applyAlignment="1">
      <alignment horizontal="center"/>
    </xf>
    <xf numFmtId="0" fontId="18" fillId="28" borderId="0" xfId="0" applyNumberFormat="1" applyFont="1" applyFill="1" applyBorder="1" applyAlignment="1">
      <alignment horizontal="left" wrapText="1"/>
    </xf>
    <xf numFmtId="0" fontId="12" fillId="28" borderId="0" xfId="0" applyFont="1" applyFill="1" applyAlignment="1"/>
    <xf numFmtId="0" fontId="45" fillId="20" borderId="0" xfId="0" applyFont="1" applyFill="1" applyAlignment="1">
      <alignment vertical="center" wrapText="1"/>
    </xf>
    <xf numFmtId="0" fontId="9" fillId="10" borderId="0" xfId="0" applyFont="1" applyFill="1" applyBorder="1" applyAlignment="1">
      <alignment horizontal="left" vertical="center" wrapText="1"/>
    </xf>
    <xf numFmtId="0" fontId="9" fillId="24" borderId="0" xfId="0" applyFont="1" applyFill="1" applyBorder="1" applyAlignment="1">
      <alignment horizontal="center" vertical="center" wrapText="1"/>
    </xf>
    <xf numFmtId="0" fontId="12" fillId="20" borderId="0" xfId="0" applyFont="1" applyFill="1" applyBorder="1" applyAlignment="1">
      <alignment horizontal="center" vertical="center"/>
    </xf>
    <xf numFmtId="0" fontId="9" fillId="20" borderId="0" xfId="0" applyFont="1" applyFill="1" applyBorder="1" applyAlignment="1">
      <alignment horizontal="center" vertical="center" wrapText="1"/>
    </xf>
    <xf numFmtId="0" fontId="9" fillId="20" borderId="63" xfId="0" applyFont="1" applyFill="1" applyBorder="1" applyAlignment="1">
      <alignment horizontal="center" vertical="center" wrapText="1"/>
    </xf>
    <xf numFmtId="0" fontId="9" fillId="20" borderId="64" xfId="0" applyFont="1" applyFill="1" applyBorder="1" applyAlignment="1">
      <alignment horizontal="center" vertical="center" wrapText="1"/>
    </xf>
    <xf numFmtId="43" fontId="12" fillId="0" borderId="0" xfId="0" applyNumberFormat="1" applyFont="1" applyAlignment="1">
      <alignment vertical="center" wrapText="1"/>
    </xf>
    <xf numFmtId="0" fontId="12" fillId="20" borderId="0" xfId="0" applyFont="1" applyFill="1" applyAlignment="1">
      <alignment vertical="center"/>
    </xf>
    <xf numFmtId="0" fontId="16" fillId="10" borderId="65" xfId="0" applyFont="1" applyFill="1" applyBorder="1" applyAlignment="1">
      <alignment vertical="center"/>
    </xf>
    <xf numFmtId="0" fontId="12" fillId="10" borderId="65" xfId="0" applyFont="1" applyFill="1" applyBorder="1" applyAlignment="1">
      <alignment vertical="center"/>
    </xf>
    <xf numFmtId="176" fontId="51" fillId="24" borderId="65" xfId="1" applyFont="1" applyFill="1" applyBorder="1" applyAlignment="1">
      <alignment vertical="center"/>
    </xf>
    <xf numFmtId="0" fontId="12" fillId="20" borderId="65" xfId="0" applyFont="1" applyFill="1" applyBorder="1" applyAlignment="1">
      <alignment vertical="center"/>
    </xf>
    <xf numFmtId="176" fontId="51" fillId="20" borderId="65" xfId="1" applyFont="1" applyFill="1" applyBorder="1" applyAlignment="1">
      <alignment vertical="center"/>
    </xf>
    <xf numFmtId="176" fontId="51" fillId="20" borderId="66" xfId="1" applyFont="1" applyFill="1" applyBorder="1" applyAlignment="1">
      <alignment vertical="center"/>
    </xf>
    <xf numFmtId="176" fontId="51" fillId="20" borderId="67" xfId="1" applyFont="1" applyFill="1" applyBorder="1" applyAlignment="1">
      <alignment vertical="center"/>
    </xf>
    <xf numFmtId="176" fontId="51" fillId="20" borderId="68" xfId="1" applyFont="1" applyFill="1" applyBorder="1" applyAlignment="1">
      <alignment vertical="center"/>
    </xf>
    <xf numFmtId="43" fontId="12" fillId="0" borderId="0" xfId="0" applyNumberFormat="1" applyFont="1" applyAlignment="1">
      <alignment vertical="center"/>
    </xf>
    <xf numFmtId="0" fontId="16" fillId="10" borderId="0" xfId="0" applyFont="1" applyFill="1" applyBorder="1" applyAlignment="1">
      <alignment vertical="center"/>
    </xf>
    <xf numFmtId="0" fontId="12" fillId="10" borderId="0" xfId="0" applyFont="1" applyFill="1" applyBorder="1" applyAlignment="1">
      <alignment vertical="center"/>
    </xf>
    <xf numFmtId="176" fontId="51" fillId="24" borderId="0" xfId="1" applyFont="1" applyFill="1" applyBorder="1" applyAlignment="1">
      <alignment vertical="center"/>
    </xf>
    <xf numFmtId="0" fontId="12" fillId="20" borderId="0" xfId="0" applyFont="1" applyFill="1" applyBorder="1" applyAlignment="1">
      <alignment vertical="center"/>
    </xf>
    <xf numFmtId="176" fontId="51" fillId="20" borderId="0" xfId="1" applyFont="1" applyFill="1" applyBorder="1" applyAlignment="1">
      <alignment vertical="center"/>
    </xf>
    <xf numFmtId="176" fontId="51" fillId="20" borderId="69" xfId="1" applyFont="1" applyFill="1" applyBorder="1" applyAlignment="1">
      <alignment vertical="center"/>
    </xf>
    <xf numFmtId="176" fontId="51" fillId="20" borderId="63" xfId="1" applyFont="1" applyFill="1" applyBorder="1" applyAlignment="1">
      <alignment vertical="center"/>
    </xf>
    <xf numFmtId="176" fontId="51" fillId="20" borderId="64" xfId="1" applyFont="1" applyFill="1" applyBorder="1" applyAlignment="1">
      <alignment vertical="center"/>
    </xf>
    <xf numFmtId="0" fontId="9" fillId="10" borderId="70" xfId="0" applyFont="1" applyFill="1" applyBorder="1" applyAlignment="1">
      <alignment horizontal="left" vertical="center" wrapText="1"/>
    </xf>
    <xf numFmtId="0" fontId="12" fillId="10" borderId="70" xfId="0" applyFont="1" applyFill="1" applyBorder="1" applyAlignment="1">
      <alignment vertical="center"/>
    </xf>
    <xf numFmtId="176" fontId="51" fillId="24" borderId="70" xfId="1" applyFont="1" applyFill="1" applyBorder="1" applyAlignment="1">
      <alignment vertical="center"/>
    </xf>
    <xf numFmtId="0" fontId="12" fillId="20" borderId="70" xfId="0" applyFont="1" applyFill="1" applyBorder="1" applyAlignment="1">
      <alignment vertical="center"/>
    </xf>
    <xf numFmtId="176" fontId="51" fillId="20" borderId="70" xfId="1" applyFont="1" applyFill="1" applyBorder="1" applyAlignment="1">
      <alignment vertical="center"/>
    </xf>
    <xf numFmtId="176" fontId="51" fillId="20" borderId="71" xfId="1" applyFont="1" applyFill="1" applyBorder="1" applyAlignment="1">
      <alignment vertical="center"/>
    </xf>
    <xf numFmtId="176" fontId="51" fillId="20" borderId="72" xfId="1" applyFont="1" applyFill="1" applyBorder="1" applyAlignment="1">
      <alignment vertical="center"/>
    </xf>
    <xf numFmtId="0" fontId="0" fillId="0" borderId="70" xfId="0" applyBorder="1"/>
    <xf numFmtId="176" fontId="51" fillId="20" borderId="73" xfId="1" applyFont="1" applyFill="1" applyBorder="1" applyAlignment="1">
      <alignment vertical="center"/>
    </xf>
    <xf numFmtId="0" fontId="12" fillId="0" borderId="70" xfId="0" applyFont="1" applyBorder="1" applyAlignment="1">
      <alignment vertical="center" wrapText="1"/>
    </xf>
    <xf numFmtId="0" fontId="0" fillId="0" borderId="0" xfId="0" applyBorder="1"/>
    <xf numFmtId="176" fontId="16" fillId="24" borderId="74" xfId="76" applyFont="1" applyFill="1" applyBorder="1" applyAlignment="1">
      <alignment vertical="center"/>
    </xf>
    <xf numFmtId="176" fontId="52" fillId="24" borderId="74" xfId="1" applyFont="1" applyFill="1" applyBorder="1" applyAlignment="1">
      <alignment vertical="center"/>
    </xf>
    <xf numFmtId="43" fontId="16" fillId="0" borderId="0" xfId="0" applyNumberFormat="1" applyFont="1" applyAlignment="1">
      <alignment vertical="center"/>
    </xf>
    <xf numFmtId="0" fontId="45" fillId="20" borderId="0" xfId="0" applyFont="1" applyFill="1" applyAlignment="1">
      <alignment wrapText="1"/>
    </xf>
    <xf numFmtId="0" fontId="12" fillId="20" borderId="0" xfId="0" applyFont="1" applyFill="1" applyBorder="1" applyAlignment="1"/>
    <xf numFmtId="0" fontId="14" fillId="20" borderId="0" xfId="0" applyFont="1" applyFill="1" applyAlignment="1">
      <alignment wrapText="1"/>
    </xf>
    <xf numFmtId="0" fontId="10" fillId="20" borderId="0" xfId="0" applyFont="1" applyFill="1" applyAlignment="1"/>
    <xf numFmtId="43" fontId="10" fillId="0" borderId="0" xfId="0" applyNumberFormat="1" applyFont="1" applyAlignment="1"/>
    <xf numFmtId="0" fontId="9" fillId="29" borderId="0" xfId="0" applyFont="1" applyFill="1" applyBorder="1" applyAlignment="1">
      <alignment horizontal="center" vertical="center" wrapText="1"/>
    </xf>
    <xf numFmtId="0" fontId="9" fillId="20" borderId="69" xfId="0" applyFont="1" applyFill="1" applyBorder="1" applyAlignment="1">
      <alignment horizontal="center" vertical="center" wrapText="1"/>
    </xf>
    <xf numFmtId="176" fontId="51" fillId="29" borderId="65" xfId="1" applyNumberFormat="1" applyFont="1" applyFill="1" applyBorder="1" applyAlignment="1">
      <alignment vertical="center"/>
    </xf>
    <xf numFmtId="176" fontId="51" fillId="20" borderId="65" xfId="1" applyNumberFormat="1" applyFont="1" applyFill="1" applyBorder="1" applyAlignment="1">
      <alignment vertical="center"/>
    </xf>
    <xf numFmtId="176" fontId="51" fillId="29" borderId="0" xfId="1" applyNumberFormat="1" applyFont="1" applyFill="1" applyBorder="1" applyAlignment="1">
      <alignment vertical="center"/>
    </xf>
    <xf numFmtId="176" fontId="51" fillId="20" borderId="0" xfId="1" applyNumberFormat="1" applyFont="1" applyFill="1" applyBorder="1" applyAlignment="1">
      <alignment vertical="center"/>
    </xf>
    <xf numFmtId="176" fontId="51" fillId="29" borderId="70" xfId="1" applyNumberFormat="1" applyFont="1" applyFill="1" applyBorder="1" applyAlignment="1">
      <alignment vertical="center"/>
    </xf>
    <xf numFmtId="176" fontId="51" fillId="20" borderId="70" xfId="1" applyNumberFormat="1" applyFont="1" applyFill="1" applyBorder="1" applyAlignment="1">
      <alignment vertical="center"/>
    </xf>
    <xf numFmtId="0" fontId="9" fillId="10" borderId="75" xfId="0" applyFont="1" applyFill="1" applyBorder="1" applyAlignment="1">
      <alignment horizontal="left" vertical="center" wrapText="1"/>
    </xf>
    <xf numFmtId="0" fontId="12" fillId="10" borderId="75" xfId="0" applyFont="1" applyFill="1" applyBorder="1" applyAlignment="1">
      <alignment vertical="center"/>
    </xf>
    <xf numFmtId="176" fontId="51" fillId="29" borderId="75" xfId="1" applyNumberFormat="1" applyFont="1" applyFill="1" applyBorder="1" applyAlignment="1">
      <alignment vertical="center"/>
    </xf>
    <xf numFmtId="176" fontId="51" fillId="20" borderId="75" xfId="1" applyNumberFormat="1" applyFont="1" applyFill="1" applyBorder="1" applyAlignment="1">
      <alignment vertical="center"/>
    </xf>
    <xf numFmtId="176" fontId="16" fillId="24" borderId="76" xfId="76" applyFont="1" applyFill="1" applyBorder="1" applyAlignment="1"/>
    <xf numFmtId="176" fontId="16" fillId="29" borderId="76" xfId="76" applyFont="1" applyFill="1" applyBorder="1" applyAlignment="1"/>
    <xf numFmtId="176" fontId="52" fillId="29" borderId="76" xfId="1" applyNumberFormat="1" applyFont="1" applyFill="1" applyBorder="1" applyAlignment="1"/>
    <xf numFmtId="176" fontId="52" fillId="24" borderId="76" xfId="1" applyFont="1" applyFill="1" applyBorder="1" applyAlignment="1"/>
    <xf numFmtId="176" fontId="10" fillId="0" borderId="0" xfId="0" applyNumberFormat="1" applyFont="1" applyAlignment="1"/>
    <xf numFmtId="176" fontId="12" fillId="0" borderId="0" xfId="0" applyNumberFormat="1" applyFont="1" applyAlignment="1"/>
    <xf numFmtId="0" fontId="9" fillId="20" borderId="63" xfId="0" applyFont="1" applyFill="1" applyBorder="1" applyAlignment="1" quotePrefix="1">
      <alignment horizontal="center" vertical="center" wrapText="1"/>
    </xf>
    <xf numFmtId="14" fontId="26" fillId="10" borderId="49" xfId="70" applyNumberFormat="1" applyFont="1" applyFill="1" applyBorder="1" applyAlignment="1" quotePrefix="1">
      <alignment horizontal="left"/>
    </xf>
    <xf numFmtId="14" fontId="26" fillId="20" borderId="49" xfId="70" applyNumberFormat="1" applyFont="1" applyFill="1" applyBorder="1" applyAlignment="1" quotePrefix="1"/>
    <xf numFmtId="14" fontId="26" fillId="10" borderId="0" xfId="70" applyNumberFormat="1" applyFont="1" applyFill="1" applyBorder="1" applyAlignment="1" quotePrefix="1">
      <alignment horizontal="left"/>
    </xf>
    <xf numFmtId="176" fontId="26" fillId="10" borderId="28" xfId="70" applyNumberFormat="1" applyFont="1" applyFill="1" applyBorder="1" applyAlignment="1" quotePrefix="1">
      <alignment horizontal="left"/>
    </xf>
    <xf numFmtId="14" fontId="26" fillId="20" borderId="0" xfId="70" applyNumberFormat="1" applyFont="1" applyFill="1" applyBorder="1" applyAlignment="1" quotePrefix="1"/>
    <xf numFmtId="14" fontId="36" fillId="10" borderId="46" xfId="70" applyNumberFormat="1" applyFont="1" applyFill="1" applyBorder="1" applyAlignment="1" quotePrefix="1">
      <alignment horizontal="left" vertical="center"/>
    </xf>
    <xf numFmtId="14" fontId="26" fillId="20" borderId="46" xfId="70" applyNumberFormat="1" applyFont="1" applyFill="1" applyBorder="1" applyAlignment="1" quotePrefix="1">
      <alignment vertical="center"/>
    </xf>
    <xf numFmtId="186" fontId="18" fillId="25" borderId="38" xfId="0" applyNumberFormat="1" applyFont="1" applyFill="1" applyBorder="1" applyAlignment="1" applyProtection="1" quotePrefix="1">
      <alignment horizontal="center" vertical="center" wrapText="1"/>
      <protection hidden="1"/>
    </xf>
    <xf numFmtId="186" fontId="9" fillId="22" borderId="1" xfId="0" applyNumberFormat="1" applyFont="1" applyFill="1" applyBorder="1" applyAlignment="1" applyProtection="1" quotePrefix="1">
      <alignment horizontal="center" vertical="center" wrapText="1"/>
      <protection hidden="1"/>
    </xf>
    <xf numFmtId="186" fontId="9" fillId="23" borderId="1" xfId="0" applyNumberFormat="1" applyFont="1" applyFill="1" applyBorder="1" applyAlignment="1" applyProtection="1" quotePrefix="1">
      <alignment horizontal="center" vertical="center" wrapText="1"/>
      <protection hidden="1"/>
    </xf>
    <xf numFmtId="177" fontId="18" fillId="21" borderId="2" xfId="69" applyFont="1" applyFill="1" applyBorder="1" applyAlignment="1" quotePrefix="1">
      <alignment horizontal="center" vertical="center"/>
    </xf>
    <xf numFmtId="176" fontId="14" fillId="20" borderId="0" xfId="1" applyFont="1" applyFill="1" applyBorder="1" applyAlignment="1" quotePrefix="1">
      <alignment horizontal="center"/>
    </xf>
    <xf numFmtId="176" fontId="14" fillId="20" borderId="0" xfId="1" applyFont="1" applyFill="1" applyBorder="1" applyAlignment="1" quotePrefix="1"/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4" xfId="49"/>
    <cellStyle name="20% - 强调文字颜色 1 2" xfId="50"/>
    <cellStyle name="常规 6" xfId="51"/>
    <cellStyle name="普通 2" xfId="52"/>
    <cellStyle name="百分比 7" xfId="53"/>
    <cellStyle name="常规 5 2" xfId="54"/>
    <cellStyle name="0,0_x000d__x000d_NA_x000d__x000d_" xfId="55"/>
    <cellStyle name="千位分隔 12 2" xfId="56"/>
    <cellStyle name="千位分隔 2 3 2 2" xfId="57"/>
    <cellStyle name="常规 8 2" xfId="58"/>
    <cellStyle name="20% - 强调文字颜色 1 3" xfId="59"/>
    <cellStyle name="常规 13" xfId="60"/>
    <cellStyle name="常规 20" xfId="61"/>
    <cellStyle name="常规 19" xfId="62"/>
    <cellStyle name="常规 2" xfId="63"/>
    <cellStyle name="常规 2 2" xfId="64"/>
    <cellStyle name="常规 2 3" xfId="65"/>
    <cellStyle name="常规 2 3 2" xfId="66"/>
    <cellStyle name="常规 2_考勤见表" xfId="67"/>
    <cellStyle name="常规 4 2" xfId="68"/>
    <cellStyle name="常规 5 4" xfId="69"/>
    <cellStyle name="常规_Gexpro Payroll Calculation 范本" xfId="70"/>
    <cellStyle name="超链接 2" xfId="71"/>
    <cellStyle name="超链接 3" xfId="72"/>
    <cellStyle name="千位分隔 10" xfId="73"/>
    <cellStyle name="千位分隔 3 3" xfId="74"/>
    <cellStyle name="千位分隔 14" xfId="75"/>
    <cellStyle name="千位分隔 6" xfId="76"/>
    <cellStyle name="样式 1" xfId="77"/>
    <cellStyle name="常规 317" xfId="78"/>
    <cellStyle name="常规 4" xfId="79"/>
    <cellStyle name="千位分隔 2 3 2" xfId="80"/>
  </cellStyles>
  <dxfs count="17"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numFmt numFmtId="180" formatCode="#,##0.00_ 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Medium7"/>
  <colors>
    <mruColors>
      <color rgb="00008000"/>
      <color rgb="00808080"/>
      <color rgb="00FD5C0C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eetMetadata" Target="metadata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06.4651388889" refreshedBy="22926" recordCount="150">
  <cacheSource type="worksheet">
    <worksheetSource ref="B9:BV159" sheet="薪酬明细"/>
  </cacheSource>
  <cacheFields count="73">
    <cacheField name="成本中心（P&amp;L核算标准）" numFmtId="0">
      <sharedItems count="69">
        <s v="Shaun-外地"/>
        <s v="HRO服务-代收代付残疾人"/>
        <s v="公司费用-待结算&amp;法人&amp;智名"/>
        <s v="HRO服务-公司销售部"/>
        <s v="Shaun-雇员服务部"/>
        <s v="Shaun-客服部"/>
        <s v="F-大财务部"/>
        <s v="物业维修部"/>
        <s v="园区-商办&amp;企业服务"/>
        <s v="F-账务部"/>
        <s v="C-大后台-行政"/>
        <s v="老龙馄饨"/>
        <s v="G-Jenny-家庭"/>
        <s v="物业保洁部"/>
        <s v="物业管理部"/>
        <s v="C-大后台-人事"/>
        <s v="C-大后台-法务"/>
        <s v="G-集团管理层"/>
        <s v="G-香港办"/>
        <s v="物业保安部"/>
        <s v="G-时代人才"/>
        <s v="物业外包保安"/>
        <s v="园区-公寓&amp;企业服务部"/>
        <s v="G-管培生"/>
        <s v="C-大后台" u="1"/>
        <s v="管培生" u="1"/>
        <s v="C-大后台-行政部" u="1"/>
        <s v="研究院" u="1"/>
        <s v="投资-富平99号项目" u="1"/>
        <s v="IIT-香港办" u="1"/>
        <s v="雇员服务部" u="1"/>
        <s v="大后台" u="1"/>
        <s v="香港办&amp;总裁办" u="1"/>
        <s v="大财务部" u="1"/>
        <s v="办公&amp;企业服务" u="1"/>
        <s v="富平99号项目" u="1"/>
        <s v="账务部" u="1"/>
        <s v="Jenny-家庭" u="1"/>
        <s v="集团管理层" u="1"/>
        <s v="时代人才" u="1"/>
        <s v="公寓&amp;企业服务部" u="1"/>
        <s v="人才港" u="1"/>
        <s v="资金审计部" u="1"/>
        <s v="董事会办公室" u="1"/>
        <s v="总裁办" u="1"/>
        <s v="合规审计部" u="1"/>
        <s v="品牌商办" u="1"/>
        <s v="大后台-园区管理" u="1"/>
        <s v="大后台-行政" u="1"/>
        <s v="物业保安" u="1"/>
        <s v="人才港代收代付" u="1"/>
        <s v="人力资源研究院" u="1"/>
        <s v="C区&amp;人才港" u="1"/>
        <s v="开弈人才港" u="1"/>
        <s v="园区管理" u="1"/>
        <s v="行政部" u="1"/>
        <s v="园区保洁" u="1"/>
        <s v="香港办公室" u="1"/>
        <s v="园区商铺运营" u="1"/>
        <s v="园区物业服务部" u="1"/>
        <s v="园区保安部" u="1"/>
        <s v="园区外包保安" u="1"/>
        <s v="法务部" u="1"/>
        <s v="人事部" u="1"/>
        <s v="品牌部" u="1"/>
        <s v="资产管理部" u="1"/>
        <s v="集团办" u="1"/>
        <s v="系统部" u="1"/>
        <s v="帐务部" u="1"/>
      </sharedItems>
    </cacheField>
    <cacheField name="发薪公司" numFmtId="0">
      <sharedItems count="35">
        <s v="北京点才"/>
        <s v="开博人才"/>
        <s v="开弈企业外包"/>
        <s v="靠普人力"/>
        <s v="开弈人力资源"/>
        <s v="开弈人才"/>
        <s v="开弈投资"/>
        <s v="老龙馄饨-灵工"/>
        <s v="开弈信息"/>
        <s v="人力资源研究院"/>
        <s v="开弈中国"/>
        <s v="深圳和弈"/>
        <s v="弈工分信息"/>
        <s v="时代人才"/>
        <s v="天津英才"/>
        <s v="微芮洺"/>
        <s v="弈工分健康"/>
        <s v="弈工分健康（外包保安）"/>
        <s v="弈工分文化"/>
        <s v="开弈中国-美元"/>
        <s v="弈享天津"/>
        <s v="智名信息"/>
        <s v="靠普-现金" u="1"/>
        <s v="老龙馄饨" u="1"/>
        <s v="开弈投资-灵工" u="1"/>
        <s v="开弈人力-现金" u="1"/>
        <s v="开弈中国-调整" u="1"/>
        <s v="开弈中国-差" u="1"/>
        <s v="现金" u="1"/>
        <s v="渠道" u="1"/>
        <s v="弈工分文化-灵工" u="1"/>
        <s v="开弈人力研究院" u="1"/>
        <s v="开弈人力资源研究院" u="1"/>
        <s v="南京开弈人力" u="1"/>
        <s v="弈工分信息（外包保洁）" u="1"/>
      </sharedItems>
    </cacheField>
    <cacheField name="人员性质" numFmtId="0">
      <sharedItems count="3">
        <s v="正常计税"/>
        <s v="劳务计税"/>
        <s v="国内不计税"/>
      </sharedItems>
    </cacheField>
    <cacheField name="部门" numFmtId="0">
      <sharedItems count="27">
        <s v="北京事业部"/>
        <s v="客户残疾人"/>
        <s v="公司费用-法人"/>
        <s v="销售部"/>
        <s v="社保部"/>
        <s v="客服部（S）"/>
        <s v="财务部"/>
        <s v="物业维修部"/>
        <s v="办公&amp;企业服务"/>
        <s v="账务部"/>
        <s v="行政部"/>
        <s v="老龙馄饨"/>
        <s v="Jenny-家庭"/>
        <s v="物业保洁部"/>
        <s v="物业管理部"/>
        <s v="人事部"/>
        <s v="法务部"/>
        <s v="总裁办"/>
        <s v="香港办"/>
        <s v="深圳事业部"/>
        <s v="物业保安部"/>
        <s v="时代人才"/>
        <s v="天津事业部"/>
        <s v="物业外包保安"/>
        <s v="公寓&amp;企业服务部"/>
        <s v="管培生"/>
        <s v="公司费用-待结转"/>
      </sharedItems>
    </cacheField>
    <cacheField name="汇报人" numFmtId="0">
      <sharedItems count="18">
        <s v="杨崴"/>
        <s v="葛豪平"/>
        <s v="张毅"/>
        <s v="黄一萧"/>
        <s v="杨漾"/>
        <s v="蔡心宇"/>
        <s v="方有保"/>
        <s v="王倩"/>
        <s v="芦智蔚"/>
        <s v="韩喆"/>
        <s v="宣国英"/>
        <s v="汪顺"/>
        <s v="黄欢欢"/>
        <s v="王妤扬"/>
        <s v="Jenny"/>
        <s v="贾飞龙"/>
        <s v="蒋孝峰"/>
        <s v="郭双红"/>
      </sharedItems>
    </cacheField>
    <cacheField name="职位" numFmtId="0">
      <sharedItems count="42">
        <s v="客服专员"/>
        <s v="残疾人"/>
        <s v="法人"/>
        <s v="销售"/>
        <s v="社保经理"/>
        <s v="客服总监"/>
        <s v="顾问"/>
        <s v="财务经理"/>
        <s v="社保专员"/>
        <s v="客服主管"/>
        <s v="会计"/>
        <s v="水电工程师"/>
        <s v="商办总经理"/>
        <s v="账务专员"/>
        <s v="人事助理"/>
        <s v="厨师"/>
        <s v="保洁"/>
        <s v="驾驶员"/>
        <s v="商办账务专员"/>
        <s v="物业管理"/>
        <s v="业务拓展经理"/>
        <s v="账务经理"/>
        <s v="泰系统专员"/>
        <s v="人事专员"/>
        <s v="法务经理"/>
        <s v="执行董事&amp;CEO"/>
        <s v="行政专员"/>
        <s v="数据服务"/>
        <s v="园区保安副队长"/>
        <s v="业务经理"/>
        <s v="法务专员"/>
        <s v="园区保安队长"/>
        <s v="园区保安"/>
        <s v="公寓总经理"/>
        <s v="公寓管家"/>
        <s v="公寓副总"/>
        <s v="空调维修"/>
        <s v="保洁主管"/>
        <s v="工程维修主管"/>
        <s v="万能工"/>
        <s v="物业总经理"/>
        <s v="管培生"/>
      </sharedItems>
    </cacheField>
    <cacheField name="所属人" numFmtId="0">
      <sharedItems count="131">
        <s v="孟庆芳"/>
        <s v="尚庆军"/>
        <s v="王倩"/>
        <s v="杨崴"/>
        <s v="吴玉斌"/>
        <s v="英成盛"/>
        <s v="曹保兵"/>
        <s v="陶桔林"/>
        <s v="李晓晓"/>
        <s v="闫秀文"/>
        <s v="施宏宇"/>
        <s v="孙文丽"/>
        <s v="谢宁"/>
        <s v="徐峰"/>
        <s v="樊涛"/>
        <s v="葛豪平"/>
        <s v="侯心怡"/>
        <s v="黄一萧"/>
        <s v="李家东"/>
        <s v="卢素丹"/>
        <s v="芦智蔚"/>
        <s v="毛华英"/>
        <s v="裘碧钰"/>
        <s v="姜启志"/>
        <s v="沈丽霞"/>
        <s v="宋广忠"/>
        <s v="徐丽红"/>
        <s v="杨漾"/>
        <s v="张祥"/>
        <s v="韩燕"/>
        <s v="金学忠"/>
        <s v="韩喆"/>
        <s v="李佳"/>
        <s v="周凯楠"/>
        <s v="谢志毅"/>
        <s v="钱玉连"/>
        <s v="蔡明燕"/>
        <s v="李蕾"/>
        <s v="林水桃"/>
        <s v="邵吴慧"/>
        <s v="王建平"/>
        <s v="王韬"/>
        <s v="王永佳"/>
        <s v="杨美玲"/>
        <s v="杜宪"/>
        <s v="黄欢欢"/>
        <s v="沈明明"/>
        <s v="黄燕婷"/>
        <s v="王妤扬"/>
        <s v="张毅"/>
        <s v="郑昌杰"/>
        <s v="蔡心宇"/>
        <s v="李向榮"/>
        <s v="劉梓霖"/>
        <s v="賴淑賢"/>
        <s v="季嘉莉"/>
        <s v="张家喜"/>
        <s v="王雷"/>
        <s v="安东生"/>
        <s v="常虹"/>
        <s v="蒋孝峰"/>
        <s v="陈一卓"/>
        <s v="郭双红"/>
        <s v="吴靖娴"/>
        <s v="周梓荣"/>
        <s v="程璐"/>
        <s v="汪顺"/>
        <s v="胡金明"/>
        <s v="赵柳文"/>
        <s v="贾飞龙"/>
        <s v="殷德昌"/>
        <s v="高玉玲"/>
        <s v="丁成英"/>
        <s v="孙建芳"/>
        <s v="黄连兵"/>
        <s v="庄艳林"/>
        <s v="谢小强"/>
        <s v="史文奎"/>
        <s v="胡程林"/>
        <s v="孔令波"/>
        <s v="姚伟"/>
        <s v="刘鹏"/>
        <s v="吉庆"/>
        <s v="朱留宇"/>
        <s v="杨永宁"/>
        <s v="刘曦文"/>
        <s v="李俭波"/>
        <s v="李军立"/>
        <s v="胡保林"/>
        <s v="贾元录"/>
        <s v="徐刘岸"/>
        <s v="马金超"/>
        <s v="宋英杰"/>
        <s v="李龙"/>
        <s v="朱家良"/>
        <s v="杨永奋"/>
        <s v="许磊"/>
        <s v="李威威"/>
        <s v="王海涛"/>
        <s v="王玉玺"/>
        <s v="季文菊"/>
        <s v="李萍萍"/>
        <s v="武敏辉"/>
        <s v="党红艳"/>
        <s v="林知峰"/>
        <s v="罗俊尧"/>
        <s v="方祥"/>
        <s v="宣国英"/>
        <s v="方有保"/>
        <s v="吴立军"/>
        <s v="董宾宾"/>
        <s v="吕相坠"/>
        <s v="朱鑫沛"/>
        <s v="贾东升"/>
        <s v="宋卫东"/>
        <s v="苏坤"/>
        <s v="陈圆"/>
        <s v="安子玥"/>
        <s v="陈双杰"/>
        <s v="陈锦"/>
        <s v="任梦超"/>
        <s v="高光付"/>
        <s v="肖德云"/>
        <s v="韦兆斌"/>
        <s v="王力"/>
        <s v="翟建设"/>
        <s v="徐培珍"/>
        <s v="施玉芹"/>
        <s v="刘顺兰"/>
        <s v="于爱丽"/>
        <s v="张涛"/>
      </sharedItems>
    </cacheField>
    <cacheField name="姓名" numFmtId="0">
      <sharedItems count="132">
        <s v="孟庆芳"/>
        <s v="尚庆军"/>
        <s v="王倩"/>
        <s v="杨崴"/>
        <s v="吴玉斌"/>
        <s v="英成盛"/>
        <s v="曹保兵"/>
        <s v="陶桔林"/>
        <s v="李晓晓"/>
        <s v="闫秀文"/>
        <s v="施宏宇"/>
        <s v="孙文丽"/>
        <s v="谢宁"/>
        <s v="徐峰"/>
        <s v="樊涛"/>
        <s v="葛豪平"/>
        <s v="侯心怡"/>
        <s v="黄一萧"/>
        <s v="肖宝仙"/>
        <s v="李家东"/>
        <s v="卢素丹"/>
        <s v="芦智蔚"/>
        <s v="毛华英"/>
        <s v="裘碧钰"/>
        <s v="姜启志"/>
        <s v="沈丽霞"/>
        <s v="宋广忠"/>
        <s v="徐丽红"/>
        <s v="杨漾"/>
        <s v="张祥"/>
        <s v="韩燕"/>
        <s v="金学忠"/>
        <s v="韩喆"/>
        <s v="李佳"/>
        <s v="周凯楠"/>
        <s v="谢志毅"/>
        <s v="钱玉连"/>
        <s v="蔡明燕"/>
        <s v="李蕾"/>
        <s v="林水桃"/>
        <s v="邵吴慧"/>
        <s v="王建平"/>
        <s v="王韬"/>
        <s v="王永佳"/>
        <s v="杨美玲"/>
        <s v="杜宪"/>
        <s v="黄欢欢"/>
        <s v="沈明明"/>
        <s v="黄燕婷"/>
        <s v="王妤扬"/>
        <s v="张毅"/>
        <s v="郑昌杰"/>
        <s v="蔡心宇"/>
        <s v="李向榮"/>
        <s v="劉梓霖"/>
        <s v="賴淑賢"/>
        <s v="季嘉莉"/>
        <s v="张家喜"/>
        <s v="王雷"/>
        <s v="安东生"/>
        <s v="常虹"/>
        <s v="蒋孝峰"/>
        <s v="陈一卓"/>
        <s v="郭双红"/>
        <s v="吴靖娴"/>
        <s v="周梓荣"/>
        <s v="程璐"/>
        <s v="汪顺"/>
        <s v="胡金明"/>
        <s v="赵柳文"/>
        <s v="贾飞龙"/>
        <s v="殷德昌"/>
        <s v="高玉玲"/>
        <s v="丁成英"/>
        <s v="孙建芳"/>
        <s v="黄连兵"/>
        <s v="庄艳林"/>
        <s v="谢小强"/>
        <s v="史文奎"/>
        <s v="胡程林"/>
        <s v="孔令波"/>
        <s v="姚伟"/>
        <s v="刘鹏"/>
        <s v="吉庆"/>
        <s v="朱留宇"/>
        <s v="杨永宁"/>
        <s v="刘曦文"/>
        <s v="李俭波"/>
        <s v="李军立"/>
        <s v="胡保林"/>
        <s v="贾元录"/>
        <s v="徐刘岸"/>
        <s v="马金超"/>
        <s v="宋英杰"/>
        <s v="李龙"/>
        <s v="朱家良"/>
        <s v="杨永奋"/>
        <s v="许磊"/>
        <s v="李威威"/>
        <s v="王海涛"/>
        <s v="王玉玺"/>
        <s v="季文菊"/>
        <s v="李萍萍"/>
        <s v="武敏辉"/>
        <s v="党红艳"/>
        <s v="林知峰"/>
        <s v="罗俊尧"/>
        <s v="方祥"/>
        <s v="宣国英"/>
        <s v="方有保"/>
        <s v="吴立军"/>
        <s v="董宾宾"/>
        <s v="吕相坠"/>
        <s v="朱鑫沛"/>
        <s v="贾东升"/>
        <s v="宋卫东"/>
        <s v="苏坤"/>
        <s v="陈圆"/>
        <s v="安子玥"/>
        <s v="陈双杰"/>
        <s v="陈锦"/>
        <s v="任梦超"/>
        <s v="高光付"/>
        <s v="肖德云"/>
        <s v="韦兆斌"/>
        <s v="王力"/>
        <s v="翟建设"/>
        <s v="徐培珍"/>
        <s v="施玉芹"/>
        <s v="刘顺兰"/>
        <s v="于爱丽"/>
        <s v="张涛"/>
      </sharedItems>
    </cacheField>
    <cacheField name="考勤制" numFmtId="0">
      <sharedItems count="4">
        <s v="全日制"/>
        <s v="代收代付残疾人"/>
        <s v="非全日制"/>
        <s v="不定时工作制"/>
      </sharedItems>
    </cacheField>
    <cacheField name="企业人力成本总计" numFmtId="176">
      <sharedItems containsSemiMixedTypes="0" containsString="0" containsNumber="1" minValue="0" maxValue="70000" count="101">
        <n v="1600"/>
        <n v="5512.27"/>
        <n v="1000"/>
        <n v="11019.66"/>
        <n v="5449.47"/>
        <n v="5825.47"/>
        <n v="4519.83"/>
        <n v="19228.4"/>
        <n v="12598.97"/>
        <n v="23272.68"/>
        <n v="10000"/>
        <n v="10598.97"/>
        <n v="35520.36"/>
        <n v="9892.07"/>
        <n v="14917.57"/>
        <n v="24199.8"/>
        <n v="11474.83"/>
        <n v="12869.62"/>
        <n v="12421.8"/>
        <n v="24285.28"/>
        <n v="11204.28"/>
        <n v="8848.87"/>
        <n v="13873.6"/>
        <n v="6830.08"/>
        <n v="7363.68"/>
        <n v="12219.02"/>
        <n v="4155.8"/>
        <n v="12650.89"/>
        <n v="9644.02"/>
        <n v="21543.75"/>
        <n v="12400.8"/>
        <n v="6279.25"/>
        <n v="31718.2"/>
        <n v="31353.3"/>
        <n v="12090.02"/>
        <n v="14979.67"/>
        <n v="3899.27"/>
        <n v="36908.76"/>
        <n v="10590.02"/>
        <n v="25953.8"/>
        <n v="32606.05"/>
        <n v="13650"/>
        <n v="18900"/>
        <n v="31500"/>
        <n v="70000"/>
        <n v="15967.97"/>
        <n v="7254.66"/>
        <n v="14043.69"/>
        <n v="21666.67"/>
        <n v="13939.02"/>
        <n v="14812.23"/>
        <n v="10706.5"/>
        <n v="7351.23"/>
        <n v="8351.23"/>
        <n v="9590.02"/>
        <n v="10390.02"/>
        <n v="10475"/>
        <n v="12562.43"/>
        <n v="4550"/>
        <n v="4100"/>
        <n v="4000"/>
        <n v="4507.69"/>
        <n v="9250.55"/>
        <n v="9350.55"/>
        <n v="9093.02"/>
        <n v="200"/>
        <n v="100"/>
        <n v="12000"/>
        <n v="11600"/>
        <n v="12172.45"/>
        <n v="3000"/>
        <n v="25064.97"/>
        <n v="36809.32"/>
        <n v="24325.21"/>
        <n v="9778.92"/>
        <n v="26154.2"/>
        <n v="10013.25"/>
        <n v="1550"/>
        <n v="7655.8"/>
        <n v="19996.9"/>
        <n v="7977.13"/>
        <n v="11079.67"/>
        <n v="11796.92"/>
        <n v="6900"/>
        <n v="28022.2"/>
        <n v="8945.55"/>
        <n v="273.85"/>
        <n v="28520.38"/>
        <n v="12200"/>
        <n v="7632.18"/>
        <n v="7264.37"/>
        <n v="2200"/>
        <n v="2615.38"/>
        <n v="1384.62"/>
        <n v="923.08"/>
        <n v="16380.75"/>
        <n v="4300"/>
        <n v="4200"/>
        <n v="5306.54"/>
        <n v="1538.46"/>
        <n v="4890.32"/>
      </sharedItems>
    </cacheField>
    <cacheField name="实收" numFmtId="176">
      <sharedItems containsSemiMixedTypes="0" containsString="0" containsNumber="1" minValue="0" maxValue="70000" count="100">
        <n v="1600"/>
        <n v="2540"/>
        <n v="960"/>
        <n v="6404.99"/>
        <n v="2740"/>
        <n v="0"/>
        <n v="12109.36"/>
        <n v="8584.03"/>
        <n v="13745.05"/>
        <n v="9850"/>
        <n v="6644.03"/>
        <n v="25513.5"/>
        <n v="5958.34"/>
        <n v="8699.7"/>
        <n v="10155.62"/>
        <n v="16995.22"/>
        <n v="7493.62"/>
        <n v="8129.7"/>
        <n v="8147.82"/>
        <n v="20399.64"/>
        <n v="6268.28"/>
        <n v="4958.55"/>
        <n v="12838"/>
        <n v="6396.4"/>
        <n v="6884.4"/>
        <n v="8224.17"/>
        <n v="4000"/>
        <n v="8643.08"/>
        <n v="5726.42"/>
        <n v="16451.42"/>
        <n v="8127.45"/>
        <n v="6106.8"/>
        <n v="20187.58"/>
        <n v="19307.17"/>
        <n v="8144.03"/>
        <n v="10892.3"/>
        <n v="24463.13"/>
        <n v="6699.7"/>
        <n v="14666.62"/>
        <n v="29606.05"/>
        <n v="12350"/>
        <n v="17100"/>
        <n v="28500"/>
        <n v="70000"/>
        <n v="11226.11"/>
        <n v="4605.46"/>
        <n v="10453.87"/>
        <n v="20000"/>
        <n v="10348.71"/>
        <n v="10868.12"/>
        <n v="10379.5"/>
        <n v="4139.68"/>
        <n v="5138.25"/>
        <n v="5699.7"/>
        <n v="6450.03"/>
        <n v="6259.43"/>
        <n v="8557.27"/>
        <n v="4550"/>
        <n v="4100"/>
        <n v="4507.69"/>
        <n v="6382.02"/>
        <n v="6600.53"/>
        <n v="6600.52"/>
        <n v="6236.7"/>
        <n v="200"/>
        <n v="100"/>
        <n v="12000"/>
        <n v="11600"/>
        <n v="11295.46"/>
        <n v="2560"/>
        <n v="17852.64"/>
        <n v="26050.75"/>
        <n v="18473.39"/>
        <n v="5857.27"/>
        <n v="15804.98"/>
        <n v="6084.57"/>
        <n v="1400"/>
        <n v="7420.32"/>
        <n v="14658.07"/>
        <n v="4086.81"/>
        <n v="7119"/>
        <n v="7859.73"/>
        <n v="5796"/>
        <n v="22503.11"/>
        <n v="5048.9"/>
        <n v="273.85"/>
        <n v="22536.71"/>
        <n v="12136.58"/>
        <n v="7599.01"/>
        <n v="7240.02"/>
        <n v="2200"/>
        <n v="2615.38"/>
        <n v="1384.62"/>
        <n v="898.46"/>
        <n v="11914.21"/>
        <n v="4300"/>
        <n v="4200"/>
        <n v="5306.54"/>
        <n v="1538.46"/>
        <n v="1000"/>
      </sharedItems>
    </cacheField>
    <cacheField name="1" numFmtId="0">
      <sharedItems containsString="0" containsBlank="1" containsNonDate="0" count="1">
        <m/>
      </sharedItems>
    </cacheField>
    <cacheField name="计税月份" numFmtId="190">
      <sharedItems containsSemiMixedTypes="0" containsString="0" containsNumber="1" containsInteger="1" minValue="0" maxValue="6" count="4">
        <n v="6"/>
        <n v="3"/>
        <n v="1"/>
        <n v="2"/>
      </sharedItems>
    </cacheField>
    <cacheField name="基本工资" numFmtId="0">
      <sharedItems containsString="0" containsBlank="1" containsNumber="1" minValue="0" maxValue="70000" count="57">
        <n v="1600"/>
        <n v="3295.01"/>
        <n v="1000"/>
        <n v="8000"/>
        <n v="3523.3"/>
        <n v="3711.3"/>
        <n v="1448.3"/>
        <n v="15000"/>
        <n v="10000"/>
        <n v="17100"/>
        <n v="20000"/>
        <n v="7500"/>
        <n v="11000"/>
        <n v="9000"/>
        <n v="9350"/>
        <n v="50000"/>
        <n v="8200"/>
        <n v="6500"/>
        <n v="13873.6"/>
        <n v="6830.08"/>
        <n v="7363.68"/>
        <n v="4000"/>
        <n v="6754"/>
        <n v="12600"/>
        <n v="4216.8"/>
        <n v="14000"/>
        <n v="25000"/>
        <n v="9500"/>
        <n v="8500"/>
        <n v="12000"/>
        <n v="30000"/>
        <n v="13000"/>
        <n v="18000"/>
        <n v="70000"/>
        <n v="5400"/>
        <n v="11400"/>
        <n v="21666.67"/>
        <n v="11500"/>
        <n v="5000"/>
        <n v="6000"/>
        <n v="7000"/>
        <n v="3200"/>
        <n v="3000"/>
        <m/>
        <n v="11600"/>
        <n v="22210"/>
        <n v="21000"/>
        <n v="6800"/>
        <n v="1550"/>
        <n v="7200"/>
        <n v="5500"/>
        <n v="6300"/>
        <n v="6600"/>
        <n v="5700"/>
        <n v="22100"/>
        <n v="13310"/>
        <n v="2300.3"/>
      </sharedItems>
    </cacheField>
    <cacheField name="补贴/补充公积金" numFmtId="176">
      <sharedItems containsString="0" containsBlank="1" containsNumber="1" containsInteger="1" minValue="0" maxValue="838" count="7">
        <m/>
        <n v="179"/>
        <n v="359"/>
        <n v="838"/>
        <n v="262"/>
        <n v="170"/>
        <n v="291"/>
      </sharedItems>
    </cacheField>
    <cacheField name="考勤调整" numFmtId="176">
      <sharedItems containsString="0" containsBlank="1" containsNumber="1" minValue="-22988.51" maxValue="4200" count="27">
        <n v="0"/>
        <m/>
        <n v="-206.9"/>
        <n v="-124.14"/>
        <n v="-22988.51"/>
        <n v="-531.03"/>
        <n v="1890"/>
        <n v="4200"/>
        <n v="1172.41"/>
        <n v="200"/>
        <n v="507.69"/>
        <n v="433.33"/>
        <n v="420"/>
        <n v="937.93"/>
        <n v="689.65"/>
        <n v="2606.9"/>
        <n v="786.21"/>
        <n v="-3846.15"/>
        <n v="-367.82"/>
        <n v="-735.63"/>
        <n v="2200"/>
        <n v="-1384.62"/>
        <n v="-2615.38"/>
        <n v="-3076.92"/>
        <n v="-1193.31"/>
        <n v="661.54"/>
        <n v="-2461.54"/>
      </sharedItems>
    </cacheField>
    <cacheField name="其他补贴/调整" numFmtId="176">
      <sharedItems containsString="0" containsBlank="1" containsNumber="1" minValue="-10254.5" maxValue="11848.05" count="5">
        <m/>
        <n v="-10254.5"/>
        <n v="11848.05"/>
        <n v="30"/>
        <n v="3300"/>
      </sharedItems>
    </cacheField>
    <cacheField name="商保金额" numFmtId="176">
      <sharedItems containsString="0" containsBlank="1" containsNumber="1" minValue="0" maxValue="480.36" count="7">
        <m/>
        <n v="267.4"/>
        <n v="480.36"/>
        <n v="155.8"/>
        <n v="257.16"/>
        <n v="172.45"/>
        <n v="368.76"/>
      </sharedItems>
    </cacheField>
    <cacheField name="KPI预提" numFmtId="176">
      <sharedItems containsString="0" containsBlank="1" containsNumber="1" containsInteger="1" minValue="0" maxValue="11000" count="6">
        <m/>
        <n v="5000"/>
        <n v="11000"/>
        <n v="4000"/>
        <n v="4352"/>
        <n v="300"/>
      </sharedItems>
    </cacheField>
    <cacheField name="本月工资" numFmtId="176">
      <sharedItems containsSemiMixedTypes="0" containsString="0" containsNumber="1" minValue="0" maxValue="70000" count="89">
        <n v="1600"/>
        <n v="3295.01"/>
        <n v="1000"/>
        <n v="8267.4"/>
        <n v="3523.3"/>
        <n v="3711.3"/>
        <n v="1928.66"/>
        <n v="15446.4"/>
        <n v="10155.8"/>
        <n v="22716.16"/>
        <n v="10000"/>
        <n v="8155.8"/>
        <n v="20480.36"/>
        <n v="7448.9"/>
        <n v="12105.4"/>
        <n v="20417.8"/>
        <n v="9031.66"/>
        <n v="10437.4"/>
        <n v="9505.8"/>
        <n v="27011.49"/>
        <n v="8467.4"/>
        <n v="6655.8"/>
        <n v="13873.6"/>
        <n v="6830.08"/>
        <n v="7363.68"/>
        <n v="4155.8"/>
        <n v="10624.77"/>
        <n v="6909.8"/>
        <n v="12755.8"/>
        <n v="6279.25"/>
        <n v="25155.8"/>
        <n v="9655.8"/>
        <n v="12855.8"/>
        <n v="1901.3"/>
        <n v="30368.76"/>
        <n v="20155.8"/>
        <n v="31848.05"/>
        <n v="13000"/>
        <n v="18000"/>
        <n v="30000"/>
        <n v="70000"/>
        <n v="13155.8"/>
        <n v="5667.4"/>
        <n v="11555.8"/>
        <n v="21666.67"/>
        <n v="11685.8"/>
        <n v="12507.8"/>
        <n v="10455.8"/>
        <n v="5155.8"/>
        <n v="6155.8"/>
        <n v="7155.8"/>
        <n v="7655.8"/>
        <n v="9828.21"/>
        <n v="4200"/>
        <n v="4000"/>
        <n v="4507.69"/>
        <n v="6933.33"/>
        <n v="6875.8"/>
        <n v="0"/>
        <n v="12000"/>
        <n v="11600"/>
        <n v="12172.45"/>
        <n v="3000"/>
        <n v="22467.16"/>
        <n v="21368.76"/>
        <n v="20446.8"/>
        <n v="7893.73"/>
        <n v="1550"/>
        <n v="7355.8"/>
        <n v="11655.8"/>
        <n v="5655.8"/>
        <n v="8345.45"/>
        <n v="9062.7"/>
        <n v="6600"/>
        <n v="14155.8"/>
        <n v="6642.01"/>
        <n v="153.85"/>
        <n v="22255.8"/>
        <n v="12200"/>
        <n v="7632.18"/>
        <n v="7264.37"/>
        <n v="2200"/>
        <n v="2615.38"/>
        <n v="1384.62"/>
        <n v="923.08"/>
        <n v="12384.09"/>
        <n v="4661.54"/>
        <n v="1538.46"/>
        <n v="2456.1"/>
      </sharedItems>
    </cacheField>
    <cacheField name="商办佣金" numFmtId="176">
      <sharedItems containsString="0" containsBlank="1" containsNumber="1" minValue="0" maxValue="4443.37" count="5">
        <m/>
        <n v="1152.4"/>
        <n v="947.34"/>
        <n v="2450.2"/>
        <n v="4443.37"/>
      </sharedItems>
    </cacheField>
    <cacheField name="绩效" numFmtId="176">
      <sharedItems containsString="0" containsBlank="1" containsNumber="1" minValue="-5116.48" maxValue="1432.18" count="26">
        <m/>
        <n v="-5116.48"/>
        <n v="-742"/>
        <n v="-371"/>
        <n v="-2726.21"/>
        <n v="-304.22"/>
        <n v="-241.15"/>
        <n v="-408.1"/>
        <n v="1171.95"/>
        <n v="-1575"/>
        <n v="-927.5"/>
        <n v="-315.35"/>
        <n v="-445.2"/>
        <n v="-9.33"/>
        <n v="-296.8"/>
        <n v="-1665.75"/>
        <n v="535.56"/>
        <n v="-1399.29"/>
        <n v="-311.1"/>
        <n v="-541.6"/>
        <n v="-314.7"/>
        <n v="-112.89"/>
        <n v="1432.18"/>
        <n v="-130.68"/>
        <n v="-1056.39"/>
        <n v="487.44"/>
      </sharedItems>
    </cacheField>
    <cacheField name="公寓佣金" numFmtId="176">
      <sharedItems containsString="0" containsBlank="1" containsNonDate="0" count="1">
        <m/>
      </sharedItems>
    </cacheField>
    <cacheField name="防暑降温费" numFmtId="176">
      <sharedItems containsString="0" containsBlank="1" containsNumber="1" minValue="0" maxValue="300" count="4">
        <m/>
        <n v="300"/>
        <n v="250.7"/>
        <n v="75"/>
      </sharedItems>
    </cacheField>
    <cacheField name="津贴" numFmtId="176">
      <sharedItems containsString="0" containsBlank="1" containsNumber="1" containsInteger="1" minValue="0" maxValue="12000" count="5">
        <m/>
        <n v="12000"/>
        <n v="5000"/>
        <n v="10000"/>
        <n v="1000"/>
      </sharedItems>
    </cacheField>
    <cacheField name="保安奖金" numFmtId="176">
      <sharedItems containsString="0" containsBlank="1" containsNumber="1" containsInteger="1" minValue="0" maxValue="200" count="3">
        <m/>
        <n v="100"/>
        <n v="200"/>
      </sharedItems>
    </cacheField>
    <cacheField name="保洁奖金" numFmtId="176">
      <sharedItems containsString="0" containsBlank="1" containsNumber="1" containsInteger="1" minValue="0" maxValue="645" count="5">
        <m/>
        <n v="50"/>
        <n v="100"/>
        <n v="120"/>
        <n v="645"/>
      </sharedItems>
    </cacheField>
    <cacheField name="薪资小计" numFmtId="176">
      <sharedItems containsSemiMixedTypes="0" containsString="0" containsNumber="1" minValue="0" maxValue="70000" count="99">
        <n v="1600"/>
        <n v="3295.01"/>
        <n v="1000"/>
        <n v="8267.4"/>
        <n v="3523.3"/>
        <n v="3711.3"/>
        <n v="1928.66"/>
        <n v="15446.4"/>
        <n v="10155.8"/>
        <n v="17599.68"/>
        <n v="10000"/>
        <n v="8155.8"/>
        <n v="31738.36"/>
        <n v="7448.9"/>
        <n v="12105.4"/>
        <n v="20417.8"/>
        <n v="9031.66"/>
        <n v="10066.4"/>
        <n v="9805.8"/>
        <n v="24285.28"/>
        <n v="8163.18"/>
        <n v="6414.65"/>
        <n v="13873.6"/>
        <n v="6830.08"/>
        <n v="7363.68"/>
        <n v="9784.8"/>
        <n v="4155.8"/>
        <n v="10216.67"/>
        <n v="7209.8"/>
        <n v="18927.75"/>
        <n v="6279.25"/>
        <n v="24733.2"/>
        <n v="24228.3"/>
        <n v="9655.8"/>
        <n v="12540.45"/>
        <n v="1456.1"/>
        <n v="30368.76"/>
        <n v="19413.8"/>
        <n v="31106.05"/>
        <n v="13000"/>
        <n v="18000"/>
        <n v="30000"/>
        <n v="70000"/>
        <n v="13155.8"/>
        <n v="5667.4"/>
        <n v="11846.47"/>
        <n v="21666.67"/>
        <n v="11685.8"/>
        <n v="12758.5"/>
        <n v="10706.5"/>
        <n v="5406.5"/>
        <n v="6406.5"/>
        <n v="7155.8"/>
        <n v="7955.8"/>
        <n v="7859"/>
        <n v="10128.21"/>
        <n v="4550"/>
        <n v="4100"/>
        <n v="4000"/>
        <n v="4507.69"/>
        <n v="7333.33"/>
        <n v="7433.33"/>
        <n v="7175.8"/>
        <n v="200"/>
        <n v="100"/>
        <n v="12000"/>
        <n v="11600"/>
        <n v="12172.45"/>
        <n v="3000"/>
        <n v="21748.75"/>
        <n v="31904.32"/>
        <n v="21497.71"/>
        <n v="7344.7"/>
        <n v="19614.2"/>
        <n v="7579.03"/>
        <n v="1550"/>
        <n v="7655.8"/>
        <n v="16955.8"/>
        <n v="5542.91"/>
        <n v="8645.45"/>
        <n v="9362.7"/>
        <n v="6900"/>
        <n v="25587.98"/>
        <n v="6511.33"/>
        <n v="273.85"/>
        <n v="25642.78"/>
        <n v="12200"/>
        <n v="7632.18"/>
        <n v="7264.37"/>
        <n v="2200"/>
        <n v="2615.38"/>
        <n v="1384.62"/>
        <n v="923.08"/>
        <n v="13946.53"/>
        <n v="4300"/>
        <n v="4200"/>
        <n v="5306.54"/>
        <n v="1538.46"/>
        <n v="2456.1"/>
      </sharedItems>
    </cacheField>
    <cacheField name=" -   " numFmtId="176">
      <sharedItems containsString="0" containsBlank="1" containsNonDate="0" count="1">
        <m/>
      </sharedItems>
    </cacheField>
    <cacheField name="社保公积金_x000a_缴纳月份" numFmtId="0">
      <sharedItems containsSemiMixedTypes="0" containsString="0" containsNumber="1" containsInteger="1" minValue="0" maxValue="202606" count="1">
        <n v="202606"/>
      </sharedItems>
    </cacheField>
    <cacheField name="社保基数" numFmtId="176">
      <sharedItems containsString="0" containsBlank="1" containsNumber="1" containsInteger="1" minValue="0" maxValue="25000" count="14">
        <n v="0"/>
        <n v="7162"/>
        <n v="7460"/>
        <n v="10000"/>
        <n v="15000"/>
        <n v="8000"/>
        <n v="9300"/>
        <m/>
        <n v="25000"/>
        <n v="20000"/>
        <n v="5000"/>
        <n v="5124"/>
        <n v="7500"/>
        <n v="8800"/>
      </sharedItems>
    </cacheField>
    <cacheField name="公积金基数 " numFmtId="176">
      <sharedItems containsString="0" containsBlank="1" containsNumber="1" containsInteger="1" minValue="0" maxValue="30000" count="23">
        <n v="0"/>
        <n v="2540"/>
        <n v="7000"/>
        <n v="2690"/>
        <n v="7384"/>
        <n v="10000"/>
        <n v="15000"/>
        <n v="8000"/>
        <n v="9300"/>
        <m/>
        <n v="7460"/>
        <n v="20000"/>
        <n v="13000"/>
        <n v="18000"/>
        <n v="30000"/>
        <n v="5000"/>
        <n v="4000"/>
        <n v="4800"/>
        <n v="6000"/>
        <n v="5013"/>
        <n v="11650"/>
        <n v="7500"/>
        <n v="8800"/>
      </sharedItems>
    </cacheField>
    <cacheField name="养老" numFmtId="176">
      <sharedItems containsString="0" containsBlank="1" containsNumber="1" minValue="0" maxValue="2000" count="14">
        <n v="0"/>
        <n v="572.96"/>
        <n v="596.8"/>
        <n v="800"/>
        <n v="1200"/>
        <n v="640"/>
        <n v="744"/>
        <m/>
        <n v="2000"/>
        <n v="1600"/>
        <n v="400"/>
        <n v="409.92"/>
        <n v="600"/>
        <n v="704"/>
      </sharedItems>
    </cacheField>
    <cacheField name="医疗" numFmtId="176">
      <sharedItems containsString="0" containsBlank="1" containsNumber="1" minValue="0" maxValue="500" count="14">
        <n v="0"/>
        <n v="146.24"/>
        <n v="149.2"/>
        <n v="200"/>
        <n v="300"/>
        <n v="160"/>
        <n v="186"/>
        <m/>
        <n v="500"/>
        <n v="400"/>
        <n v="134.54"/>
        <n v="124.48"/>
        <n v="150"/>
        <n v="176"/>
      </sharedItems>
    </cacheField>
    <cacheField name="失业 " numFmtId="176">
      <sharedItems containsString="0" containsBlank="1" containsNumber="1" minValue="0" maxValue="125" count="14">
        <n v="0"/>
        <n v="35.81"/>
        <n v="37.3"/>
        <n v="50"/>
        <n v="75"/>
        <n v="40"/>
        <n v="46.5"/>
        <m/>
        <n v="125"/>
        <n v="100"/>
        <n v="10"/>
        <n v="25.62"/>
        <n v="37.5"/>
        <n v="44"/>
      </sharedItems>
    </cacheField>
    <cacheField name="公积金" numFmtId="176">
      <sharedItems containsString="0" containsBlank="1" containsNumber="1" containsInteger="1" minValue="0" maxValue="1500" count="22">
        <n v="0"/>
        <n v="840"/>
        <n v="188"/>
        <n v="517"/>
        <n v="700"/>
        <n v="1050"/>
        <n v="560"/>
        <n v="651"/>
        <m/>
        <n v="522"/>
        <n v="1400"/>
        <n v="1500"/>
        <n v="650"/>
        <n v="900"/>
        <n v="250"/>
        <n v="280"/>
        <n v="336"/>
        <n v="660"/>
        <n v="551"/>
        <n v="816"/>
        <n v="525"/>
        <n v="616"/>
      </sharedItems>
    </cacheField>
    <cacheField name="补充公积金" numFmtId="176">
      <sharedItems containsString="0" containsBlank="1" containsNumber="1" containsInteger="1" minValue="0" maxValue="750" count="8">
        <n v="0"/>
        <n v="148"/>
        <n v="500"/>
        <n v="750"/>
        <n v="369"/>
        <m/>
        <n v="583"/>
        <n v="375"/>
      </sharedItems>
    </cacheField>
    <cacheField name="个人福利合计" numFmtId="176">
      <sharedItems containsString="0" containsBlank="1" containsNumber="1" minValue="0" maxValue="3500" count="29">
        <n v="0"/>
        <n v="755.01"/>
        <n v="1595.01"/>
        <n v="783.3"/>
        <n v="971.3"/>
        <n v="1448.3"/>
        <n v="2250"/>
        <n v="1300.3"/>
        <n v="3375"/>
        <n v="1669.3"/>
        <n v="1400"/>
        <n v="1627.5"/>
        <n v="3185"/>
        <n v="3325"/>
        <n v="1305.3"/>
        <n v="3500"/>
        <n v="1500"/>
        <n v="650"/>
        <n v="900"/>
        <n v="794.54"/>
        <n v="1063.3"/>
        <n v="1119.3"/>
        <n v="1220.02"/>
        <n v="1111.02"/>
        <m/>
        <n v="2182.3"/>
        <n v="2625"/>
        <n v="1687.5"/>
        <n v="1540"/>
      </sharedItems>
    </cacheField>
    <cacheField name="累计子女教育" numFmtId="176">
      <sharedItems containsString="0" containsBlank="1" containsNumber="1" containsInteger="1" minValue="0" maxValue="2000" count="3">
        <m/>
        <n v="2000"/>
        <n v="1000"/>
      </sharedItems>
    </cacheField>
    <cacheField name="累计住房贷款利息" numFmtId="176">
      <sharedItems containsString="0" containsBlank="1" containsNonDate="0" count="1">
        <m/>
      </sharedItems>
    </cacheField>
    <cacheField name="累计住房租金" numFmtId="176">
      <sharedItems containsString="0" containsBlank="1" containsNumber="1" containsInteger="1" minValue="0" maxValue="1500" count="2">
        <m/>
        <n v="1500"/>
      </sharedItems>
    </cacheField>
    <cacheField name="累计赡养老人" numFmtId="176">
      <sharedItems containsString="0" containsBlank="1" containsNumber="1" containsInteger="1" minValue="0" maxValue="3000" count="3">
        <m/>
        <n v="3000"/>
        <n v="1500"/>
      </sharedItems>
    </cacheField>
    <cacheField name="累计继续教育" numFmtId="176">
      <sharedItems containsString="0" containsBlank="1" containsNumber="1" containsInteger="1" minValue="0" maxValue="400" count="2">
        <m/>
        <n v="400"/>
      </sharedItems>
    </cacheField>
    <cacheField name="本期纳税工资" numFmtId="176">
      <sharedItems containsString="0" containsBlank="1" containsNumber="1" minValue="-2519.64" maxValue="29279.32" count="90">
        <n v="1600"/>
        <n v="2540"/>
        <n v="1000"/>
        <n v="6672.39"/>
        <n v="2740"/>
        <n v="-2519.64"/>
        <n v="13196.4"/>
        <n v="8855.5"/>
        <n v="11224.68"/>
        <n v="10000"/>
        <n v="6855.5"/>
        <n v="27988.36"/>
        <n v="6148.6"/>
        <n v="7355.5"/>
        <n v="5436.1"/>
        <n v="15167.8"/>
        <n v="7731.36"/>
        <n v="5397.1"/>
        <n v="8405.8"/>
        <n v="24285.28"/>
        <n v="2035.68"/>
        <n v="5114.35"/>
        <m/>
        <n v="8484.5"/>
        <n v="4155.8"/>
        <n v="8916.37"/>
        <n v="5909.5"/>
        <n v="13527.75"/>
        <n v="8384.8"/>
        <n v="6279.25"/>
        <n v="21548.2"/>
        <n v="19403.3"/>
        <n v="11235.15"/>
        <n v="155.8"/>
        <n v="25368.76"/>
        <n v="3855.5"/>
        <n v="15913.8"/>
        <n v="0"/>
        <n v="8486.5"/>
        <n v="4872.86"/>
        <n v="10783.17"/>
        <n v="21666.67"/>
        <n v="10566.5"/>
        <n v="11538.48"/>
        <n v="10706.5"/>
        <n v="4295.48"/>
        <n v="5295.48"/>
        <n v="5855.5"/>
        <n v="5155.5"/>
        <n v="4959"/>
        <n v="7327.91"/>
        <n v="4550"/>
        <n v="4100"/>
        <n v="4000"/>
        <n v="4507.69"/>
        <n v="6550.03"/>
        <n v="6650.03"/>
        <n v="6392.5"/>
        <n v="12172.45"/>
        <n v="3000"/>
        <n v="19566.45"/>
        <n v="29279.32"/>
        <n v="16810.21"/>
        <n v="6044.4"/>
        <n v="13114.2"/>
        <n v="6278.73"/>
        <n v="1550"/>
        <n v="7655.8"/>
        <n v="12328.3"/>
        <n v="4242.61"/>
        <n v="7345.15"/>
        <n v="6562.4"/>
        <n v="6900"/>
        <n v="21287.68"/>
        <n v="5211.03"/>
        <n v="273.85"/>
        <n v="18702.78"/>
        <n v="12200"/>
        <n v="7632.18"/>
        <n v="7264.37"/>
        <n v="2200"/>
        <n v="2615.38"/>
        <n v="1384.62"/>
        <n v="923.08"/>
        <n v="9646.23"/>
        <n v="4300"/>
        <n v="4200"/>
        <n v="5306.54"/>
        <n v="1538.46"/>
        <n v="1155.8"/>
      </sharedItems>
    </cacheField>
    <cacheField name=" 1.00 " numFmtId="176">
      <sharedItems containsString="0" containsBlank="1" containsNonDate="0" count="1">
        <m/>
      </sharedItems>
    </cacheField>
    <cacheField name="累计收入" numFmtId="176">
      <sharedItems containsString="0" containsBlank="1" containsNumber="1" minValue="0" maxValue="420000" count="96">
        <n v="9600"/>
        <n v="19770.06"/>
        <n v="6000"/>
        <n v="48849.15"/>
        <n v="21139.8"/>
        <n v="22267.8"/>
        <n v="11336.52"/>
        <n v="106148.35"/>
        <n v="63319.98"/>
        <n v="174340.29"/>
        <n v="58329"/>
        <n v="51052"/>
        <n v="208456.72"/>
        <n v="51139.43"/>
        <n v="60789"/>
        <n v="81175.09"/>
        <n v="143768.79"/>
        <n v="59074.01"/>
        <n v="61411.31"/>
        <n v="60648.54"/>
        <n v="246445.34"/>
        <n v="46340.34"/>
        <n v="36351.12"/>
        <m/>
        <n v="57071.63"/>
        <n v="24901.95"/>
        <n v="59374.47"/>
        <n v="41725.95"/>
        <n v="104467.05"/>
        <n v="59111.63"/>
        <n v="37361.7"/>
        <n v="153034.85"/>
        <n v="135445.65"/>
        <n v="56459.01"/>
        <n v="50989.59"/>
        <n v="8858.83"/>
        <n v="182041.92"/>
        <n v="58051.93"/>
        <n v="110711.95"/>
        <n v="199913.08"/>
        <n v="420000"/>
        <n v="77741.85"/>
        <n v="33462.87"/>
        <n v="67793.64"/>
        <n v="127200"/>
        <n v="70081.95"/>
        <n v="77768.05"/>
        <n v="65802.65"/>
        <n v="30741.65"/>
        <n v="36659.45"/>
        <n v="29665.99"/>
        <n v="47889.69"/>
        <n v="21320.03"/>
        <n v="56416.72"/>
        <n v="25657.7"/>
        <n v="24273.85"/>
        <n v="24646.16"/>
        <n v="23876.92"/>
        <n v="43433.33"/>
        <n v="43633.33"/>
        <n v="39851.66"/>
        <n v="21977.4"/>
        <n v="72990.9"/>
        <n v="18000"/>
        <n v="128344.08"/>
        <n v="194068.8"/>
        <n v="123939.73"/>
        <n v="72960.78"/>
        <n v="121698.04"/>
        <n v="62899.54"/>
        <n v="9300"/>
        <n v="43006.59"/>
        <n v="97973.25"/>
        <n v="62813.49"/>
        <n v="54482.6"/>
        <n v="57312.53"/>
        <n v="40017.08"/>
        <n v="140464.16"/>
        <n v="65054.4"/>
        <n v="22466.55"/>
        <n v="138667.93"/>
        <n v="15142.53"/>
        <n v="7632.18"/>
        <n v="7264.37"/>
        <n v="2200"/>
        <n v="2615.38"/>
        <n v="1384.62"/>
        <n v="923.08"/>
        <n v="100195.82"/>
        <n v="25861.55"/>
        <n v="24800"/>
        <n v="25760.01"/>
        <n v="7384.62"/>
        <n v="22846.16"/>
        <n v="5917.8"/>
        <n v="14703.75"/>
      </sharedItems>
    </cacheField>
    <cacheField name="应纳税所得额" numFmtId="176">
      <sharedItems containsString="0" containsBlank="1" containsNumber="1" minValue="0" maxValue="216445.34" count="59">
        <n v="0"/>
        <n v="62648.35"/>
        <n v="25518.18"/>
        <n v="82090.29"/>
        <n v="28329"/>
        <n v="13250.2"/>
        <n v="155956.72"/>
        <n v="13337.63"/>
        <n v="11159.29"/>
        <n v="82268.79"/>
        <n v="21272.21"/>
        <n v="22248.54"/>
        <n v="216445.34"/>
        <m/>
        <n v="19269.83"/>
        <n v="21572.67"/>
        <n v="3924.15"/>
        <n v="45067.05"/>
        <n v="20711.63"/>
        <n v="88924.85"/>
        <n v="76495.65"/>
        <n v="9657.21000000001"/>
        <n v="13157.79"/>
        <n v="122041.92"/>
        <n v="2250.13000000001"/>
        <n v="59711.95"/>
        <n v="19726.05"/>
        <n v="31413.84"/>
        <n v="97200"/>
        <n v="12366.15"/>
        <n v="40548.58"/>
        <n v="35802.65"/>
        <n v="93.9799999999968"/>
        <n v="10087.89"/>
        <n v="2120.03"/>
        <n v="18614.92"/>
        <n v="8733.53"/>
        <n v="8933.53"/>
        <n v="5151.86"/>
        <n v="42990.9"/>
        <n v="85250.28"/>
        <n v="148318.8"/>
        <n v="65814.73"/>
        <n v="35158.98"/>
        <n v="34698.04"/>
        <n v="25097.74"/>
        <n v="13006.59"/>
        <n v="40208.25"/>
        <n v="25011.69"/>
        <n v="16680.8"/>
        <n v="10510.73"/>
        <n v="10017.08"/>
        <n v="84662.36"/>
        <n v="27252.6"/>
        <n v="69427.93"/>
        <n v="5142.53"/>
        <n v="2632.18"/>
        <n v="2264.37"/>
        <n v="44394.02"/>
      </sharedItems>
    </cacheField>
    <cacheField name="累计已扣税额" numFmtId="176">
      <sharedItems containsString="0" containsBlank="1" containsNumber="1" minValue="0" maxValue="52484.57" count="62">
        <n v="0"/>
        <n v="200"/>
        <n v="2925.2"/>
        <n v="649.88"/>
        <n v="5466.56"/>
        <n v="699.87"/>
        <n v="341.84"/>
        <n v="10776.84"/>
        <n v="365.67"/>
        <n v="70.34"/>
        <n v="321.7"/>
        <n v="4690.1"/>
        <n v="556.23"/>
        <n v="565.28"/>
        <n v="52484.57"/>
        <n v="10.34"/>
        <m/>
        <n v="473.56"/>
        <n v="529.69"/>
        <n v="90.44"/>
        <n v="1066.18"/>
        <n v="519.8"/>
        <n v="5167.67"/>
        <n v="3689.24"/>
        <n v="234.05"/>
        <n v="207.68"/>
        <n v="7647.32"/>
        <n v="101.84"/>
        <n v="2359.82"/>
        <n v="487.19"/>
        <n v="768.92"/>
        <n v="5533.33"/>
        <n v="308.99"/>
        <n v="1020.3"/>
        <n v="902.88"/>
        <n v="1.39"/>
        <n v="252.97"/>
        <n v="19.83"/>
        <n v="443.61"/>
        <n v="94"/>
        <n v="218.51"/>
        <n v="105.05"/>
        <n v="1074.55"/>
        <n v="2200"/>
        <n v="4548.38"/>
        <n v="9883.95"/>
        <n v="2880.45"/>
        <n v="1023.44"/>
        <n v="887.52"/>
        <n v="714.57"/>
        <n v="750"/>
        <n v="310.52"/>
        <n v="986.4"/>
        <n v="773.07"/>
        <n v="430.07"/>
        <n v="268.45"/>
        <n v="5893.41"/>
        <n v="4317.47"/>
        <n v="811.25"/>
        <n v="3012.52"/>
        <n v="1454.78"/>
        <n v="183.56"/>
      </sharedItems>
    </cacheField>
    <cacheField name="上月个税调整" numFmtId="176">
      <sharedItems containsString="0" containsBlank="1" containsNumber="1" containsInteger="1" minValue="0" maxValue="0" count="2">
        <m/>
        <n v="0"/>
      </sharedItems>
    </cacheField>
    <cacheField name="当月个人所得税" numFmtId="176">
      <sharedItems containsString="0" containsBlank="1" containsNumber="1" minValue="0" maxValue="3885.64" count="62">
        <n v="0"/>
        <n v="40"/>
        <n v="819.64"/>
        <n v="115.67"/>
        <n v="222.47"/>
        <n v="150"/>
        <n v="55.67"/>
        <n v="3494.5"/>
        <n v="34.46"/>
        <n v="13.08"/>
        <n v="1016.78"/>
        <n v="81.94"/>
        <n v="102.18"/>
        <n v="3885.64"/>
        <n v="1035.6"/>
        <n v="433.68"/>
        <n v="479.28"/>
        <n v="104.53"/>
        <n v="117.49"/>
        <n v="27.28"/>
        <n v="920.53"/>
        <n v="101.55"/>
        <n v="1204.82"/>
        <n v="1440.33"/>
        <n v="187.05"/>
        <n v="2036.87"/>
        <n v="1091.38"/>
        <m/>
        <n v="104.59"/>
        <n v="173.5"/>
        <n v="1666.67"/>
        <n v="61.99"/>
        <n v="514.56"/>
        <n v="171.2"/>
        <n v="1.43"/>
        <n v="49.67"/>
        <n v="43.77"/>
        <n v="114.84"/>
        <n v="168.01"/>
        <n v="49.5"/>
        <n v="49.51"/>
        <n v="704.54"/>
        <n v="440"/>
        <n v="1456.65"/>
        <n v="2859.81"/>
        <n v="1181.02"/>
        <n v="31.33"/>
        <n v="153.42"/>
        <n v="38.36"/>
        <n v="79.68"/>
        <n v="514.43"/>
        <n v="70.35"/>
        <n v="46.87"/>
        <n v="1104"/>
        <n v="1628.77"/>
        <n v="6.33"/>
        <n v="1410.27"/>
        <n v="63.42"/>
        <n v="33.17"/>
        <n v="24.35"/>
        <n v="24.62"/>
        <n v="464.62"/>
      </sharedItems>
    </cacheField>
    <cacheField name="商保调整" numFmtId="176">
      <sharedItems containsSemiMixedTypes="0" containsString="0" containsNumber="1" minValue="-480.36" maxValue="0" count="7">
        <n v="0"/>
        <n v="-267.4"/>
        <n v="-480.36"/>
        <n v="-155.8"/>
        <n v="-257.16"/>
        <n v="-172.45"/>
        <n v="-368.76"/>
      </sharedItems>
    </cacheField>
    <cacheField name="个税调整" numFmtId="176">
      <sharedItems containsString="0" containsBlank="1" containsNonDate="0" count="1">
        <m/>
      </sharedItems>
    </cacheField>
    <cacheField name="银行实发" numFmtId="176">
      <sharedItems containsSemiMixedTypes="0" containsString="0" containsNumber="1" minValue="0" maxValue="70000" count="100">
        <n v="1600"/>
        <n v="2540"/>
        <n v="960"/>
        <n v="6404.99"/>
        <n v="2740"/>
        <n v="0"/>
        <n v="12109.36"/>
        <n v="8584.03"/>
        <n v="13745.05"/>
        <n v="9850"/>
        <n v="6644.03"/>
        <n v="25513.5"/>
        <n v="5958.34"/>
        <n v="8699.7"/>
        <n v="10155.62"/>
        <n v="16995.22"/>
        <n v="7493.62"/>
        <n v="8129.7"/>
        <n v="8147.82"/>
        <n v="20399.64"/>
        <n v="6268.28"/>
        <n v="4958.55"/>
        <n v="12838"/>
        <n v="6396.4"/>
        <n v="6884.4"/>
        <n v="8224.17"/>
        <n v="4000"/>
        <n v="8643.08"/>
        <n v="5726.42"/>
        <n v="16451.42"/>
        <n v="8127.45"/>
        <n v="6106.8"/>
        <n v="20187.58"/>
        <n v="19307.17"/>
        <n v="8144.03"/>
        <n v="10892.3"/>
        <n v="24463.13"/>
        <n v="6699.7"/>
        <n v="14666.62"/>
        <n v="29606.05"/>
        <n v="12350"/>
        <n v="17100"/>
        <n v="28500"/>
        <n v="70000"/>
        <n v="11226.11"/>
        <n v="4605.46"/>
        <n v="10453.87"/>
        <n v="20000"/>
        <n v="10348.71"/>
        <n v="10868.12"/>
        <n v="10379.5"/>
        <n v="4139.68"/>
        <n v="5138.25"/>
        <n v="5699.7"/>
        <n v="6450.03"/>
        <n v="6259.43"/>
        <n v="8557.27"/>
        <n v="4550"/>
        <n v="4100"/>
        <n v="4507.69"/>
        <n v="6382.02"/>
        <n v="6600.53"/>
        <n v="6600.52"/>
        <n v="6236.7"/>
        <n v="200"/>
        <n v="100"/>
        <n v="12000"/>
        <n v="11600"/>
        <n v="11295.46"/>
        <n v="2560"/>
        <n v="17852.64"/>
        <n v="26050.75"/>
        <n v="18473.39"/>
        <n v="5857.27"/>
        <n v="15804.98"/>
        <n v="6084.57"/>
        <n v="1400"/>
        <n v="7420.32"/>
        <n v="14658.07"/>
        <n v="4086.81"/>
        <n v="7119"/>
        <n v="7859.73"/>
        <n v="5796"/>
        <n v="22503.11"/>
        <n v="5048.9"/>
        <n v="273.85"/>
        <n v="22536.71"/>
        <n v="12136.58"/>
        <n v="7599.01"/>
        <n v="7240.02"/>
        <n v="2200"/>
        <n v="2615.38"/>
        <n v="1384.62"/>
        <n v="898.46"/>
        <n v="11914.21"/>
        <n v="4300"/>
        <n v="4200"/>
        <n v="5306.54"/>
        <n v="1538.46"/>
        <n v="1000"/>
      </sharedItems>
    </cacheField>
    <cacheField name="账外实发" numFmtId="176">
      <sharedItems containsString="0" containsBlank="1" containsNonDate="0" count="1">
        <m/>
      </sharedItems>
    </cacheField>
    <cacheField name="实收工资" numFmtId="176">
      <sharedItems containsSemiMixedTypes="0" containsString="0" containsNumber="1" minValue="0" maxValue="70000" count="100">
        <n v="1600"/>
        <n v="2540"/>
        <n v="960"/>
        <n v="6404.99"/>
        <n v="2740"/>
        <n v="0"/>
        <n v="12109.36"/>
        <n v="8584.03"/>
        <n v="13745.05"/>
        <n v="9850"/>
        <n v="6644.03"/>
        <n v="25513.5"/>
        <n v="5958.34"/>
        <n v="8699.7"/>
        <n v="10155.62"/>
        <n v="16995.22"/>
        <n v="7493.62"/>
        <n v="8129.7"/>
        <n v="8147.82"/>
        <n v="20399.64"/>
        <n v="6268.28"/>
        <n v="4958.55"/>
        <n v="12838"/>
        <n v="6396.4"/>
        <n v="6884.4"/>
        <n v="8224.17"/>
        <n v="4000"/>
        <n v="8643.08"/>
        <n v="5726.42"/>
        <n v="16451.42"/>
        <n v="8127.45"/>
        <n v="6106.8"/>
        <n v="20187.58"/>
        <n v="19307.17"/>
        <n v="8144.03"/>
        <n v="10892.3"/>
        <n v="24463.13"/>
        <n v="6699.7"/>
        <n v="14666.62"/>
        <n v="29606.05"/>
        <n v="12350"/>
        <n v="17100"/>
        <n v="28500"/>
        <n v="70000"/>
        <n v="11226.11"/>
        <n v="4605.46"/>
        <n v="10453.87"/>
        <n v="20000"/>
        <n v="10348.71"/>
        <n v="10868.12"/>
        <n v="10379.5"/>
        <n v="4139.68"/>
        <n v="5138.25"/>
        <n v="5699.7"/>
        <n v="6450.03"/>
        <n v="6259.43"/>
        <n v="8557.27"/>
        <n v="4550"/>
        <n v="4100"/>
        <n v="4507.69"/>
        <n v="6382.02"/>
        <n v="6600.53"/>
        <n v="6600.52"/>
        <n v="6236.7"/>
        <n v="200"/>
        <n v="100"/>
        <n v="12000"/>
        <n v="11600"/>
        <n v="11295.46"/>
        <n v="2560"/>
        <n v="17852.64"/>
        <n v="26050.75"/>
        <n v="18473.39"/>
        <n v="5857.27"/>
        <n v="15804.98"/>
        <n v="6084.57"/>
        <n v="1400"/>
        <n v="7420.32"/>
        <n v="14658.07"/>
        <n v="4086.81"/>
        <n v="7119"/>
        <n v="7859.73"/>
        <n v="5796"/>
        <n v="22503.11"/>
        <n v="5048.9"/>
        <n v="273.85"/>
        <n v="22536.71"/>
        <n v="12136.58"/>
        <n v="7599.01"/>
        <n v="7240.02"/>
        <n v="2200"/>
        <n v="2615.38"/>
        <n v="1384.62"/>
        <n v="898.46"/>
        <n v="11914.21"/>
        <n v="4300"/>
        <n v="4200"/>
        <n v="5306.54"/>
        <n v="1538.46"/>
        <n v="1000"/>
      </sharedItems>
    </cacheField>
    <cacheField name="养老 " numFmtId="176">
      <sharedItems containsString="0" containsBlank="1" containsNumber="1" minValue="0" maxValue="4000" count="14">
        <n v="0"/>
        <n v="1145.92"/>
        <n v="1193.6"/>
        <n v="1600"/>
        <n v="2400"/>
        <n v="1280"/>
        <n v="1488"/>
        <m/>
        <n v="4000"/>
        <n v="3200"/>
        <n v="850"/>
        <n v="819.84"/>
        <n v="1200"/>
        <n v="1408"/>
      </sharedItems>
    </cacheField>
    <cacheField name="医疗2" numFmtId="176">
      <sharedItems containsString="0" containsBlank="1" containsNumber="1" minValue="0" maxValue="2000" count="14">
        <n v="0"/>
        <n v="644.58"/>
        <n v="596.8"/>
        <n v="800"/>
        <n v="1200"/>
        <n v="640"/>
        <n v="744"/>
        <m/>
        <n v="2000"/>
        <n v="1600"/>
        <n v="403.62"/>
        <n v="512.4"/>
        <n v="600"/>
        <n v="704"/>
      </sharedItems>
    </cacheField>
    <cacheField name="失业" numFmtId="176">
      <sharedItems containsString="0" containsBlank="1" containsNumber="1" minValue="0" maxValue="125" count="13">
        <n v="0"/>
        <n v="35.81"/>
        <n v="37.3"/>
        <n v="50"/>
        <n v="75"/>
        <n v="40"/>
        <n v="46.5"/>
        <m/>
        <n v="125"/>
        <n v="100"/>
        <n v="25.62"/>
        <n v="37.5"/>
        <n v="44"/>
      </sharedItems>
    </cacheField>
    <cacheField name="工伤" numFmtId="176">
      <sharedItems containsString="0" containsBlank="1" containsNumber="1" minValue="0" maxValue="50" count="16">
        <n v="0"/>
        <n v="28.65"/>
        <n v="23.87"/>
        <n v="32"/>
        <n v="48"/>
        <n v="14.92"/>
        <n v="16"/>
        <n v="18.6"/>
        <m/>
        <n v="50"/>
        <n v="40"/>
        <n v="10"/>
        <n v="10.25"/>
        <n v="30"/>
        <n v="15"/>
        <n v="17.6"/>
      </sharedItems>
    </cacheField>
    <cacheField name="生育" numFmtId="176">
      <sharedItems containsString="0" containsBlank="1" containsNumber="1" minValue="0" maxValue="250" count="14">
        <n v="0"/>
        <n v="57.3"/>
        <n v="74.6"/>
        <n v="100"/>
        <n v="150"/>
        <n v="80"/>
        <n v="93"/>
        <m/>
        <n v="250"/>
        <n v="200"/>
        <n v="33.64"/>
        <n v="25.62"/>
        <n v="75"/>
        <n v="88"/>
      </sharedItems>
    </cacheField>
    <cacheField name="公积金2" numFmtId="176">
      <sharedItems containsString="0" containsBlank="1" containsNumber="1" containsInteger="1" minValue="0" maxValue="1500" count="23">
        <n v="0"/>
        <n v="305"/>
        <n v="840"/>
        <n v="188"/>
        <n v="517"/>
        <n v="700"/>
        <n v="1050"/>
        <n v="560"/>
        <n v="651"/>
        <m/>
        <n v="522"/>
        <n v="1400"/>
        <n v="1500"/>
        <n v="650"/>
        <n v="900"/>
        <n v="250"/>
        <n v="280"/>
        <n v="336"/>
        <n v="660"/>
        <n v="551"/>
        <n v="816"/>
        <n v="525"/>
        <n v="616"/>
      </sharedItems>
    </cacheField>
    <cacheField name="补充公积金2" numFmtId="176">
      <sharedItems containsString="0" containsBlank="1" containsNumber="1" containsInteger="1" minValue="0" maxValue="750" count="8">
        <n v="0"/>
        <n v="148"/>
        <n v="500"/>
        <n v="750"/>
        <n v="369"/>
        <m/>
        <n v="583"/>
        <n v="375"/>
      </sharedItems>
    </cacheField>
    <cacheField name="公司法定福利合计" numFmtId="176">
      <sharedItems containsSemiMixedTypes="0" containsString="0" containsNumber="1" minValue="0" maxValue="7125" count="31">
        <n v="0"/>
        <n v="2217.26"/>
        <n v="2752.26"/>
        <n v="1926.17"/>
        <n v="2114.17"/>
        <n v="2591.17"/>
        <n v="3782"/>
        <n v="2443.17"/>
        <n v="5673"/>
        <n v="2812.17"/>
        <n v="2803.22"/>
        <n v="2616"/>
        <n v="3041.1"/>
        <n v="2434.22"/>
        <n v="6985"/>
        <n v="7125"/>
        <n v="2439.22"/>
        <n v="6540"/>
        <n v="1500"/>
        <n v="650"/>
        <n v="900"/>
        <n v="1587.26"/>
        <n v="2197.22"/>
        <n v="2253.22"/>
        <n v="2053.73"/>
        <n v="1944.73"/>
        <n v="1917.22"/>
        <n v="3316.22"/>
        <n v="4905"/>
        <n v="2827.5"/>
        <n v="2877.6"/>
      </sharedItems>
    </cacheField>
    <cacheField name=" 2.00 " numFmtId="176">
      <sharedItems containsString="0" containsBlank="1" containsNonDate="0" count="1">
        <m/>
      </sharedItems>
    </cacheField>
    <cacheField name="商业保险" numFmtId="176">
      <sharedItems containsString="0" containsBlank="1" containsNonDate="0" count="1">
        <m/>
      </sharedItems>
    </cacheField>
    <cacheField name="生日/婚丧孕" numFmtId="176">
      <sharedItems containsString="0" containsBlank="1" containsNonDate="0" count="1">
        <m/>
      </sharedItems>
    </cacheField>
    <cacheField name="健康管理服务费" numFmtId="176">
      <sharedItems containsString="0" containsBlank="1" containsNonDate="0" count="1">
        <m/>
      </sharedItems>
    </cacheField>
    <cacheField name="住房津贴" numFmtId="176">
      <sharedItems containsString="0" containsBlank="1" containsNonDate="0" count="1">
        <m/>
      </sharedItems>
    </cacheField>
    <cacheField name="福利合计" numFmtId="176">
      <sharedItems containsString="0" containsBlank="1" containsNumber="1" containsInteger="1" minValue="0" maxValue="0" count="2">
        <n v="0"/>
        <m/>
      </sharedItems>
    </cacheField>
    <cacheField name="绩效&amp;佣金合计" numFmtId="176">
      <sharedItems containsSemiMixedTypes="0" containsString="0" containsNumber="1" minValue="-5116.48" maxValue="11432.18" count="37">
        <n v="0"/>
        <n v="-5116.48"/>
        <n v="11258"/>
        <n v="-371"/>
        <n v="300"/>
        <n v="-2726.21"/>
        <n v="-304.22"/>
        <n v="-241.15"/>
        <n v="-408.1"/>
        <n v="6171.95"/>
        <n v="-422.6"/>
        <n v="-927.5"/>
        <n v="-315.35"/>
        <n v="-445.2"/>
        <n v="-742"/>
        <n v="290.67"/>
        <n v="250.7"/>
        <n v="-296.8"/>
        <n v="350"/>
        <n v="100"/>
        <n v="400"/>
        <n v="500"/>
        <n v="200"/>
        <n v="-718.41"/>
        <n v="10535.56"/>
        <n v="1050.91"/>
        <n v="-311.1"/>
        <n v="-541.6"/>
        <n v="-314.7"/>
        <n v="5300"/>
        <n v="-112.89"/>
        <n v="11432.18"/>
        <n v="-130.68"/>
        <n v="120"/>
        <n v="3386.98"/>
        <n v="1562.44"/>
        <n v="645"/>
      </sharedItems>
    </cacheField>
    <cacheField name="预提福利费" numFmtId="176">
      <sharedItems containsString="0" containsBlank="1" containsNumber="1" containsInteger="1" minValue="0" maxValue="1250" count="3">
        <m/>
        <n v="600"/>
        <n v="1250"/>
      </sharedItems>
    </cacheField>
    <cacheField name="富平99号项目福利费" numFmtId="176">
      <sharedItems containsString="0" containsBlank="1" containsNonDate="0" count="1">
        <m/>
      </sharedItems>
    </cacheField>
    <cacheField name="备注" numFmtId="176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0"/>
    <x v="0"/>
    <x v="1"/>
    <x v="0"/>
    <x v="1"/>
    <x v="0"/>
    <x v="0"/>
    <x v="0"/>
    <x v="1"/>
    <x v="0"/>
    <x v="0"/>
    <x v="0"/>
    <x v="0"/>
    <x v="0"/>
    <x v="0"/>
    <x v="0"/>
    <x v="1"/>
    <x v="0"/>
    <x v="0"/>
    <x v="1"/>
    <x v="1"/>
    <x v="1"/>
    <x v="1"/>
    <x v="1"/>
    <x v="0"/>
    <x v="0"/>
    <x v="1"/>
    <x v="0"/>
    <x v="0"/>
    <x v="0"/>
    <x v="0"/>
    <x v="0"/>
    <x v="1"/>
    <x v="0"/>
    <x v="1"/>
    <x v="0"/>
    <x v="0"/>
    <x v="0"/>
    <x v="0"/>
    <x v="0"/>
    <x v="0"/>
    <x v="1"/>
    <x v="0"/>
    <x v="1"/>
    <x v="1"/>
    <x v="1"/>
    <x v="1"/>
    <x v="1"/>
    <x v="1"/>
    <x v="1"/>
    <x v="0"/>
    <x v="1"/>
    <x v="0"/>
    <x v="0"/>
    <x v="0"/>
    <x v="0"/>
    <x v="0"/>
    <x v="0"/>
    <x v="0"/>
    <x v="0"/>
    <x v="0"/>
    <x v="0"/>
  </r>
  <r>
    <x v="2"/>
    <x v="0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3"/>
    <x v="0"/>
    <x v="3"/>
    <x v="3"/>
    <x v="0"/>
    <x v="3"/>
    <x v="3"/>
    <x v="0"/>
    <x v="0"/>
    <x v="3"/>
    <x v="0"/>
    <x v="0"/>
    <x v="0"/>
    <x v="1"/>
    <x v="0"/>
    <x v="3"/>
    <x v="0"/>
    <x v="0"/>
    <x v="0"/>
    <x v="0"/>
    <x v="0"/>
    <x v="0"/>
    <x v="0"/>
    <x v="3"/>
    <x v="0"/>
    <x v="0"/>
    <x v="1"/>
    <x v="2"/>
    <x v="1"/>
    <x v="1"/>
    <x v="1"/>
    <x v="1"/>
    <x v="0"/>
    <x v="2"/>
    <x v="0"/>
    <x v="0"/>
    <x v="0"/>
    <x v="0"/>
    <x v="0"/>
    <x v="3"/>
    <x v="0"/>
    <x v="3"/>
    <x v="0"/>
    <x v="0"/>
    <x v="0"/>
    <x v="0"/>
    <x v="1"/>
    <x v="0"/>
    <x v="3"/>
    <x v="0"/>
    <x v="3"/>
    <x v="1"/>
    <x v="1"/>
    <x v="1"/>
    <x v="1"/>
    <x v="1"/>
    <x v="2"/>
    <x v="0"/>
    <x v="2"/>
    <x v="0"/>
    <x v="0"/>
    <x v="0"/>
    <x v="0"/>
    <x v="0"/>
    <x v="0"/>
    <x v="0"/>
    <x v="1"/>
    <x v="0"/>
    <x v="0"/>
  </r>
  <r>
    <x v="2"/>
    <x v="1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2"/>
    <x v="0"/>
    <x v="1"/>
    <x v="1"/>
    <x v="1"/>
    <x v="4"/>
    <x v="4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2"/>
    <x v="2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3"/>
    <x v="0"/>
    <x v="1"/>
    <x v="1"/>
    <x v="1"/>
    <x v="5"/>
    <x v="5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1"/>
    <x v="4"/>
    <x v="0"/>
    <x v="1"/>
    <x v="1"/>
    <x v="1"/>
    <x v="6"/>
    <x v="6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1"/>
    <x v="4"/>
    <x v="0"/>
    <x v="1"/>
    <x v="1"/>
    <x v="1"/>
    <x v="7"/>
    <x v="7"/>
    <x v="1"/>
    <x v="5"/>
    <x v="4"/>
    <x v="0"/>
    <x v="0"/>
    <x v="5"/>
    <x v="0"/>
    <x v="1"/>
    <x v="0"/>
    <x v="0"/>
    <x v="0"/>
    <x v="5"/>
    <x v="0"/>
    <x v="0"/>
    <x v="0"/>
    <x v="0"/>
    <x v="0"/>
    <x v="0"/>
    <x v="0"/>
    <x v="5"/>
    <x v="0"/>
    <x v="0"/>
    <x v="2"/>
    <x v="3"/>
    <x v="2"/>
    <x v="2"/>
    <x v="2"/>
    <x v="2"/>
    <x v="0"/>
    <x v="4"/>
    <x v="0"/>
    <x v="0"/>
    <x v="0"/>
    <x v="0"/>
    <x v="0"/>
    <x v="4"/>
    <x v="0"/>
    <x v="5"/>
    <x v="0"/>
    <x v="0"/>
    <x v="0"/>
    <x v="0"/>
    <x v="0"/>
    <x v="0"/>
    <x v="4"/>
    <x v="0"/>
    <x v="4"/>
    <x v="2"/>
    <x v="2"/>
    <x v="2"/>
    <x v="2"/>
    <x v="2"/>
    <x v="3"/>
    <x v="0"/>
    <x v="4"/>
    <x v="0"/>
    <x v="0"/>
    <x v="0"/>
    <x v="0"/>
    <x v="0"/>
    <x v="0"/>
    <x v="0"/>
    <x v="0"/>
    <x v="0"/>
    <x v="0"/>
  </r>
  <r>
    <x v="1"/>
    <x v="4"/>
    <x v="0"/>
    <x v="1"/>
    <x v="1"/>
    <x v="1"/>
    <x v="8"/>
    <x v="8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1"/>
    <x v="4"/>
    <x v="0"/>
    <x v="1"/>
    <x v="1"/>
    <x v="1"/>
    <x v="9"/>
    <x v="9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1"/>
    <x v="4"/>
    <x v="0"/>
    <x v="1"/>
    <x v="1"/>
    <x v="1"/>
    <x v="10"/>
    <x v="10"/>
    <x v="1"/>
    <x v="5"/>
    <x v="4"/>
    <x v="0"/>
    <x v="0"/>
    <x v="5"/>
    <x v="0"/>
    <x v="1"/>
    <x v="0"/>
    <x v="0"/>
    <x v="0"/>
    <x v="5"/>
    <x v="0"/>
    <x v="0"/>
    <x v="0"/>
    <x v="0"/>
    <x v="0"/>
    <x v="0"/>
    <x v="0"/>
    <x v="5"/>
    <x v="0"/>
    <x v="0"/>
    <x v="2"/>
    <x v="3"/>
    <x v="2"/>
    <x v="2"/>
    <x v="2"/>
    <x v="2"/>
    <x v="0"/>
    <x v="4"/>
    <x v="0"/>
    <x v="0"/>
    <x v="0"/>
    <x v="0"/>
    <x v="0"/>
    <x v="4"/>
    <x v="0"/>
    <x v="5"/>
    <x v="0"/>
    <x v="0"/>
    <x v="0"/>
    <x v="0"/>
    <x v="0"/>
    <x v="0"/>
    <x v="4"/>
    <x v="0"/>
    <x v="4"/>
    <x v="2"/>
    <x v="2"/>
    <x v="2"/>
    <x v="2"/>
    <x v="2"/>
    <x v="3"/>
    <x v="0"/>
    <x v="4"/>
    <x v="0"/>
    <x v="0"/>
    <x v="0"/>
    <x v="0"/>
    <x v="0"/>
    <x v="0"/>
    <x v="0"/>
    <x v="0"/>
    <x v="0"/>
    <x v="0"/>
  </r>
  <r>
    <x v="1"/>
    <x v="4"/>
    <x v="0"/>
    <x v="1"/>
    <x v="1"/>
    <x v="1"/>
    <x v="11"/>
    <x v="11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1"/>
    <x v="5"/>
    <x v="0"/>
    <x v="1"/>
    <x v="1"/>
    <x v="1"/>
    <x v="12"/>
    <x v="12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3"/>
    <x v="5"/>
    <x v="0"/>
    <x v="3"/>
    <x v="3"/>
    <x v="3"/>
    <x v="13"/>
    <x v="13"/>
    <x v="2"/>
    <x v="6"/>
    <x v="5"/>
    <x v="0"/>
    <x v="0"/>
    <x v="6"/>
    <x v="0"/>
    <x v="0"/>
    <x v="0"/>
    <x v="2"/>
    <x v="0"/>
    <x v="6"/>
    <x v="0"/>
    <x v="0"/>
    <x v="0"/>
    <x v="0"/>
    <x v="0"/>
    <x v="0"/>
    <x v="0"/>
    <x v="6"/>
    <x v="0"/>
    <x v="0"/>
    <x v="2"/>
    <x v="4"/>
    <x v="2"/>
    <x v="2"/>
    <x v="2"/>
    <x v="3"/>
    <x v="1"/>
    <x v="5"/>
    <x v="0"/>
    <x v="0"/>
    <x v="0"/>
    <x v="1"/>
    <x v="0"/>
    <x v="5"/>
    <x v="0"/>
    <x v="6"/>
    <x v="0"/>
    <x v="0"/>
    <x v="0"/>
    <x v="0"/>
    <x v="2"/>
    <x v="0"/>
    <x v="5"/>
    <x v="0"/>
    <x v="5"/>
    <x v="2"/>
    <x v="2"/>
    <x v="2"/>
    <x v="2"/>
    <x v="2"/>
    <x v="4"/>
    <x v="1"/>
    <x v="5"/>
    <x v="0"/>
    <x v="0"/>
    <x v="0"/>
    <x v="0"/>
    <x v="0"/>
    <x v="0"/>
    <x v="0"/>
    <x v="0"/>
    <x v="0"/>
    <x v="0"/>
  </r>
  <r>
    <x v="1"/>
    <x v="4"/>
    <x v="0"/>
    <x v="1"/>
    <x v="1"/>
    <x v="1"/>
    <x v="14"/>
    <x v="14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4"/>
    <x v="4"/>
    <x v="0"/>
    <x v="4"/>
    <x v="3"/>
    <x v="4"/>
    <x v="15"/>
    <x v="15"/>
    <x v="0"/>
    <x v="7"/>
    <x v="6"/>
    <x v="0"/>
    <x v="0"/>
    <x v="7"/>
    <x v="1"/>
    <x v="0"/>
    <x v="0"/>
    <x v="1"/>
    <x v="0"/>
    <x v="7"/>
    <x v="0"/>
    <x v="0"/>
    <x v="0"/>
    <x v="0"/>
    <x v="0"/>
    <x v="0"/>
    <x v="0"/>
    <x v="7"/>
    <x v="0"/>
    <x v="0"/>
    <x v="3"/>
    <x v="5"/>
    <x v="3"/>
    <x v="3"/>
    <x v="3"/>
    <x v="4"/>
    <x v="2"/>
    <x v="6"/>
    <x v="0"/>
    <x v="0"/>
    <x v="0"/>
    <x v="0"/>
    <x v="0"/>
    <x v="6"/>
    <x v="0"/>
    <x v="7"/>
    <x v="1"/>
    <x v="2"/>
    <x v="0"/>
    <x v="2"/>
    <x v="1"/>
    <x v="0"/>
    <x v="6"/>
    <x v="0"/>
    <x v="6"/>
    <x v="3"/>
    <x v="3"/>
    <x v="3"/>
    <x v="3"/>
    <x v="3"/>
    <x v="5"/>
    <x v="2"/>
    <x v="6"/>
    <x v="0"/>
    <x v="0"/>
    <x v="0"/>
    <x v="0"/>
    <x v="0"/>
    <x v="0"/>
    <x v="0"/>
    <x v="2"/>
    <x v="0"/>
    <x v="0"/>
  </r>
  <r>
    <x v="5"/>
    <x v="4"/>
    <x v="0"/>
    <x v="5"/>
    <x v="4"/>
    <x v="0"/>
    <x v="16"/>
    <x v="16"/>
    <x v="0"/>
    <x v="8"/>
    <x v="7"/>
    <x v="0"/>
    <x v="0"/>
    <x v="8"/>
    <x v="0"/>
    <x v="0"/>
    <x v="0"/>
    <x v="3"/>
    <x v="0"/>
    <x v="8"/>
    <x v="0"/>
    <x v="0"/>
    <x v="0"/>
    <x v="0"/>
    <x v="0"/>
    <x v="0"/>
    <x v="0"/>
    <x v="8"/>
    <x v="0"/>
    <x v="0"/>
    <x v="2"/>
    <x v="4"/>
    <x v="2"/>
    <x v="2"/>
    <x v="2"/>
    <x v="3"/>
    <x v="0"/>
    <x v="7"/>
    <x v="0"/>
    <x v="0"/>
    <x v="0"/>
    <x v="0"/>
    <x v="0"/>
    <x v="7"/>
    <x v="0"/>
    <x v="8"/>
    <x v="2"/>
    <x v="3"/>
    <x v="1"/>
    <x v="3"/>
    <x v="3"/>
    <x v="0"/>
    <x v="7"/>
    <x v="0"/>
    <x v="7"/>
    <x v="2"/>
    <x v="2"/>
    <x v="2"/>
    <x v="2"/>
    <x v="2"/>
    <x v="4"/>
    <x v="0"/>
    <x v="7"/>
    <x v="0"/>
    <x v="0"/>
    <x v="0"/>
    <x v="0"/>
    <x v="0"/>
    <x v="0"/>
    <x v="0"/>
    <x v="2"/>
    <x v="0"/>
    <x v="0"/>
  </r>
  <r>
    <x v="5"/>
    <x v="4"/>
    <x v="0"/>
    <x v="5"/>
    <x v="2"/>
    <x v="5"/>
    <x v="17"/>
    <x v="17"/>
    <x v="0"/>
    <x v="9"/>
    <x v="8"/>
    <x v="0"/>
    <x v="0"/>
    <x v="9"/>
    <x v="2"/>
    <x v="0"/>
    <x v="0"/>
    <x v="4"/>
    <x v="1"/>
    <x v="9"/>
    <x v="0"/>
    <x v="1"/>
    <x v="0"/>
    <x v="0"/>
    <x v="0"/>
    <x v="0"/>
    <x v="0"/>
    <x v="9"/>
    <x v="0"/>
    <x v="0"/>
    <x v="4"/>
    <x v="6"/>
    <x v="4"/>
    <x v="4"/>
    <x v="4"/>
    <x v="5"/>
    <x v="3"/>
    <x v="8"/>
    <x v="0"/>
    <x v="0"/>
    <x v="0"/>
    <x v="1"/>
    <x v="0"/>
    <x v="8"/>
    <x v="0"/>
    <x v="9"/>
    <x v="3"/>
    <x v="4"/>
    <x v="0"/>
    <x v="4"/>
    <x v="4"/>
    <x v="0"/>
    <x v="8"/>
    <x v="0"/>
    <x v="8"/>
    <x v="4"/>
    <x v="4"/>
    <x v="4"/>
    <x v="4"/>
    <x v="4"/>
    <x v="6"/>
    <x v="3"/>
    <x v="8"/>
    <x v="0"/>
    <x v="0"/>
    <x v="0"/>
    <x v="0"/>
    <x v="0"/>
    <x v="0"/>
    <x v="1"/>
    <x v="2"/>
    <x v="0"/>
    <x v="0"/>
  </r>
  <r>
    <x v="5"/>
    <x v="4"/>
    <x v="0"/>
    <x v="5"/>
    <x v="3"/>
    <x v="6"/>
    <x v="17"/>
    <x v="18"/>
    <x v="2"/>
    <x v="10"/>
    <x v="9"/>
    <x v="0"/>
    <x v="0"/>
    <x v="8"/>
    <x v="0"/>
    <x v="0"/>
    <x v="0"/>
    <x v="0"/>
    <x v="0"/>
    <x v="10"/>
    <x v="0"/>
    <x v="0"/>
    <x v="0"/>
    <x v="0"/>
    <x v="0"/>
    <x v="0"/>
    <x v="0"/>
    <x v="10"/>
    <x v="0"/>
    <x v="0"/>
    <x v="0"/>
    <x v="0"/>
    <x v="0"/>
    <x v="0"/>
    <x v="0"/>
    <x v="0"/>
    <x v="0"/>
    <x v="0"/>
    <x v="0"/>
    <x v="0"/>
    <x v="0"/>
    <x v="0"/>
    <x v="0"/>
    <x v="9"/>
    <x v="0"/>
    <x v="10"/>
    <x v="4"/>
    <x v="5"/>
    <x v="0"/>
    <x v="5"/>
    <x v="0"/>
    <x v="0"/>
    <x v="9"/>
    <x v="0"/>
    <x v="9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4"/>
    <x v="0"/>
    <x v="1"/>
    <x v="1"/>
    <x v="1"/>
    <x v="18"/>
    <x v="19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5"/>
    <x v="4"/>
    <x v="0"/>
    <x v="5"/>
    <x v="4"/>
    <x v="0"/>
    <x v="19"/>
    <x v="20"/>
    <x v="0"/>
    <x v="11"/>
    <x v="10"/>
    <x v="0"/>
    <x v="0"/>
    <x v="3"/>
    <x v="0"/>
    <x v="0"/>
    <x v="0"/>
    <x v="3"/>
    <x v="0"/>
    <x v="11"/>
    <x v="0"/>
    <x v="0"/>
    <x v="0"/>
    <x v="0"/>
    <x v="0"/>
    <x v="0"/>
    <x v="0"/>
    <x v="11"/>
    <x v="0"/>
    <x v="0"/>
    <x v="2"/>
    <x v="4"/>
    <x v="2"/>
    <x v="2"/>
    <x v="2"/>
    <x v="3"/>
    <x v="0"/>
    <x v="7"/>
    <x v="0"/>
    <x v="0"/>
    <x v="0"/>
    <x v="0"/>
    <x v="0"/>
    <x v="10"/>
    <x v="0"/>
    <x v="11"/>
    <x v="5"/>
    <x v="6"/>
    <x v="0"/>
    <x v="6"/>
    <x v="3"/>
    <x v="0"/>
    <x v="10"/>
    <x v="0"/>
    <x v="10"/>
    <x v="2"/>
    <x v="2"/>
    <x v="2"/>
    <x v="2"/>
    <x v="2"/>
    <x v="4"/>
    <x v="0"/>
    <x v="7"/>
    <x v="0"/>
    <x v="0"/>
    <x v="0"/>
    <x v="0"/>
    <x v="0"/>
    <x v="0"/>
    <x v="0"/>
    <x v="2"/>
    <x v="0"/>
    <x v="0"/>
  </r>
  <r>
    <x v="6"/>
    <x v="4"/>
    <x v="0"/>
    <x v="6"/>
    <x v="2"/>
    <x v="7"/>
    <x v="20"/>
    <x v="21"/>
    <x v="0"/>
    <x v="12"/>
    <x v="11"/>
    <x v="0"/>
    <x v="0"/>
    <x v="10"/>
    <x v="0"/>
    <x v="0"/>
    <x v="0"/>
    <x v="2"/>
    <x v="0"/>
    <x v="12"/>
    <x v="0"/>
    <x v="2"/>
    <x v="0"/>
    <x v="0"/>
    <x v="1"/>
    <x v="0"/>
    <x v="0"/>
    <x v="12"/>
    <x v="0"/>
    <x v="0"/>
    <x v="3"/>
    <x v="5"/>
    <x v="3"/>
    <x v="3"/>
    <x v="3"/>
    <x v="4"/>
    <x v="2"/>
    <x v="6"/>
    <x v="0"/>
    <x v="0"/>
    <x v="0"/>
    <x v="2"/>
    <x v="0"/>
    <x v="11"/>
    <x v="0"/>
    <x v="12"/>
    <x v="6"/>
    <x v="7"/>
    <x v="0"/>
    <x v="7"/>
    <x v="2"/>
    <x v="0"/>
    <x v="11"/>
    <x v="0"/>
    <x v="11"/>
    <x v="3"/>
    <x v="3"/>
    <x v="3"/>
    <x v="3"/>
    <x v="3"/>
    <x v="5"/>
    <x v="2"/>
    <x v="6"/>
    <x v="0"/>
    <x v="0"/>
    <x v="0"/>
    <x v="0"/>
    <x v="0"/>
    <x v="0"/>
    <x v="2"/>
    <x v="2"/>
    <x v="0"/>
    <x v="0"/>
  </r>
  <r>
    <x v="4"/>
    <x v="3"/>
    <x v="0"/>
    <x v="4"/>
    <x v="1"/>
    <x v="8"/>
    <x v="21"/>
    <x v="22"/>
    <x v="0"/>
    <x v="13"/>
    <x v="12"/>
    <x v="0"/>
    <x v="0"/>
    <x v="11"/>
    <x v="0"/>
    <x v="2"/>
    <x v="0"/>
    <x v="3"/>
    <x v="0"/>
    <x v="13"/>
    <x v="0"/>
    <x v="0"/>
    <x v="0"/>
    <x v="0"/>
    <x v="0"/>
    <x v="0"/>
    <x v="0"/>
    <x v="13"/>
    <x v="0"/>
    <x v="0"/>
    <x v="2"/>
    <x v="4"/>
    <x v="2"/>
    <x v="2"/>
    <x v="2"/>
    <x v="3"/>
    <x v="0"/>
    <x v="7"/>
    <x v="0"/>
    <x v="0"/>
    <x v="0"/>
    <x v="0"/>
    <x v="0"/>
    <x v="12"/>
    <x v="0"/>
    <x v="13"/>
    <x v="7"/>
    <x v="8"/>
    <x v="0"/>
    <x v="8"/>
    <x v="3"/>
    <x v="0"/>
    <x v="12"/>
    <x v="0"/>
    <x v="12"/>
    <x v="2"/>
    <x v="2"/>
    <x v="2"/>
    <x v="2"/>
    <x v="2"/>
    <x v="4"/>
    <x v="0"/>
    <x v="7"/>
    <x v="0"/>
    <x v="0"/>
    <x v="0"/>
    <x v="0"/>
    <x v="0"/>
    <x v="0"/>
    <x v="0"/>
    <x v="2"/>
    <x v="0"/>
    <x v="0"/>
  </r>
  <r>
    <x v="5"/>
    <x v="4"/>
    <x v="0"/>
    <x v="5"/>
    <x v="4"/>
    <x v="0"/>
    <x v="22"/>
    <x v="23"/>
    <x v="0"/>
    <x v="8"/>
    <x v="13"/>
    <x v="0"/>
    <x v="0"/>
    <x v="8"/>
    <x v="0"/>
    <x v="0"/>
    <x v="0"/>
    <x v="3"/>
    <x v="0"/>
    <x v="8"/>
    <x v="0"/>
    <x v="0"/>
    <x v="0"/>
    <x v="0"/>
    <x v="0"/>
    <x v="0"/>
    <x v="0"/>
    <x v="8"/>
    <x v="0"/>
    <x v="0"/>
    <x v="2"/>
    <x v="4"/>
    <x v="2"/>
    <x v="2"/>
    <x v="2"/>
    <x v="3"/>
    <x v="0"/>
    <x v="7"/>
    <x v="0"/>
    <x v="0"/>
    <x v="1"/>
    <x v="0"/>
    <x v="0"/>
    <x v="13"/>
    <x v="0"/>
    <x v="14"/>
    <x v="0"/>
    <x v="9"/>
    <x v="0"/>
    <x v="0"/>
    <x v="3"/>
    <x v="0"/>
    <x v="13"/>
    <x v="0"/>
    <x v="13"/>
    <x v="2"/>
    <x v="2"/>
    <x v="2"/>
    <x v="2"/>
    <x v="2"/>
    <x v="4"/>
    <x v="0"/>
    <x v="7"/>
    <x v="0"/>
    <x v="0"/>
    <x v="0"/>
    <x v="0"/>
    <x v="0"/>
    <x v="0"/>
    <x v="0"/>
    <x v="2"/>
    <x v="0"/>
    <x v="0"/>
  </r>
  <r>
    <x v="1"/>
    <x v="4"/>
    <x v="0"/>
    <x v="1"/>
    <x v="1"/>
    <x v="1"/>
    <x v="23"/>
    <x v="24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5"/>
    <x v="4"/>
    <x v="0"/>
    <x v="5"/>
    <x v="4"/>
    <x v="0"/>
    <x v="24"/>
    <x v="25"/>
    <x v="0"/>
    <x v="14"/>
    <x v="14"/>
    <x v="0"/>
    <x v="0"/>
    <x v="12"/>
    <x v="3"/>
    <x v="0"/>
    <x v="0"/>
    <x v="1"/>
    <x v="0"/>
    <x v="14"/>
    <x v="0"/>
    <x v="0"/>
    <x v="0"/>
    <x v="0"/>
    <x v="0"/>
    <x v="0"/>
    <x v="0"/>
    <x v="14"/>
    <x v="0"/>
    <x v="0"/>
    <x v="2"/>
    <x v="4"/>
    <x v="2"/>
    <x v="2"/>
    <x v="2"/>
    <x v="3"/>
    <x v="4"/>
    <x v="9"/>
    <x v="1"/>
    <x v="0"/>
    <x v="0"/>
    <x v="1"/>
    <x v="0"/>
    <x v="14"/>
    <x v="0"/>
    <x v="15"/>
    <x v="8"/>
    <x v="10"/>
    <x v="1"/>
    <x v="9"/>
    <x v="1"/>
    <x v="0"/>
    <x v="14"/>
    <x v="0"/>
    <x v="14"/>
    <x v="2"/>
    <x v="2"/>
    <x v="2"/>
    <x v="2"/>
    <x v="2"/>
    <x v="4"/>
    <x v="4"/>
    <x v="9"/>
    <x v="0"/>
    <x v="0"/>
    <x v="0"/>
    <x v="0"/>
    <x v="0"/>
    <x v="0"/>
    <x v="0"/>
    <x v="2"/>
    <x v="0"/>
    <x v="0"/>
  </r>
  <r>
    <x v="1"/>
    <x v="4"/>
    <x v="0"/>
    <x v="1"/>
    <x v="1"/>
    <x v="1"/>
    <x v="25"/>
    <x v="26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2"/>
    <x v="4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4"/>
    <x v="0"/>
    <x v="1"/>
    <x v="1"/>
    <x v="1"/>
    <x v="26"/>
    <x v="27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5"/>
    <x v="4"/>
    <x v="0"/>
    <x v="5"/>
    <x v="3"/>
    <x v="9"/>
    <x v="27"/>
    <x v="28"/>
    <x v="0"/>
    <x v="15"/>
    <x v="15"/>
    <x v="0"/>
    <x v="0"/>
    <x v="10"/>
    <x v="4"/>
    <x v="0"/>
    <x v="0"/>
    <x v="3"/>
    <x v="0"/>
    <x v="15"/>
    <x v="0"/>
    <x v="0"/>
    <x v="0"/>
    <x v="0"/>
    <x v="0"/>
    <x v="0"/>
    <x v="0"/>
    <x v="15"/>
    <x v="0"/>
    <x v="0"/>
    <x v="3"/>
    <x v="5"/>
    <x v="3"/>
    <x v="3"/>
    <x v="3"/>
    <x v="4"/>
    <x v="2"/>
    <x v="6"/>
    <x v="0"/>
    <x v="0"/>
    <x v="0"/>
    <x v="1"/>
    <x v="0"/>
    <x v="15"/>
    <x v="0"/>
    <x v="16"/>
    <x v="9"/>
    <x v="11"/>
    <x v="0"/>
    <x v="10"/>
    <x v="3"/>
    <x v="0"/>
    <x v="15"/>
    <x v="0"/>
    <x v="15"/>
    <x v="3"/>
    <x v="3"/>
    <x v="3"/>
    <x v="3"/>
    <x v="3"/>
    <x v="5"/>
    <x v="2"/>
    <x v="6"/>
    <x v="0"/>
    <x v="0"/>
    <x v="0"/>
    <x v="0"/>
    <x v="0"/>
    <x v="0"/>
    <x v="0"/>
    <x v="2"/>
    <x v="0"/>
    <x v="0"/>
  </r>
  <r>
    <x v="4"/>
    <x v="5"/>
    <x v="0"/>
    <x v="4"/>
    <x v="1"/>
    <x v="8"/>
    <x v="28"/>
    <x v="29"/>
    <x v="0"/>
    <x v="16"/>
    <x v="16"/>
    <x v="0"/>
    <x v="0"/>
    <x v="13"/>
    <x v="0"/>
    <x v="3"/>
    <x v="0"/>
    <x v="3"/>
    <x v="0"/>
    <x v="16"/>
    <x v="0"/>
    <x v="0"/>
    <x v="0"/>
    <x v="0"/>
    <x v="0"/>
    <x v="0"/>
    <x v="0"/>
    <x v="16"/>
    <x v="0"/>
    <x v="0"/>
    <x v="2"/>
    <x v="4"/>
    <x v="2"/>
    <x v="2"/>
    <x v="2"/>
    <x v="3"/>
    <x v="0"/>
    <x v="7"/>
    <x v="0"/>
    <x v="0"/>
    <x v="0"/>
    <x v="0"/>
    <x v="0"/>
    <x v="16"/>
    <x v="0"/>
    <x v="17"/>
    <x v="10"/>
    <x v="12"/>
    <x v="0"/>
    <x v="11"/>
    <x v="3"/>
    <x v="0"/>
    <x v="16"/>
    <x v="0"/>
    <x v="16"/>
    <x v="2"/>
    <x v="2"/>
    <x v="2"/>
    <x v="2"/>
    <x v="2"/>
    <x v="4"/>
    <x v="0"/>
    <x v="7"/>
    <x v="0"/>
    <x v="0"/>
    <x v="0"/>
    <x v="0"/>
    <x v="0"/>
    <x v="0"/>
    <x v="0"/>
    <x v="2"/>
    <x v="0"/>
    <x v="0"/>
  </r>
  <r>
    <x v="6"/>
    <x v="6"/>
    <x v="0"/>
    <x v="6"/>
    <x v="5"/>
    <x v="10"/>
    <x v="29"/>
    <x v="30"/>
    <x v="0"/>
    <x v="17"/>
    <x v="17"/>
    <x v="0"/>
    <x v="0"/>
    <x v="8"/>
    <x v="5"/>
    <x v="0"/>
    <x v="0"/>
    <x v="1"/>
    <x v="0"/>
    <x v="17"/>
    <x v="0"/>
    <x v="3"/>
    <x v="0"/>
    <x v="0"/>
    <x v="0"/>
    <x v="0"/>
    <x v="0"/>
    <x v="17"/>
    <x v="0"/>
    <x v="0"/>
    <x v="2"/>
    <x v="4"/>
    <x v="2"/>
    <x v="2"/>
    <x v="2"/>
    <x v="3"/>
    <x v="4"/>
    <x v="9"/>
    <x v="0"/>
    <x v="0"/>
    <x v="0"/>
    <x v="1"/>
    <x v="0"/>
    <x v="17"/>
    <x v="0"/>
    <x v="18"/>
    <x v="0"/>
    <x v="0"/>
    <x v="0"/>
    <x v="0"/>
    <x v="1"/>
    <x v="0"/>
    <x v="17"/>
    <x v="0"/>
    <x v="17"/>
    <x v="2"/>
    <x v="2"/>
    <x v="2"/>
    <x v="5"/>
    <x v="2"/>
    <x v="4"/>
    <x v="4"/>
    <x v="10"/>
    <x v="0"/>
    <x v="0"/>
    <x v="0"/>
    <x v="0"/>
    <x v="0"/>
    <x v="0"/>
    <x v="3"/>
    <x v="2"/>
    <x v="0"/>
    <x v="0"/>
  </r>
  <r>
    <x v="7"/>
    <x v="6"/>
    <x v="0"/>
    <x v="7"/>
    <x v="6"/>
    <x v="11"/>
    <x v="30"/>
    <x v="31"/>
    <x v="3"/>
    <x v="18"/>
    <x v="18"/>
    <x v="0"/>
    <x v="0"/>
    <x v="14"/>
    <x v="0"/>
    <x v="0"/>
    <x v="0"/>
    <x v="3"/>
    <x v="0"/>
    <x v="18"/>
    <x v="0"/>
    <x v="0"/>
    <x v="0"/>
    <x v="1"/>
    <x v="0"/>
    <x v="0"/>
    <x v="0"/>
    <x v="18"/>
    <x v="0"/>
    <x v="0"/>
    <x v="5"/>
    <x v="7"/>
    <x v="5"/>
    <x v="5"/>
    <x v="5"/>
    <x v="6"/>
    <x v="0"/>
    <x v="10"/>
    <x v="0"/>
    <x v="0"/>
    <x v="0"/>
    <x v="0"/>
    <x v="0"/>
    <x v="18"/>
    <x v="0"/>
    <x v="19"/>
    <x v="11"/>
    <x v="13"/>
    <x v="0"/>
    <x v="12"/>
    <x v="3"/>
    <x v="0"/>
    <x v="18"/>
    <x v="0"/>
    <x v="18"/>
    <x v="5"/>
    <x v="5"/>
    <x v="5"/>
    <x v="6"/>
    <x v="5"/>
    <x v="7"/>
    <x v="0"/>
    <x v="11"/>
    <x v="0"/>
    <x v="0"/>
    <x v="0"/>
    <x v="0"/>
    <x v="0"/>
    <x v="0"/>
    <x v="4"/>
    <x v="2"/>
    <x v="0"/>
    <x v="0"/>
  </r>
  <r>
    <x v="8"/>
    <x v="6"/>
    <x v="1"/>
    <x v="8"/>
    <x v="2"/>
    <x v="12"/>
    <x v="31"/>
    <x v="32"/>
    <x v="2"/>
    <x v="19"/>
    <x v="19"/>
    <x v="0"/>
    <x v="0"/>
    <x v="15"/>
    <x v="0"/>
    <x v="4"/>
    <x v="0"/>
    <x v="0"/>
    <x v="0"/>
    <x v="19"/>
    <x v="0"/>
    <x v="4"/>
    <x v="0"/>
    <x v="0"/>
    <x v="0"/>
    <x v="0"/>
    <x v="0"/>
    <x v="19"/>
    <x v="0"/>
    <x v="0"/>
    <x v="0"/>
    <x v="0"/>
    <x v="0"/>
    <x v="0"/>
    <x v="0"/>
    <x v="0"/>
    <x v="0"/>
    <x v="0"/>
    <x v="0"/>
    <x v="0"/>
    <x v="0"/>
    <x v="0"/>
    <x v="0"/>
    <x v="19"/>
    <x v="0"/>
    <x v="20"/>
    <x v="12"/>
    <x v="14"/>
    <x v="0"/>
    <x v="13"/>
    <x v="0"/>
    <x v="0"/>
    <x v="19"/>
    <x v="0"/>
    <x v="19"/>
    <x v="0"/>
    <x v="0"/>
    <x v="0"/>
    <x v="0"/>
    <x v="0"/>
    <x v="0"/>
    <x v="0"/>
    <x v="0"/>
    <x v="0"/>
    <x v="0"/>
    <x v="0"/>
    <x v="0"/>
    <x v="0"/>
    <x v="0"/>
    <x v="5"/>
    <x v="2"/>
    <x v="0"/>
    <x v="0"/>
  </r>
  <r>
    <x v="9"/>
    <x v="6"/>
    <x v="0"/>
    <x v="9"/>
    <x v="7"/>
    <x v="13"/>
    <x v="32"/>
    <x v="33"/>
    <x v="0"/>
    <x v="20"/>
    <x v="20"/>
    <x v="0"/>
    <x v="0"/>
    <x v="16"/>
    <x v="0"/>
    <x v="0"/>
    <x v="0"/>
    <x v="1"/>
    <x v="0"/>
    <x v="20"/>
    <x v="0"/>
    <x v="5"/>
    <x v="0"/>
    <x v="0"/>
    <x v="0"/>
    <x v="0"/>
    <x v="0"/>
    <x v="20"/>
    <x v="0"/>
    <x v="0"/>
    <x v="6"/>
    <x v="8"/>
    <x v="6"/>
    <x v="6"/>
    <x v="6"/>
    <x v="7"/>
    <x v="0"/>
    <x v="11"/>
    <x v="0"/>
    <x v="0"/>
    <x v="1"/>
    <x v="1"/>
    <x v="0"/>
    <x v="20"/>
    <x v="0"/>
    <x v="21"/>
    <x v="0"/>
    <x v="0"/>
    <x v="0"/>
    <x v="0"/>
    <x v="1"/>
    <x v="0"/>
    <x v="20"/>
    <x v="0"/>
    <x v="20"/>
    <x v="6"/>
    <x v="6"/>
    <x v="6"/>
    <x v="7"/>
    <x v="6"/>
    <x v="8"/>
    <x v="0"/>
    <x v="12"/>
    <x v="0"/>
    <x v="0"/>
    <x v="0"/>
    <x v="0"/>
    <x v="0"/>
    <x v="0"/>
    <x v="6"/>
    <x v="2"/>
    <x v="0"/>
    <x v="0"/>
  </r>
  <r>
    <x v="10"/>
    <x v="6"/>
    <x v="0"/>
    <x v="10"/>
    <x v="5"/>
    <x v="14"/>
    <x v="33"/>
    <x v="34"/>
    <x v="0"/>
    <x v="21"/>
    <x v="21"/>
    <x v="0"/>
    <x v="0"/>
    <x v="17"/>
    <x v="0"/>
    <x v="0"/>
    <x v="0"/>
    <x v="3"/>
    <x v="0"/>
    <x v="21"/>
    <x v="0"/>
    <x v="6"/>
    <x v="0"/>
    <x v="0"/>
    <x v="0"/>
    <x v="0"/>
    <x v="0"/>
    <x v="21"/>
    <x v="0"/>
    <x v="0"/>
    <x v="2"/>
    <x v="4"/>
    <x v="2"/>
    <x v="2"/>
    <x v="2"/>
    <x v="3"/>
    <x v="0"/>
    <x v="7"/>
    <x v="0"/>
    <x v="0"/>
    <x v="0"/>
    <x v="0"/>
    <x v="0"/>
    <x v="21"/>
    <x v="0"/>
    <x v="22"/>
    <x v="0"/>
    <x v="15"/>
    <x v="0"/>
    <x v="0"/>
    <x v="3"/>
    <x v="0"/>
    <x v="21"/>
    <x v="0"/>
    <x v="21"/>
    <x v="2"/>
    <x v="2"/>
    <x v="2"/>
    <x v="5"/>
    <x v="2"/>
    <x v="4"/>
    <x v="0"/>
    <x v="13"/>
    <x v="0"/>
    <x v="0"/>
    <x v="0"/>
    <x v="0"/>
    <x v="0"/>
    <x v="0"/>
    <x v="7"/>
    <x v="2"/>
    <x v="0"/>
    <x v="0"/>
  </r>
  <r>
    <x v="11"/>
    <x v="7"/>
    <x v="0"/>
    <x v="11"/>
    <x v="5"/>
    <x v="15"/>
    <x v="34"/>
    <x v="35"/>
    <x v="0"/>
    <x v="22"/>
    <x v="22"/>
    <x v="0"/>
    <x v="0"/>
    <x v="18"/>
    <x v="0"/>
    <x v="0"/>
    <x v="0"/>
    <x v="0"/>
    <x v="0"/>
    <x v="22"/>
    <x v="0"/>
    <x v="0"/>
    <x v="0"/>
    <x v="0"/>
    <x v="0"/>
    <x v="0"/>
    <x v="0"/>
    <x v="22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14"/>
    <x v="0"/>
    <x v="0"/>
    <x v="22"/>
    <x v="0"/>
    <x v="22"/>
    <x v="7"/>
    <x v="7"/>
    <x v="7"/>
    <x v="8"/>
    <x v="7"/>
    <x v="9"/>
    <x v="5"/>
    <x v="0"/>
    <x v="0"/>
    <x v="0"/>
    <x v="0"/>
    <x v="0"/>
    <x v="0"/>
    <x v="0"/>
    <x v="0"/>
    <x v="0"/>
    <x v="0"/>
    <x v="0"/>
  </r>
  <r>
    <x v="11"/>
    <x v="7"/>
    <x v="0"/>
    <x v="11"/>
    <x v="5"/>
    <x v="16"/>
    <x v="35"/>
    <x v="36"/>
    <x v="0"/>
    <x v="23"/>
    <x v="23"/>
    <x v="0"/>
    <x v="0"/>
    <x v="19"/>
    <x v="0"/>
    <x v="0"/>
    <x v="0"/>
    <x v="0"/>
    <x v="0"/>
    <x v="23"/>
    <x v="0"/>
    <x v="0"/>
    <x v="0"/>
    <x v="0"/>
    <x v="0"/>
    <x v="0"/>
    <x v="0"/>
    <x v="23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15"/>
    <x v="0"/>
    <x v="0"/>
    <x v="23"/>
    <x v="0"/>
    <x v="23"/>
    <x v="7"/>
    <x v="7"/>
    <x v="7"/>
    <x v="8"/>
    <x v="7"/>
    <x v="9"/>
    <x v="5"/>
    <x v="0"/>
    <x v="0"/>
    <x v="0"/>
    <x v="0"/>
    <x v="0"/>
    <x v="0"/>
    <x v="0"/>
    <x v="0"/>
    <x v="0"/>
    <x v="0"/>
    <x v="0"/>
  </r>
  <r>
    <x v="11"/>
    <x v="7"/>
    <x v="0"/>
    <x v="11"/>
    <x v="5"/>
    <x v="16"/>
    <x v="36"/>
    <x v="37"/>
    <x v="0"/>
    <x v="24"/>
    <x v="24"/>
    <x v="0"/>
    <x v="0"/>
    <x v="20"/>
    <x v="0"/>
    <x v="0"/>
    <x v="0"/>
    <x v="0"/>
    <x v="0"/>
    <x v="24"/>
    <x v="0"/>
    <x v="0"/>
    <x v="0"/>
    <x v="0"/>
    <x v="0"/>
    <x v="0"/>
    <x v="0"/>
    <x v="24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16"/>
    <x v="0"/>
    <x v="0"/>
    <x v="24"/>
    <x v="0"/>
    <x v="24"/>
    <x v="7"/>
    <x v="7"/>
    <x v="7"/>
    <x v="8"/>
    <x v="7"/>
    <x v="9"/>
    <x v="5"/>
    <x v="0"/>
    <x v="0"/>
    <x v="0"/>
    <x v="0"/>
    <x v="0"/>
    <x v="0"/>
    <x v="0"/>
    <x v="0"/>
    <x v="0"/>
    <x v="0"/>
    <x v="0"/>
  </r>
  <r>
    <x v="6"/>
    <x v="6"/>
    <x v="0"/>
    <x v="6"/>
    <x v="8"/>
    <x v="10"/>
    <x v="37"/>
    <x v="38"/>
    <x v="0"/>
    <x v="25"/>
    <x v="25"/>
    <x v="0"/>
    <x v="0"/>
    <x v="8"/>
    <x v="0"/>
    <x v="0"/>
    <x v="0"/>
    <x v="3"/>
    <x v="0"/>
    <x v="8"/>
    <x v="0"/>
    <x v="3"/>
    <x v="0"/>
    <x v="0"/>
    <x v="0"/>
    <x v="0"/>
    <x v="0"/>
    <x v="25"/>
    <x v="0"/>
    <x v="0"/>
    <x v="2"/>
    <x v="4"/>
    <x v="2"/>
    <x v="2"/>
    <x v="2"/>
    <x v="3"/>
    <x v="0"/>
    <x v="7"/>
    <x v="0"/>
    <x v="0"/>
    <x v="0"/>
    <x v="0"/>
    <x v="0"/>
    <x v="23"/>
    <x v="0"/>
    <x v="24"/>
    <x v="14"/>
    <x v="17"/>
    <x v="0"/>
    <x v="17"/>
    <x v="3"/>
    <x v="0"/>
    <x v="25"/>
    <x v="0"/>
    <x v="25"/>
    <x v="2"/>
    <x v="2"/>
    <x v="2"/>
    <x v="5"/>
    <x v="2"/>
    <x v="4"/>
    <x v="0"/>
    <x v="13"/>
    <x v="0"/>
    <x v="0"/>
    <x v="0"/>
    <x v="0"/>
    <x v="0"/>
    <x v="0"/>
    <x v="3"/>
    <x v="2"/>
    <x v="0"/>
    <x v="0"/>
  </r>
  <r>
    <x v="12"/>
    <x v="6"/>
    <x v="0"/>
    <x v="12"/>
    <x v="5"/>
    <x v="17"/>
    <x v="38"/>
    <x v="39"/>
    <x v="0"/>
    <x v="26"/>
    <x v="26"/>
    <x v="0"/>
    <x v="0"/>
    <x v="21"/>
    <x v="0"/>
    <x v="0"/>
    <x v="0"/>
    <x v="3"/>
    <x v="0"/>
    <x v="25"/>
    <x v="0"/>
    <x v="0"/>
    <x v="0"/>
    <x v="0"/>
    <x v="0"/>
    <x v="0"/>
    <x v="0"/>
    <x v="26"/>
    <x v="0"/>
    <x v="0"/>
    <x v="0"/>
    <x v="0"/>
    <x v="0"/>
    <x v="0"/>
    <x v="0"/>
    <x v="0"/>
    <x v="0"/>
    <x v="0"/>
    <x v="0"/>
    <x v="0"/>
    <x v="0"/>
    <x v="0"/>
    <x v="0"/>
    <x v="24"/>
    <x v="0"/>
    <x v="25"/>
    <x v="0"/>
    <x v="0"/>
    <x v="0"/>
    <x v="0"/>
    <x v="3"/>
    <x v="0"/>
    <x v="26"/>
    <x v="0"/>
    <x v="26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8"/>
    <x v="6"/>
    <x v="0"/>
    <x v="8"/>
    <x v="9"/>
    <x v="18"/>
    <x v="39"/>
    <x v="40"/>
    <x v="0"/>
    <x v="27"/>
    <x v="27"/>
    <x v="0"/>
    <x v="0"/>
    <x v="12"/>
    <x v="0"/>
    <x v="5"/>
    <x v="0"/>
    <x v="3"/>
    <x v="0"/>
    <x v="26"/>
    <x v="0"/>
    <x v="7"/>
    <x v="0"/>
    <x v="0"/>
    <x v="0"/>
    <x v="0"/>
    <x v="0"/>
    <x v="27"/>
    <x v="0"/>
    <x v="0"/>
    <x v="2"/>
    <x v="4"/>
    <x v="2"/>
    <x v="2"/>
    <x v="2"/>
    <x v="3"/>
    <x v="0"/>
    <x v="7"/>
    <x v="0"/>
    <x v="0"/>
    <x v="0"/>
    <x v="0"/>
    <x v="0"/>
    <x v="25"/>
    <x v="0"/>
    <x v="26"/>
    <x v="15"/>
    <x v="18"/>
    <x v="0"/>
    <x v="18"/>
    <x v="3"/>
    <x v="0"/>
    <x v="27"/>
    <x v="0"/>
    <x v="27"/>
    <x v="2"/>
    <x v="2"/>
    <x v="2"/>
    <x v="5"/>
    <x v="2"/>
    <x v="4"/>
    <x v="0"/>
    <x v="13"/>
    <x v="0"/>
    <x v="0"/>
    <x v="0"/>
    <x v="0"/>
    <x v="0"/>
    <x v="0"/>
    <x v="8"/>
    <x v="2"/>
    <x v="0"/>
    <x v="0"/>
  </r>
  <r>
    <x v="13"/>
    <x v="6"/>
    <x v="0"/>
    <x v="13"/>
    <x v="10"/>
    <x v="16"/>
    <x v="40"/>
    <x v="41"/>
    <x v="0"/>
    <x v="28"/>
    <x v="28"/>
    <x v="0"/>
    <x v="0"/>
    <x v="22"/>
    <x v="0"/>
    <x v="0"/>
    <x v="0"/>
    <x v="3"/>
    <x v="0"/>
    <x v="27"/>
    <x v="0"/>
    <x v="0"/>
    <x v="0"/>
    <x v="1"/>
    <x v="0"/>
    <x v="0"/>
    <x v="0"/>
    <x v="28"/>
    <x v="0"/>
    <x v="0"/>
    <x v="2"/>
    <x v="4"/>
    <x v="2"/>
    <x v="2"/>
    <x v="2"/>
    <x v="3"/>
    <x v="0"/>
    <x v="7"/>
    <x v="0"/>
    <x v="0"/>
    <x v="0"/>
    <x v="0"/>
    <x v="0"/>
    <x v="26"/>
    <x v="0"/>
    <x v="27"/>
    <x v="16"/>
    <x v="19"/>
    <x v="0"/>
    <x v="19"/>
    <x v="3"/>
    <x v="0"/>
    <x v="28"/>
    <x v="0"/>
    <x v="28"/>
    <x v="2"/>
    <x v="2"/>
    <x v="2"/>
    <x v="5"/>
    <x v="2"/>
    <x v="4"/>
    <x v="0"/>
    <x v="13"/>
    <x v="0"/>
    <x v="0"/>
    <x v="0"/>
    <x v="0"/>
    <x v="0"/>
    <x v="0"/>
    <x v="4"/>
    <x v="2"/>
    <x v="0"/>
    <x v="0"/>
  </r>
  <r>
    <x v="14"/>
    <x v="6"/>
    <x v="0"/>
    <x v="14"/>
    <x v="11"/>
    <x v="19"/>
    <x v="41"/>
    <x v="42"/>
    <x v="0"/>
    <x v="29"/>
    <x v="29"/>
    <x v="0"/>
    <x v="0"/>
    <x v="23"/>
    <x v="0"/>
    <x v="0"/>
    <x v="0"/>
    <x v="3"/>
    <x v="0"/>
    <x v="28"/>
    <x v="0"/>
    <x v="8"/>
    <x v="0"/>
    <x v="0"/>
    <x v="2"/>
    <x v="0"/>
    <x v="0"/>
    <x v="29"/>
    <x v="0"/>
    <x v="0"/>
    <x v="5"/>
    <x v="7"/>
    <x v="5"/>
    <x v="5"/>
    <x v="5"/>
    <x v="6"/>
    <x v="0"/>
    <x v="10"/>
    <x v="2"/>
    <x v="0"/>
    <x v="0"/>
    <x v="1"/>
    <x v="0"/>
    <x v="27"/>
    <x v="0"/>
    <x v="28"/>
    <x v="17"/>
    <x v="20"/>
    <x v="0"/>
    <x v="20"/>
    <x v="3"/>
    <x v="0"/>
    <x v="29"/>
    <x v="0"/>
    <x v="29"/>
    <x v="5"/>
    <x v="5"/>
    <x v="5"/>
    <x v="6"/>
    <x v="5"/>
    <x v="7"/>
    <x v="0"/>
    <x v="11"/>
    <x v="0"/>
    <x v="0"/>
    <x v="0"/>
    <x v="0"/>
    <x v="0"/>
    <x v="0"/>
    <x v="9"/>
    <x v="2"/>
    <x v="0"/>
    <x v="0"/>
  </r>
  <r>
    <x v="6"/>
    <x v="6"/>
    <x v="0"/>
    <x v="6"/>
    <x v="5"/>
    <x v="10"/>
    <x v="42"/>
    <x v="43"/>
    <x v="0"/>
    <x v="30"/>
    <x v="30"/>
    <x v="0"/>
    <x v="0"/>
    <x v="8"/>
    <x v="0"/>
    <x v="0"/>
    <x v="0"/>
    <x v="3"/>
    <x v="0"/>
    <x v="8"/>
    <x v="0"/>
    <x v="3"/>
    <x v="0"/>
    <x v="0"/>
    <x v="0"/>
    <x v="0"/>
    <x v="0"/>
    <x v="25"/>
    <x v="0"/>
    <x v="0"/>
    <x v="5"/>
    <x v="7"/>
    <x v="5"/>
    <x v="5"/>
    <x v="5"/>
    <x v="6"/>
    <x v="0"/>
    <x v="10"/>
    <x v="0"/>
    <x v="0"/>
    <x v="0"/>
    <x v="0"/>
    <x v="0"/>
    <x v="28"/>
    <x v="0"/>
    <x v="29"/>
    <x v="18"/>
    <x v="21"/>
    <x v="0"/>
    <x v="21"/>
    <x v="3"/>
    <x v="0"/>
    <x v="30"/>
    <x v="0"/>
    <x v="30"/>
    <x v="5"/>
    <x v="5"/>
    <x v="5"/>
    <x v="6"/>
    <x v="5"/>
    <x v="7"/>
    <x v="0"/>
    <x v="11"/>
    <x v="0"/>
    <x v="0"/>
    <x v="0"/>
    <x v="0"/>
    <x v="0"/>
    <x v="0"/>
    <x v="3"/>
    <x v="2"/>
    <x v="0"/>
    <x v="0"/>
  </r>
  <r>
    <x v="10"/>
    <x v="6"/>
    <x v="0"/>
    <x v="10"/>
    <x v="10"/>
    <x v="16"/>
    <x v="43"/>
    <x v="44"/>
    <x v="0"/>
    <x v="31"/>
    <x v="31"/>
    <x v="0"/>
    <x v="0"/>
    <x v="24"/>
    <x v="0"/>
    <x v="6"/>
    <x v="0"/>
    <x v="5"/>
    <x v="0"/>
    <x v="29"/>
    <x v="0"/>
    <x v="0"/>
    <x v="0"/>
    <x v="0"/>
    <x v="0"/>
    <x v="0"/>
    <x v="0"/>
    <x v="30"/>
    <x v="0"/>
    <x v="0"/>
    <x v="0"/>
    <x v="0"/>
    <x v="0"/>
    <x v="0"/>
    <x v="0"/>
    <x v="0"/>
    <x v="0"/>
    <x v="0"/>
    <x v="0"/>
    <x v="0"/>
    <x v="0"/>
    <x v="0"/>
    <x v="0"/>
    <x v="29"/>
    <x v="0"/>
    <x v="30"/>
    <x v="0"/>
    <x v="0"/>
    <x v="0"/>
    <x v="0"/>
    <x v="5"/>
    <x v="0"/>
    <x v="31"/>
    <x v="0"/>
    <x v="31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8"/>
    <x v="8"/>
    <x v="0"/>
    <x v="8"/>
    <x v="9"/>
    <x v="20"/>
    <x v="44"/>
    <x v="45"/>
    <x v="0"/>
    <x v="32"/>
    <x v="32"/>
    <x v="0"/>
    <x v="0"/>
    <x v="25"/>
    <x v="0"/>
    <x v="0"/>
    <x v="0"/>
    <x v="3"/>
    <x v="2"/>
    <x v="30"/>
    <x v="1"/>
    <x v="9"/>
    <x v="0"/>
    <x v="0"/>
    <x v="0"/>
    <x v="0"/>
    <x v="0"/>
    <x v="31"/>
    <x v="0"/>
    <x v="0"/>
    <x v="8"/>
    <x v="7"/>
    <x v="8"/>
    <x v="8"/>
    <x v="8"/>
    <x v="6"/>
    <x v="0"/>
    <x v="12"/>
    <x v="0"/>
    <x v="0"/>
    <x v="0"/>
    <x v="0"/>
    <x v="0"/>
    <x v="30"/>
    <x v="0"/>
    <x v="31"/>
    <x v="19"/>
    <x v="22"/>
    <x v="0"/>
    <x v="22"/>
    <x v="3"/>
    <x v="0"/>
    <x v="32"/>
    <x v="0"/>
    <x v="32"/>
    <x v="8"/>
    <x v="8"/>
    <x v="8"/>
    <x v="9"/>
    <x v="8"/>
    <x v="7"/>
    <x v="0"/>
    <x v="14"/>
    <x v="0"/>
    <x v="0"/>
    <x v="0"/>
    <x v="0"/>
    <x v="0"/>
    <x v="0"/>
    <x v="10"/>
    <x v="2"/>
    <x v="0"/>
    <x v="0"/>
  </r>
  <r>
    <x v="9"/>
    <x v="8"/>
    <x v="0"/>
    <x v="9"/>
    <x v="2"/>
    <x v="21"/>
    <x v="45"/>
    <x v="46"/>
    <x v="0"/>
    <x v="33"/>
    <x v="33"/>
    <x v="0"/>
    <x v="0"/>
    <x v="26"/>
    <x v="0"/>
    <x v="0"/>
    <x v="0"/>
    <x v="3"/>
    <x v="0"/>
    <x v="30"/>
    <x v="0"/>
    <x v="10"/>
    <x v="0"/>
    <x v="0"/>
    <x v="0"/>
    <x v="0"/>
    <x v="0"/>
    <x v="32"/>
    <x v="0"/>
    <x v="0"/>
    <x v="8"/>
    <x v="5"/>
    <x v="8"/>
    <x v="8"/>
    <x v="8"/>
    <x v="4"/>
    <x v="0"/>
    <x v="13"/>
    <x v="0"/>
    <x v="0"/>
    <x v="1"/>
    <x v="0"/>
    <x v="0"/>
    <x v="31"/>
    <x v="0"/>
    <x v="32"/>
    <x v="20"/>
    <x v="23"/>
    <x v="0"/>
    <x v="23"/>
    <x v="3"/>
    <x v="0"/>
    <x v="33"/>
    <x v="0"/>
    <x v="33"/>
    <x v="8"/>
    <x v="8"/>
    <x v="8"/>
    <x v="9"/>
    <x v="8"/>
    <x v="5"/>
    <x v="0"/>
    <x v="15"/>
    <x v="0"/>
    <x v="0"/>
    <x v="0"/>
    <x v="0"/>
    <x v="0"/>
    <x v="0"/>
    <x v="11"/>
    <x v="2"/>
    <x v="0"/>
    <x v="0"/>
  </r>
  <r>
    <x v="9"/>
    <x v="8"/>
    <x v="0"/>
    <x v="9"/>
    <x v="12"/>
    <x v="22"/>
    <x v="46"/>
    <x v="47"/>
    <x v="0"/>
    <x v="34"/>
    <x v="34"/>
    <x v="0"/>
    <x v="0"/>
    <x v="27"/>
    <x v="0"/>
    <x v="0"/>
    <x v="0"/>
    <x v="3"/>
    <x v="0"/>
    <x v="31"/>
    <x v="0"/>
    <x v="0"/>
    <x v="0"/>
    <x v="0"/>
    <x v="0"/>
    <x v="0"/>
    <x v="0"/>
    <x v="33"/>
    <x v="0"/>
    <x v="0"/>
    <x v="2"/>
    <x v="4"/>
    <x v="2"/>
    <x v="2"/>
    <x v="2"/>
    <x v="3"/>
    <x v="0"/>
    <x v="7"/>
    <x v="0"/>
    <x v="0"/>
    <x v="1"/>
    <x v="0"/>
    <x v="0"/>
    <x v="10"/>
    <x v="0"/>
    <x v="33"/>
    <x v="21"/>
    <x v="24"/>
    <x v="0"/>
    <x v="6"/>
    <x v="3"/>
    <x v="0"/>
    <x v="34"/>
    <x v="0"/>
    <x v="34"/>
    <x v="2"/>
    <x v="2"/>
    <x v="2"/>
    <x v="5"/>
    <x v="2"/>
    <x v="4"/>
    <x v="0"/>
    <x v="13"/>
    <x v="0"/>
    <x v="0"/>
    <x v="0"/>
    <x v="0"/>
    <x v="0"/>
    <x v="0"/>
    <x v="0"/>
    <x v="2"/>
    <x v="0"/>
    <x v="0"/>
  </r>
  <r>
    <x v="15"/>
    <x v="8"/>
    <x v="0"/>
    <x v="15"/>
    <x v="13"/>
    <x v="23"/>
    <x v="47"/>
    <x v="48"/>
    <x v="0"/>
    <x v="35"/>
    <x v="35"/>
    <x v="0"/>
    <x v="0"/>
    <x v="28"/>
    <x v="0"/>
    <x v="7"/>
    <x v="0"/>
    <x v="3"/>
    <x v="0"/>
    <x v="32"/>
    <x v="0"/>
    <x v="11"/>
    <x v="0"/>
    <x v="0"/>
    <x v="0"/>
    <x v="0"/>
    <x v="0"/>
    <x v="34"/>
    <x v="0"/>
    <x v="0"/>
    <x v="2"/>
    <x v="10"/>
    <x v="2"/>
    <x v="2"/>
    <x v="2"/>
    <x v="9"/>
    <x v="0"/>
    <x v="14"/>
    <x v="0"/>
    <x v="0"/>
    <x v="0"/>
    <x v="0"/>
    <x v="0"/>
    <x v="32"/>
    <x v="0"/>
    <x v="34"/>
    <x v="22"/>
    <x v="25"/>
    <x v="0"/>
    <x v="24"/>
    <x v="3"/>
    <x v="0"/>
    <x v="35"/>
    <x v="0"/>
    <x v="35"/>
    <x v="2"/>
    <x v="2"/>
    <x v="2"/>
    <x v="5"/>
    <x v="2"/>
    <x v="10"/>
    <x v="0"/>
    <x v="16"/>
    <x v="0"/>
    <x v="0"/>
    <x v="0"/>
    <x v="0"/>
    <x v="0"/>
    <x v="0"/>
    <x v="12"/>
    <x v="2"/>
    <x v="0"/>
    <x v="0"/>
  </r>
  <r>
    <x v="2"/>
    <x v="8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6"/>
    <x v="9"/>
    <x v="0"/>
    <x v="16"/>
    <x v="2"/>
    <x v="24"/>
    <x v="48"/>
    <x v="49"/>
    <x v="0"/>
    <x v="36"/>
    <x v="5"/>
    <x v="0"/>
    <x v="0"/>
    <x v="29"/>
    <x v="0"/>
    <x v="0"/>
    <x v="1"/>
    <x v="3"/>
    <x v="0"/>
    <x v="33"/>
    <x v="0"/>
    <x v="12"/>
    <x v="0"/>
    <x v="0"/>
    <x v="0"/>
    <x v="0"/>
    <x v="0"/>
    <x v="35"/>
    <x v="0"/>
    <x v="0"/>
    <x v="2"/>
    <x v="4"/>
    <x v="2"/>
    <x v="2"/>
    <x v="2"/>
    <x v="3"/>
    <x v="0"/>
    <x v="7"/>
    <x v="0"/>
    <x v="0"/>
    <x v="0"/>
    <x v="0"/>
    <x v="0"/>
    <x v="33"/>
    <x v="0"/>
    <x v="35"/>
    <x v="0"/>
    <x v="0"/>
    <x v="0"/>
    <x v="0"/>
    <x v="3"/>
    <x v="0"/>
    <x v="5"/>
    <x v="0"/>
    <x v="5"/>
    <x v="2"/>
    <x v="2"/>
    <x v="2"/>
    <x v="2"/>
    <x v="2"/>
    <x v="4"/>
    <x v="0"/>
    <x v="7"/>
    <x v="0"/>
    <x v="0"/>
    <x v="0"/>
    <x v="0"/>
    <x v="0"/>
    <x v="0"/>
    <x v="13"/>
    <x v="2"/>
    <x v="0"/>
    <x v="0"/>
  </r>
  <r>
    <x v="17"/>
    <x v="8"/>
    <x v="0"/>
    <x v="17"/>
    <x v="2"/>
    <x v="25"/>
    <x v="49"/>
    <x v="50"/>
    <x v="0"/>
    <x v="37"/>
    <x v="36"/>
    <x v="0"/>
    <x v="0"/>
    <x v="30"/>
    <x v="0"/>
    <x v="1"/>
    <x v="0"/>
    <x v="6"/>
    <x v="0"/>
    <x v="34"/>
    <x v="0"/>
    <x v="0"/>
    <x v="0"/>
    <x v="0"/>
    <x v="0"/>
    <x v="0"/>
    <x v="0"/>
    <x v="36"/>
    <x v="0"/>
    <x v="0"/>
    <x v="9"/>
    <x v="11"/>
    <x v="9"/>
    <x v="9"/>
    <x v="9"/>
    <x v="10"/>
    <x v="0"/>
    <x v="15"/>
    <x v="0"/>
    <x v="0"/>
    <x v="0"/>
    <x v="2"/>
    <x v="0"/>
    <x v="34"/>
    <x v="0"/>
    <x v="36"/>
    <x v="23"/>
    <x v="26"/>
    <x v="0"/>
    <x v="25"/>
    <x v="6"/>
    <x v="0"/>
    <x v="36"/>
    <x v="0"/>
    <x v="36"/>
    <x v="9"/>
    <x v="9"/>
    <x v="9"/>
    <x v="10"/>
    <x v="9"/>
    <x v="11"/>
    <x v="0"/>
    <x v="17"/>
    <x v="0"/>
    <x v="0"/>
    <x v="0"/>
    <x v="0"/>
    <x v="0"/>
    <x v="0"/>
    <x v="0"/>
    <x v="2"/>
    <x v="0"/>
    <x v="0"/>
  </r>
  <r>
    <x v="5"/>
    <x v="8"/>
    <x v="0"/>
    <x v="5"/>
    <x v="4"/>
    <x v="0"/>
    <x v="50"/>
    <x v="51"/>
    <x v="0"/>
    <x v="38"/>
    <x v="37"/>
    <x v="0"/>
    <x v="0"/>
    <x v="3"/>
    <x v="0"/>
    <x v="0"/>
    <x v="0"/>
    <x v="3"/>
    <x v="0"/>
    <x v="11"/>
    <x v="0"/>
    <x v="0"/>
    <x v="0"/>
    <x v="0"/>
    <x v="0"/>
    <x v="0"/>
    <x v="0"/>
    <x v="11"/>
    <x v="0"/>
    <x v="0"/>
    <x v="2"/>
    <x v="4"/>
    <x v="2"/>
    <x v="2"/>
    <x v="2"/>
    <x v="3"/>
    <x v="0"/>
    <x v="7"/>
    <x v="0"/>
    <x v="0"/>
    <x v="0"/>
    <x v="1"/>
    <x v="0"/>
    <x v="35"/>
    <x v="0"/>
    <x v="37"/>
    <x v="24"/>
    <x v="27"/>
    <x v="0"/>
    <x v="0"/>
    <x v="3"/>
    <x v="0"/>
    <x v="37"/>
    <x v="0"/>
    <x v="37"/>
    <x v="2"/>
    <x v="2"/>
    <x v="2"/>
    <x v="5"/>
    <x v="2"/>
    <x v="4"/>
    <x v="0"/>
    <x v="13"/>
    <x v="0"/>
    <x v="0"/>
    <x v="0"/>
    <x v="0"/>
    <x v="0"/>
    <x v="0"/>
    <x v="0"/>
    <x v="2"/>
    <x v="0"/>
    <x v="0"/>
  </r>
  <r>
    <x v="6"/>
    <x v="8"/>
    <x v="0"/>
    <x v="6"/>
    <x v="2"/>
    <x v="7"/>
    <x v="51"/>
    <x v="52"/>
    <x v="0"/>
    <x v="39"/>
    <x v="38"/>
    <x v="0"/>
    <x v="0"/>
    <x v="10"/>
    <x v="0"/>
    <x v="0"/>
    <x v="0"/>
    <x v="3"/>
    <x v="0"/>
    <x v="35"/>
    <x v="0"/>
    <x v="2"/>
    <x v="0"/>
    <x v="0"/>
    <x v="0"/>
    <x v="0"/>
    <x v="0"/>
    <x v="37"/>
    <x v="0"/>
    <x v="0"/>
    <x v="9"/>
    <x v="11"/>
    <x v="9"/>
    <x v="9"/>
    <x v="9"/>
    <x v="10"/>
    <x v="0"/>
    <x v="15"/>
    <x v="0"/>
    <x v="0"/>
    <x v="0"/>
    <x v="0"/>
    <x v="0"/>
    <x v="36"/>
    <x v="0"/>
    <x v="38"/>
    <x v="25"/>
    <x v="28"/>
    <x v="0"/>
    <x v="26"/>
    <x v="3"/>
    <x v="0"/>
    <x v="38"/>
    <x v="0"/>
    <x v="38"/>
    <x v="9"/>
    <x v="9"/>
    <x v="9"/>
    <x v="10"/>
    <x v="9"/>
    <x v="11"/>
    <x v="0"/>
    <x v="17"/>
    <x v="0"/>
    <x v="0"/>
    <x v="0"/>
    <x v="0"/>
    <x v="0"/>
    <x v="0"/>
    <x v="14"/>
    <x v="2"/>
    <x v="0"/>
    <x v="0"/>
  </r>
  <r>
    <x v="16"/>
    <x v="10"/>
    <x v="2"/>
    <x v="16"/>
    <x v="2"/>
    <x v="24"/>
    <x v="48"/>
    <x v="49"/>
    <x v="0"/>
    <x v="40"/>
    <x v="39"/>
    <x v="0"/>
    <x v="0"/>
    <x v="10"/>
    <x v="0"/>
    <x v="0"/>
    <x v="2"/>
    <x v="0"/>
    <x v="0"/>
    <x v="36"/>
    <x v="0"/>
    <x v="2"/>
    <x v="0"/>
    <x v="0"/>
    <x v="0"/>
    <x v="0"/>
    <x v="0"/>
    <x v="38"/>
    <x v="0"/>
    <x v="0"/>
    <x v="0"/>
    <x v="0"/>
    <x v="0"/>
    <x v="0"/>
    <x v="0"/>
    <x v="11"/>
    <x v="0"/>
    <x v="16"/>
    <x v="0"/>
    <x v="0"/>
    <x v="0"/>
    <x v="0"/>
    <x v="0"/>
    <x v="37"/>
    <x v="0"/>
    <x v="39"/>
    <x v="13"/>
    <x v="0"/>
    <x v="0"/>
    <x v="27"/>
    <x v="0"/>
    <x v="0"/>
    <x v="39"/>
    <x v="0"/>
    <x v="39"/>
    <x v="0"/>
    <x v="0"/>
    <x v="0"/>
    <x v="0"/>
    <x v="0"/>
    <x v="12"/>
    <x v="0"/>
    <x v="18"/>
    <x v="0"/>
    <x v="0"/>
    <x v="0"/>
    <x v="0"/>
    <x v="0"/>
    <x v="0"/>
    <x v="14"/>
    <x v="0"/>
    <x v="0"/>
    <x v="0"/>
  </r>
  <r>
    <x v="18"/>
    <x v="10"/>
    <x v="2"/>
    <x v="18"/>
    <x v="13"/>
    <x v="26"/>
    <x v="52"/>
    <x v="53"/>
    <x v="0"/>
    <x v="41"/>
    <x v="40"/>
    <x v="0"/>
    <x v="0"/>
    <x v="31"/>
    <x v="0"/>
    <x v="1"/>
    <x v="0"/>
    <x v="0"/>
    <x v="0"/>
    <x v="37"/>
    <x v="0"/>
    <x v="0"/>
    <x v="0"/>
    <x v="0"/>
    <x v="0"/>
    <x v="0"/>
    <x v="0"/>
    <x v="39"/>
    <x v="0"/>
    <x v="0"/>
    <x v="7"/>
    <x v="12"/>
    <x v="7"/>
    <x v="7"/>
    <x v="7"/>
    <x v="12"/>
    <x v="5"/>
    <x v="17"/>
    <x v="0"/>
    <x v="0"/>
    <x v="0"/>
    <x v="0"/>
    <x v="0"/>
    <x v="37"/>
    <x v="0"/>
    <x v="23"/>
    <x v="13"/>
    <x v="16"/>
    <x v="0"/>
    <x v="27"/>
    <x v="0"/>
    <x v="0"/>
    <x v="40"/>
    <x v="0"/>
    <x v="40"/>
    <x v="7"/>
    <x v="7"/>
    <x v="7"/>
    <x v="8"/>
    <x v="7"/>
    <x v="13"/>
    <x v="5"/>
    <x v="19"/>
    <x v="0"/>
    <x v="0"/>
    <x v="0"/>
    <x v="0"/>
    <x v="0"/>
    <x v="0"/>
    <x v="0"/>
    <x v="0"/>
    <x v="0"/>
    <x v="0"/>
  </r>
  <r>
    <x v="18"/>
    <x v="10"/>
    <x v="2"/>
    <x v="18"/>
    <x v="13"/>
    <x v="27"/>
    <x v="53"/>
    <x v="54"/>
    <x v="0"/>
    <x v="42"/>
    <x v="41"/>
    <x v="0"/>
    <x v="0"/>
    <x v="32"/>
    <x v="0"/>
    <x v="1"/>
    <x v="0"/>
    <x v="0"/>
    <x v="0"/>
    <x v="38"/>
    <x v="0"/>
    <x v="0"/>
    <x v="0"/>
    <x v="0"/>
    <x v="0"/>
    <x v="0"/>
    <x v="0"/>
    <x v="40"/>
    <x v="0"/>
    <x v="0"/>
    <x v="7"/>
    <x v="13"/>
    <x v="7"/>
    <x v="7"/>
    <x v="7"/>
    <x v="13"/>
    <x v="5"/>
    <x v="18"/>
    <x v="0"/>
    <x v="0"/>
    <x v="0"/>
    <x v="0"/>
    <x v="0"/>
    <x v="37"/>
    <x v="0"/>
    <x v="23"/>
    <x v="13"/>
    <x v="16"/>
    <x v="0"/>
    <x v="27"/>
    <x v="0"/>
    <x v="0"/>
    <x v="41"/>
    <x v="0"/>
    <x v="41"/>
    <x v="7"/>
    <x v="7"/>
    <x v="7"/>
    <x v="8"/>
    <x v="7"/>
    <x v="14"/>
    <x v="5"/>
    <x v="20"/>
    <x v="0"/>
    <x v="0"/>
    <x v="0"/>
    <x v="0"/>
    <x v="0"/>
    <x v="0"/>
    <x v="0"/>
    <x v="0"/>
    <x v="0"/>
    <x v="0"/>
  </r>
  <r>
    <x v="18"/>
    <x v="10"/>
    <x v="2"/>
    <x v="18"/>
    <x v="14"/>
    <x v="7"/>
    <x v="54"/>
    <x v="55"/>
    <x v="0"/>
    <x v="43"/>
    <x v="42"/>
    <x v="0"/>
    <x v="0"/>
    <x v="30"/>
    <x v="0"/>
    <x v="0"/>
    <x v="0"/>
    <x v="0"/>
    <x v="0"/>
    <x v="39"/>
    <x v="0"/>
    <x v="0"/>
    <x v="0"/>
    <x v="0"/>
    <x v="0"/>
    <x v="0"/>
    <x v="0"/>
    <x v="41"/>
    <x v="0"/>
    <x v="0"/>
    <x v="7"/>
    <x v="14"/>
    <x v="7"/>
    <x v="7"/>
    <x v="7"/>
    <x v="11"/>
    <x v="5"/>
    <x v="16"/>
    <x v="0"/>
    <x v="0"/>
    <x v="0"/>
    <x v="0"/>
    <x v="0"/>
    <x v="37"/>
    <x v="0"/>
    <x v="23"/>
    <x v="13"/>
    <x v="16"/>
    <x v="0"/>
    <x v="27"/>
    <x v="0"/>
    <x v="0"/>
    <x v="42"/>
    <x v="0"/>
    <x v="42"/>
    <x v="7"/>
    <x v="7"/>
    <x v="7"/>
    <x v="8"/>
    <x v="7"/>
    <x v="12"/>
    <x v="5"/>
    <x v="18"/>
    <x v="0"/>
    <x v="0"/>
    <x v="0"/>
    <x v="0"/>
    <x v="0"/>
    <x v="0"/>
    <x v="0"/>
    <x v="0"/>
    <x v="0"/>
    <x v="0"/>
  </r>
  <r>
    <x v="17"/>
    <x v="10"/>
    <x v="2"/>
    <x v="17"/>
    <x v="2"/>
    <x v="25"/>
    <x v="49"/>
    <x v="50"/>
    <x v="0"/>
    <x v="44"/>
    <x v="43"/>
    <x v="0"/>
    <x v="0"/>
    <x v="33"/>
    <x v="0"/>
    <x v="1"/>
    <x v="0"/>
    <x v="0"/>
    <x v="0"/>
    <x v="40"/>
    <x v="0"/>
    <x v="0"/>
    <x v="0"/>
    <x v="0"/>
    <x v="0"/>
    <x v="0"/>
    <x v="0"/>
    <x v="42"/>
    <x v="0"/>
    <x v="0"/>
    <x v="0"/>
    <x v="0"/>
    <x v="0"/>
    <x v="0"/>
    <x v="0"/>
    <x v="0"/>
    <x v="0"/>
    <x v="0"/>
    <x v="0"/>
    <x v="0"/>
    <x v="0"/>
    <x v="0"/>
    <x v="0"/>
    <x v="37"/>
    <x v="0"/>
    <x v="40"/>
    <x v="13"/>
    <x v="0"/>
    <x v="0"/>
    <x v="27"/>
    <x v="0"/>
    <x v="0"/>
    <x v="43"/>
    <x v="0"/>
    <x v="43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3"/>
    <x v="1"/>
    <x v="2"/>
    <x v="2"/>
    <x v="2"/>
    <x v="44"/>
    <x v="45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9"/>
    <x v="3"/>
    <x v="0"/>
    <x v="9"/>
    <x v="12"/>
    <x v="13"/>
    <x v="55"/>
    <x v="56"/>
    <x v="0"/>
    <x v="45"/>
    <x v="44"/>
    <x v="0"/>
    <x v="0"/>
    <x v="13"/>
    <x v="0"/>
    <x v="0"/>
    <x v="0"/>
    <x v="3"/>
    <x v="3"/>
    <x v="41"/>
    <x v="0"/>
    <x v="0"/>
    <x v="0"/>
    <x v="0"/>
    <x v="0"/>
    <x v="0"/>
    <x v="0"/>
    <x v="43"/>
    <x v="0"/>
    <x v="0"/>
    <x v="2"/>
    <x v="4"/>
    <x v="2"/>
    <x v="2"/>
    <x v="2"/>
    <x v="3"/>
    <x v="4"/>
    <x v="9"/>
    <x v="0"/>
    <x v="0"/>
    <x v="1"/>
    <x v="2"/>
    <x v="0"/>
    <x v="38"/>
    <x v="0"/>
    <x v="41"/>
    <x v="26"/>
    <x v="29"/>
    <x v="0"/>
    <x v="28"/>
    <x v="3"/>
    <x v="0"/>
    <x v="44"/>
    <x v="0"/>
    <x v="44"/>
    <x v="2"/>
    <x v="2"/>
    <x v="2"/>
    <x v="2"/>
    <x v="2"/>
    <x v="4"/>
    <x v="4"/>
    <x v="9"/>
    <x v="0"/>
    <x v="0"/>
    <x v="0"/>
    <x v="0"/>
    <x v="0"/>
    <x v="0"/>
    <x v="0"/>
    <x v="2"/>
    <x v="0"/>
    <x v="0"/>
  </r>
  <r>
    <x v="1"/>
    <x v="4"/>
    <x v="0"/>
    <x v="1"/>
    <x v="1"/>
    <x v="1"/>
    <x v="56"/>
    <x v="57"/>
    <x v="1"/>
    <x v="4"/>
    <x v="4"/>
    <x v="0"/>
    <x v="0"/>
    <x v="4"/>
    <x v="0"/>
    <x v="1"/>
    <x v="0"/>
    <x v="0"/>
    <x v="0"/>
    <x v="4"/>
    <x v="0"/>
    <x v="0"/>
    <x v="0"/>
    <x v="0"/>
    <x v="0"/>
    <x v="0"/>
    <x v="0"/>
    <x v="4"/>
    <x v="0"/>
    <x v="0"/>
    <x v="2"/>
    <x v="0"/>
    <x v="2"/>
    <x v="2"/>
    <x v="2"/>
    <x v="0"/>
    <x v="0"/>
    <x v="3"/>
    <x v="0"/>
    <x v="0"/>
    <x v="0"/>
    <x v="0"/>
    <x v="0"/>
    <x v="4"/>
    <x v="0"/>
    <x v="4"/>
    <x v="0"/>
    <x v="0"/>
    <x v="0"/>
    <x v="0"/>
    <x v="0"/>
    <x v="0"/>
    <x v="4"/>
    <x v="0"/>
    <x v="4"/>
    <x v="2"/>
    <x v="2"/>
    <x v="2"/>
    <x v="2"/>
    <x v="2"/>
    <x v="0"/>
    <x v="0"/>
    <x v="3"/>
    <x v="0"/>
    <x v="0"/>
    <x v="0"/>
    <x v="0"/>
    <x v="0"/>
    <x v="0"/>
    <x v="0"/>
    <x v="0"/>
    <x v="0"/>
    <x v="0"/>
  </r>
  <r>
    <x v="2"/>
    <x v="4"/>
    <x v="1"/>
    <x v="2"/>
    <x v="2"/>
    <x v="2"/>
    <x v="44"/>
    <x v="45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1"/>
    <x v="0"/>
    <x v="19"/>
    <x v="3"/>
    <x v="0"/>
    <x v="57"/>
    <x v="58"/>
    <x v="0"/>
    <x v="46"/>
    <x v="45"/>
    <x v="0"/>
    <x v="0"/>
    <x v="34"/>
    <x v="0"/>
    <x v="0"/>
    <x v="0"/>
    <x v="1"/>
    <x v="0"/>
    <x v="42"/>
    <x v="0"/>
    <x v="0"/>
    <x v="0"/>
    <x v="0"/>
    <x v="0"/>
    <x v="0"/>
    <x v="0"/>
    <x v="44"/>
    <x v="0"/>
    <x v="0"/>
    <x v="10"/>
    <x v="15"/>
    <x v="10"/>
    <x v="10"/>
    <x v="10"/>
    <x v="14"/>
    <x v="0"/>
    <x v="19"/>
    <x v="0"/>
    <x v="0"/>
    <x v="0"/>
    <x v="0"/>
    <x v="0"/>
    <x v="39"/>
    <x v="0"/>
    <x v="42"/>
    <x v="0"/>
    <x v="0"/>
    <x v="0"/>
    <x v="0"/>
    <x v="1"/>
    <x v="0"/>
    <x v="45"/>
    <x v="0"/>
    <x v="45"/>
    <x v="10"/>
    <x v="10"/>
    <x v="5"/>
    <x v="11"/>
    <x v="10"/>
    <x v="15"/>
    <x v="0"/>
    <x v="21"/>
    <x v="0"/>
    <x v="0"/>
    <x v="0"/>
    <x v="0"/>
    <x v="0"/>
    <x v="0"/>
    <x v="0"/>
    <x v="1"/>
    <x v="0"/>
    <x v="0"/>
  </r>
  <r>
    <x v="2"/>
    <x v="11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9"/>
    <x v="12"/>
    <x v="0"/>
    <x v="20"/>
    <x v="15"/>
    <x v="28"/>
    <x v="58"/>
    <x v="59"/>
    <x v="0"/>
    <x v="47"/>
    <x v="46"/>
    <x v="0"/>
    <x v="0"/>
    <x v="35"/>
    <x v="0"/>
    <x v="0"/>
    <x v="0"/>
    <x v="3"/>
    <x v="0"/>
    <x v="43"/>
    <x v="0"/>
    <x v="13"/>
    <x v="0"/>
    <x v="1"/>
    <x v="0"/>
    <x v="0"/>
    <x v="0"/>
    <x v="45"/>
    <x v="0"/>
    <x v="0"/>
    <x v="2"/>
    <x v="16"/>
    <x v="2"/>
    <x v="2"/>
    <x v="2"/>
    <x v="15"/>
    <x v="0"/>
    <x v="20"/>
    <x v="0"/>
    <x v="0"/>
    <x v="0"/>
    <x v="0"/>
    <x v="0"/>
    <x v="40"/>
    <x v="0"/>
    <x v="43"/>
    <x v="27"/>
    <x v="30"/>
    <x v="0"/>
    <x v="29"/>
    <x v="3"/>
    <x v="0"/>
    <x v="46"/>
    <x v="0"/>
    <x v="46"/>
    <x v="2"/>
    <x v="2"/>
    <x v="2"/>
    <x v="5"/>
    <x v="2"/>
    <x v="16"/>
    <x v="0"/>
    <x v="22"/>
    <x v="0"/>
    <x v="0"/>
    <x v="0"/>
    <x v="0"/>
    <x v="0"/>
    <x v="0"/>
    <x v="15"/>
    <x v="2"/>
    <x v="0"/>
    <x v="0"/>
  </r>
  <r>
    <x v="20"/>
    <x v="13"/>
    <x v="0"/>
    <x v="21"/>
    <x v="16"/>
    <x v="6"/>
    <x v="59"/>
    <x v="60"/>
    <x v="0"/>
    <x v="48"/>
    <x v="47"/>
    <x v="0"/>
    <x v="0"/>
    <x v="36"/>
    <x v="0"/>
    <x v="0"/>
    <x v="0"/>
    <x v="0"/>
    <x v="0"/>
    <x v="44"/>
    <x v="0"/>
    <x v="0"/>
    <x v="0"/>
    <x v="0"/>
    <x v="0"/>
    <x v="0"/>
    <x v="0"/>
    <x v="46"/>
    <x v="0"/>
    <x v="0"/>
    <x v="0"/>
    <x v="0"/>
    <x v="0"/>
    <x v="0"/>
    <x v="0"/>
    <x v="0"/>
    <x v="0"/>
    <x v="0"/>
    <x v="0"/>
    <x v="0"/>
    <x v="0"/>
    <x v="0"/>
    <x v="0"/>
    <x v="41"/>
    <x v="0"/>
    <x v="44"/>
    <x v="28"/>
    <x v="31"/>
    <x v="0"/>
    <x v="30"/>
    <x v="0"/>
    <x v="0"/>
    <x v="47"/>
    <x v="0"/>
    <x v="47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0"/>
    <x v="13"/>
    <x v="0"/>
    <x v="21"/>
    <x v="5"/>
    <x v="29"/>
    <x v="60"/>
    <x v="61"/>
    <x v="0"/>
    <x v="49"/>
    <x v="48"/>
    <x v="0"/>
    <x v="0"/>
    <x v="37"/>
    <x v="0"/>
    <x v="0"/>
    <x v="3"/>
    <x v="3"/>
    <x v="0"/>
    <x v="45"/>
    <x v="0"/>
    <x v="0"/>
    <x v="0"/>
    <x v="0"/>
    <x v="0"/>
    <x v="0"/>
    <x v="0"/>
    <x v="47"/>
    <x v="0"/>
    <x v="0"/>
    <x v="2"/>
    <x v="17"/>
    <x v="2"/>
    <x v="2"/>
    <x v="2"/>
    <x v="16"/>
    <x v="0"/>
    <x v="21"/>
    <x v="0"/>
    <x v="0"/>
    <x v="0"/>
    <x v="0"/>
    <x v="0"/>
    <x v="42"/>
    <x v="0"/>
    <x v="45"/>
    <x v="29"/>
    <x v="32"/>
    <x v="0"/>
    <x v="31"/>
    <x v="3"/>
    <x v="0"/>
    <x v="48"/>
    <x v="0"/>
    <x v="48"/>
    <x v="2"/>
    <x v="2"/>
    <x v="2"/>
    <x v="5"/>
    <x v="2"/>
    <x v="17"/>
    <x v="0"/>
    <x v="23"/>
    <x v="0"/>
    <x v="0"/>
    <x v="0"/>
    <x v="0"/>
    <x v="0"/>
    <x v="0"/>
    <x v="0"/>
    <x v="2"/>
    <x v="0"/>
    <x v="0"/>
  </r>
  <r>
    <x v="0"/>
    <x v="14"/>
    <x v="0"/>
    <x v="22"/>
    <x v="17"/>
    <x v="0"/>
    <x v="61"/>
    <x v="62"/>
    <x v="0"/>
    <x v="50"/>
    <x v="49"/>
    <x v="0"/>
    <x v="0"/>
    <x v="3"/>
    <x v="0"/>
    <x v="0"/>
    <x v="0"/>
    <x v="3"/>
    <x v="4"/>
    <x v="46"/>
    <x v="0"/>
    <x v="0"/>
    <x v="0"/>
    <x v="2"/>
    <x v="0"/>
    <x v="0"/>
    <x v="0"/>
    <x v="48"/>
    <x v="0"/>
    <x v="0"/>
    <x v="11"/>
    <x v="18"/>
    <x v="11"/>
    <x v="11"/>
    <x v="11"/>
    <x v="17"/>
    <x v="0"/>
    <x v="22"/>
    <x v="0"/>
    <x v="0"/>
    <x v="0"/>
    <x v="0"/>
    <x v="0"/>
    <x v="43"/>
    <x v="0"/>
    <x v="46"/>
    <x v="30"/>
    <x v="33"/>
    <x v="0"/>
    <x v="32"/>
    <x v="3"/>
    <x v="0"/>
    <x v="49"/>
    <x v="0"/>
    <x v="49"/>
    <x v="11"/>
    <x v="11"/>
    <x v="10"/>
    <x v="12"/>
    <x v="11"/>
    <x v="18"/>
    <x v="0"/>
    <x v="24"/>
    <x v="0"/>
    <x v="0"/>
    <x v="0"/>
    <x v="0"/>
    <x v="0"/>
    <x v="0"/>
    <x v="16"/>
    <x v="1"/>
    <x v="0"/>
    <x v="0"/>
  </r>
  <r>
    <x v="0"/>
    <x v="14"/>
    <x v="0"/>
    <x v="22"/>
    <x v="3"/>
    <x v="9"/>
    <x v="62"/>
    <x v="63"/>
    <x v="0"/>
    <x v="51"/>
    <x v="50"/>
    <x v="0"/>
    <x v="0"/>
    <x v="8"/>
    <x v="0"/>
    <x v="0"/>
    <x v="0"/>
    <x v="3"/>
    <x v="5"/>
    <x v="47"/>
    <x v="0"/>
    <x v="0"/>
    <x v="0"/>
    <x v="2"/>
    <x v="0"/>
    <x v="0"/>
    <x v="0"/>
    <x v="49"/>
    <x v="0"/>
    <x v="0"/>
    <x v="0"/>
    <x v="0"/>
    <x v="0"/>
    <x v="0"/>
    <x v="0"/>
    <x v="0"/>
    <x v="0"/>
    <x v="0"/>
    <x v="0"/>
    <x v="0"/>
    <x v="0"/>
    <x v="0"/>
    <x v="0"/>
    <x v="44"/>
    <x v="0"/>
    <x v="47"/>
    <x v="31"/>
    <x v="34"/>
    <x v="0"/>
    <x v="33"/>
    <x v="3"/>
    <x v="0"/>
    <x v="50"/>
    <x v="0"/>
    <x v="50"/>
    <x v="0"/>
    <x v="0"/>
    <x v="0"/>
    <x v="0"/>
    <x v="0"/>
    <x v="0"/>
    <x v="0"/>
    <x v="0"/>
    <x v="0"/>
    <x v="0"/>
    <x v="0"/>
    <x v="0"/>
    <x v="0"/>
    <x v="0"/>
    <x v="16"/>
    <x v="1"/>
    <x v="0"/>
    <x v="0"/>
  </r>
  <r>
    <x v="2"/>
    <x v="14"/>
    <x v="1"/>
    <x v="2"/>
    <x v="2"/>
    <x v="2"/>
    <x v="2"/>
    <x v="2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4"/>
    <x v="0"/>
    <x v="22"/>
    <x v="17"/>
    <x v="0"/>
    <x v="63"/>
    <x v="64"/>
    <x v="0"/>
    <x v="52"/>
    <x v="51"/>
    <x v="0"/>
    <x v="0"/>
    <x v="38"/>
    <x v="0"/>
    <x v="0"/>
    <x v="0"/>
    <x v="3"/>
    <x v="0"/>
    <x v="48"/>
    <x v="0"/>
    <x v="0"/>
    <x v="0"/>
    <x v="2"/>
    <x v="0"/>
    <x v="0"/>
    <x v="0"/>
    <x v="50"/>
    <x v="0"/>
    <x v="0"/>
    <x v="11"/>
    <x v="19"/>
    <x v="11"/>
    <x v="11"/>
    <x v="11"/>
    <x v="18"/>
    <x v="0"/>
    <x v="23"/>
    <x v="0"/>
    <x v="0"/>
    <x v="0"/>
    <x v="0"/>
    <x v="0"/>
    <x v="45"/>
    <x v="0"/>
    <x v="48"/>
    <x v="0"/>
    <x v="0"/>
    <x v="0"/>
    <x v="0"/>
    <x v="3"/>
    <x v="0"/>
    <x v="51"/>
    <x v="0"/>
    <x v="51"/>
    <x v="11"/>
    <x v="11"/>
    <x v="10"/>
    <x v="12"/>
    <x v="11"/>
    <x v="19"/>
    <x v="0"/>
    <x v="25"/>
    <x v="0"/>
    <x v="0"/>
    <x v="0"/>
    <x v="0"/>
    <x v="0"/>
    <x v="0"/>
    <x v="16"/>
    <x v="1"/>
    <x v="0"/>
    <x v="0"/>
  </r>
  <r>
    <x v="0"/>
    <x v="14"/>
    <x v="0"/>
    <x v="22"/>
    <x v="17"/>
    <x v="0"/>
    <x v="64"/>
    <x v="65"/>
    <x v="0"/>
    <x v="53"/>
    <x v="52"/>
    <x v="0"/>
    <x v="0"/>
    <x v="39"/>
    <x v="0"/>
    <x v="0"/>
    <x v="0"/>
    <x v="3"/>
    <x v="0"/>
    <x v="49"/>
    <x v="0"/>
    <x v="0"/>
    <x v="0"/>
    <x v="2"/>
    <x v="0"/>
    <x v="0"/>
    <x v="0"/>
    <x v="51"/>
    <x v="0"/>
    <x v="0"/>
    <x v="11"/>
    <x v="19"/>
    <x v="11"/>
    <x v="11"/>
    <x v="11"/>
    <x v="18"/>
    <x v="0"/>
    <x v="23"/>
    <x v="0"/>
    <x v="0"/>
    <x v="0"/>
    <x v="0"/>
    <x v="0"/>
    <x v="46"/>
    <x v="0"/>
    <x v="49"/>
    <x v="32"/>
    <x v="35"/>
    <x v="0"/>
    <x v="34"/>
    <x v="3"/>
    <x v="0"/>
    <x v="52"/>
    <x v="0"/>
    <x v="52"/>
    <x v="11"/>
    <x v="11"/>
    <x v="10"/>
    <x v="12"/>
    <x v="11"/>
    <x v="19"/>
    <x v="0"/>
    <x v="25"/>
    <x v="0"/>
    <x v="0"/>
    <x v="0"/>
    <x v="0"/>
    <x v="0"/>
    <x v="0"/>
    <x v="16"/>
    <x v="1"/>
    <x v="0"/>
    <x v="0"/>
  </r>
  <r>
    <x v="14"/>
    <x v="15"/>
    <x v="0"/>
    <x v="14"/>
    <x v="11"/>
    <x v="19"/>
    <x v="65"/>
    <x v="66"/>
    <x v="0"/>
    <x v="54"/>
    <x v="53"/>
    <x v="0"/>
    <x v="0"/>
    <x v="40"/>
    <x v="0"/>
    <x v="0"/>
    <x v="0"/>
    <x v="3"/>
    <x v="0"/>
    <x v="50"/>
    <x v="0"/>
    <x v="0"/>
    <x v="0"/>
    <x v="0"/>
    <x v="0"/>
    <x v="0"/>
    <x v="0"/>
    <x v="52"/>
    <x v="0"/>
    <x v="0"/>
    <x v="2"/>
    <x v="4"/>
    <x v="2"/>
    <x v="2"/>
    <x v="2"/>
    <x v="3"/>
    <x v="0"/>
    <x v="7"/>
    <x v="0"/>
    <x v="0"/>
    <x v="0"/>
    <x v="0"/>
    <x v="0"/>
    <x v="47"/>
    <x v="0"/>
    <x v="50"/>
    <x v="0"/>
    <x v="0"/>
    <x v="0"/>
    <x v="0"/>
    <x v="3"/>
    <x v="0"/>
    <x v="53"/>
    <x v="0"/>
    <x v="53"/>
    <x v="2"/>
    <x v="2"/>
    <x v="2"/>
    <x v="5"/>
    <x v="2"/>
    <x v="4"/>
    <x v="0"/>
    <x v="13"/>
    <x v="0"/>
    <x v="0"/>
    <x v="0"/>
    <x v="0"/>
    <x v="0"/>
    <x v="0"/>
    <x v="0"/>
    <x v="2"/>
    <x v="0"/>
    <x v="0"/>
  </r>
  <r>
    <x v="2"/>
    <x v="16"/>
    <x v="1"/>
    <x v="2"/>
    <x v="2"/>
    <x v="2"/>
    <x v="66"/>
    <x v="67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"/>
    <x v="0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7"/>
    <x v="16"/>
    <x v="0"/>
    <x v="7"/>
    <x v="6"/>
    <x v="11"/>
    <x v="67"/>
    <x v="68"/>
    <x v="3"/>
    <x v="55"/>
    <x v="54"/>
    <x v="0"/>
    <x v="0"/>
    <x v="11"/>
    <x v="0"/>
    <x v="0"/>
    <x v="0"/>
    <x v="3"/>
    <x v="0"/>
    <x v="51"/>
    <x v="0"/>
    <x v="0"/>
    <x v="0"/>
    <x v="1"/>
    <x v="0"/>
    <x v="0"/>
    <x v="0"/>
    <x v="53"/>
    <x v="0"/>
    <x v="0"/>
    <x v="2"/>
    <x v="4"/>
    <x v="2"/>
    <x v="2"/>
    <x v="2"/>
    <x v="3"/>
    <x v="0"/>
    <x v="7"/>
    <x v="0"/>
    <x v="0"/>
    <x v="1"/>
    <x v="0"/>
    <x v="0"/>
    <x v="48"/>
    <x v="0"/>
    <x v="51"/>
    <x v="33"/>
    <x v="36"/>
    <x v="0"/>
    <x v="35"/>
    <x v="3"/>
    <x v="0"/>
    <x v="54"/>
    <x v="0"/>
    <x v="54"/>
    <x v="2"/>
    <x v="2"/>
    <x v="2"/>
    <x v="5"/>
    <x v="2"/>
    <x v="4"/>
    <x v="0"/>
    <x v="13"/>
    <x v="0"/>
    <x v="0"/>
    <x v="0"/>
    <x v="0"/>
    <x v="0"/>
    <x v="0"/>
    <x v="4"/>
    <x v="2"/>
    <x v="0"/>
    <x v="0"/>
  </r>
  <r>
    <x v="16"/>
    <x v="12"/>
    <x v="0"/>
    <x v="16"/>
    <x v="13"/>
    <x v="30"/>
    <x v="68"/>
    <x v="69"/>
    <x v="0"/>
    <x v="56"/>
    <x v="55"/>
    <x v="0"/>
    <x v="1"/>
    <x v="3"/>
    <x v="0"/>
    <x v="0"/>
    <x v="0"/>
    <x v="3"/>
    <x v="0"/>
    <x v="11"/>
    <x v="0"/>
    <x v="14"/>
    <x v="0"/>
    <x v="0"/>
    <x v="0"/>
    <x v="0"/>
    <x v="0"/>
    <x v="54"/>
    <x v="0"/>
    <x v="0"/>
    <x v="5"/>
    <x v="7"/>
    <x v="5"/>
    <x v="5"/>
    <x v="5"/>
    <x v="6"/>
    <x v="0"/>
    <x v="10"/>
    <x v="0"/>
    <x v="0"/>
    <x v="1"/>
    <x v="0"/>
    <x v="0"/>
    <x v="49"/>
    <x v="0"/>
    <x v="52"/>
    <x v="34"/>
    <x v="37"/>
    <x v="0"/>
    <x v="36"/>
    <x v="3"/>
    <x v="0"/>
    <x v="55"/>
    <x v="0"/>
    <x v="55"/>
    <x v="5"/>
    <x v="5"/>
    <x v="5"/>
    <x v="6"/>
    <x v="5"/>
    <x v="7"/>
    <x v="0"/>
    <x v="11"/>
    <x v="0"/>
    <x v="0"/>
    <x v="0"/>
    <x v="0"/>
    <x v="0"/>
    <x v="0"/>
    <x v="17"/>
    <x v="2"/>
    <x v="0"/>
    <x v="0"/>
  </r>
  <r>
    <x v="19"/>
    <x v="16"/>
    <x v="0"/>
    <x v="20"/>
    <x v="11"/>
    <x v="31"/>
    <x v="69"/>
    <x v="70"/>
    <x v="0"/>
    <x v="57"/>
    <x v="56"/>
    <x v="0"/>
    <x v="0"/>
    <x v="28"/>
    <x v="0"/>
    <x v="8"/>
    <x v="0"/>
    <x v="3"/>
    <x v="0"/>
    <x v="52"/>
    <x v="0"/>
    <x v="0"/>
    <x v="0"/>
    <x v="1"/>
    <x v="0"/>
    <x v="0"/>
    <x v="0"/>
    <x v="55"/>
    <x v="0"/>
    <x v="0"/>
    <x v="2"/>
    <x v="4"/>
    <x v="2"/>
    <x v="2"/>
    <x v="2"/>
    <x v="3"/>
    <x v="0"/>
    <x v="7"/>
    <x v="0"/>
    <x v="0"/>
    <x v="1"/>
    <x v="0"/>
    <x v="0"/>
    <x v="50"/>
    <x v="0"/>
    <x v="53"/>
    <x v="35"/>
    <x v="38"/>
    <x v="0"/>
    <x v="37"/>
    <x v="3"/>
    <x v="0"/>
    <x v="56"/>
    <x v="0"/>
    <x v="56"/>
    <x v="2"/>
    <x v="2"/>
    <x v="2"/>
    <x v="5"/>
    <x v="2"/>
    <x v="4"/>
    <x v="0"/>
    <x v="13"/>
    <x v="0"/>
    <x v="0"/>
    <x v="0"/>
    <x v="0"/>
    <x v="0"/>
    <x v="0"/>
    <x v="4"/>
    <x v="2"/>
    <x v="0"/>
    <x v="0"/>
  </r>
  <r>
    <x v="13"/>
    <x v="16"/>
    <x v="0"/>
    <x v="13"/>
    <x v="10"/>
    <x v="16"/>
    <x v="70"/>
    <x v="71"/>
    <x v="0"/>
    <x v="58"/>
    <x v="57"/>
    <x v="0"/>
    <x v="0"/>
    <x v="21"/>
    <x v="0"/>
    <x v="9"/>
    <x v="0"/>
    <x v="0"/>
    <x v="0"/>
    <x v="53"/>
    <x v="0"/>
    <x v="0"/>
    <x v="0"/>
    <x v="1"/>
    <x v="0"/>
    <x v="0"/>
    <x v="1"/>
    <x v="56"/>
    <x v="0"/>
    <x v="0"/>
    <x v="7"/>
    <x v="9"/>
    <x v="7"/>
    <x v="7"/>
    <x v="7"/>
    <x v="8"/>
    <x v="5"/>
    <x v="24"/>
    <x v="0"/>
    <x v="0"/>
    <x v="0"/>
    <x v="0"/>
    <x v="0"/>
    <x v="51"/>
    <x v="0"/>
    <x v="54"/>
    <x v="0"/>
    <x v="0"/>
    <x v="0"/>
    <x v="0"/>
    <x v="0"/>
    <x v="0"/>
    <x v="57"/>
    <x v="0"/>
    <x v="57"/>
    <x v="7"/>
    <x v="7"/>
    <x v="7"/>
    <x v="8"/>
    <x v="7"/>
    <x v="9"/>
    <x v="5"/>
    <x v="0"/>
    <x v="0"/>
    <x v="0"/>
    <x v="0"/>
    <x v="0"/>
    <x v="0"/>
    <x v="1"/>
    <x v="18"/>
    <x v="2"/>
    <x v="0"/>
    <x v="0"/>
  </r>
  <r>
    <x v="13"/>
    <x v="16"/>
    <x v="0"/>
    <x v="13"/>
    <x v="10"/>
    <x v="16"/>
    <x v="71"/>
    <x v="72"/>
    <x v="0"/>
    <x v="59"/>
    <x v="58"/>
    <x v="0"/>
    <x v="0"/>
    <x v="21"/>
    <x v="0"/>
    <x v="0"/>
    <x v="0"/>
    <x v="0"/>
    <x v="0"/>
    <x v="54"/>
    <x v="0"/>
    <x v="0"/>
    <x v="0"/>
    <x v="0"/>
    <x v="0"/>
    <x v="0"/>
    <x v="2"/>
    <x v="57"/>
    <x v="0"/>
    <x v="0"/>
    <x v="7"/>
    <x v="9"/>
    <x v="7"/>
    <x v="7"/>
    <x v="7"/>
    <x v="8"/>
    <x v="5"/>
    <x v="24"/>
    <x v="0"/>
    <x v="0"/>
    <x v="0"/>
    <x v="0"/>
    <x v="0"/>
    <x v="52"/>
    <x v="0"/>
    <x v="55"/>
    <x v="0"/>
    <x v="0"/>
    <x v="0"/>
    <x v="0"/>
    <x v="0"/>
    <x v="0"/>
    <x v="58"/>
    <x v="0"/>
    <x v="58"/>
    <x v="7"/>
    <x v="7"/>
    <x v="7"/>
    <x v="8"/>
    <x v="7"/>
    <x v="9"/>
    <x v="5"/>
    <x v="0"/>
    <x v="0"/>
    <x v="0"/>
    <x v="0"/>
    <x v="0"/>
    <x v="0"/>
    <x v="1"/>
    <x v="19"/>
    <x v="2"/>
    <x v="0"/>
    <x v="0"/>
  </r>
  <r>
    <x v="13"/>
    <x v="16"/>
    <x v="0"/>
    <x v="13"/>
    <x v="10"/>
    <x v="16"/>
    <x v="72"/>
    <x v="73"/>
    <x v="0"/>
    <x v="60"/>
    <x v="26"/>
    <x v="0"/>
    <x v="0"/>
    <x v="21"/>
    <x v="0"/>
    <x v="0"/>
    <x v="0"/>
    <x v="0"/>
    <x v="0"/>
    <x v="54"/>
    <x v="0"/>
    <x v="0"/>
    <x v="0"/>
    <x v="0"/>
    <x v="0"/>
    <x v="0"/>
    <x v="0"/>
    <x v="58"/>
    <x v="0"/>
    <x v="0"/>
    <x v="7"/>
    <x v="9"/>
    <x v="7"/>
    <x v="7"/>
    <x v="7"/>
    <x v="8"/>
    <x v="5"/>
    <x v="24"/>
    <x v="0"/>
    <x v="0"/>
    <x v="0"/>
    <x v="0"/>
    <x v="0"/>
    <x v="53"/>
    <x v="0"/>
    <x v="56"/>
    <x v="0"/>
    <x v="0"/>
    <x v="0"/>
    <x v="0"/>
    <x v="0"/>
    <x v="0"/>
    <x v="26"/>
    <x v="0"/>
    <x v="2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3"/>
    <x v="16"/>
    <x v="0"/>
    <x v="13"/>
    <x v="10"/>
    <x v="16"/>
    <x v="73"/>
    <x v="74"/>
    <x v="0"/>
    <x v="61"/>
    <x v="59"/>
    <x v="0"/>
    <x v="0"/>
    <x v="21"/>
    <x v="0"/>
    <x v="10"/>
    <x v="0"/>
    <x v="0"/>
    <x v="0"/>
    <x v="55"/>
    <x v="0"/>
    <x v="0"/>
    <x v="0"/>
    <x v="0"/>
    <x v="0"/>
    <x v="0"/>
    <x v="0"/>
    <x v="59"/>
    <x v="0"/>
    <x v="0"/>
    <x v="7"/>
    <x v="9"/>
    <x v="7"/>
    <x v="7"/>
    <x v="7"/>
    <x v="8"/>
    <x v="5"/>
    <x v="24"/>
    <x v="0"/>
    <x v="0"/>
    <x v="0"/>
    <x v="0"/>
    <x v="0"/>
    <x v="54"/>
    <x v="0"/>
    <x v="57"/>
    <x v="0"/>
    <x v="0"/>
    <x v="0"/>
    <x v="0"/>
    <x v="0"/>
    <x v="0"/>
    <x v="59"/>
    <x v="0"/>
    <x v="59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9"/>
    <x v="16"/>
    <x v="0"/>
    <x v="20"/>
    <x v="15"/>
    <x v="32"/>
    <x v="74"/>
    <x v="75"/>
    <x v="0"/>
    <x v="62"/>
    <x v="60"/>
    <x v="0"/>
    <x v="0"/>
    <x v="41"/>
    <x v="0"/>
    <x v="11"/>
    <x v="4"/>
    <x v="0"/>
    <x v="0"/>
    <x v="56"/>
    <x v="0"/>
    <x v="0"/>
    <x v="0"/>
    <x v="1"/>
    <x v="0"/>
    <x v="1"/>
    <x v="0"/>
    <x v="60"/>
    <x v="0"/>
    <x v="0"/>
    <x v="2"/>
    <x v="0"/>
    <x v="2"/>
    <x v="2"/>
    <x v="2"/>
    <x v="0"/>
    <x v="0"/>
    <x v="3"/>
    <x v="0"/>
    <x v="0"/>
    <x v="0"/>
    <x v="0"/>
    <x v="0"/>
    <x v="55"/>
    <x v="0"/>
    <x v="58"/>
    <x v="36"/>
    <x v="39"/>
    <x v="0"/>
    <x v="38"/>
    <x v="0"/>
    <x v="0"/>
    <x v="60"/>
    <x v="0"/>
    <x v="60"/>
    <x v="2"/>
    <x v="2"/>
    <x v="2"/>
    <x v="5"/>
    <x v="2"/>
    <x v="0"/>
    <x v="0"/>
    <x v="26"/>
    <x v="0"/>
    <x v="0"/>
    <x v="0"/>
    <x v="0"/>
    <x v="0"/>
    <x v="1"/>
    <x v="20"/>
    <x v="2"/>
    <x v="0"/>
    <x v="0"/>
  </r>
  <r>
    <x v="19"/>
    <x v="16"/>
    <x v="0"/>
    <x v="20"/>
    <x v="15"/>
    <x v="32"/>
    <x v="75"/>
    <x v="76"/>
    <x v="0"/>
    <x v="63"/>
    <x v="61"/>
    <x v="0"/>
    <x v="0"/>
    <x v="41"/>
    <x v="0"/>
    <x v="11"/>
    <x v="4"/>
    <x v="0"/>
    <x v="0"/>
    <x v="56"/>
    <x v="0"/>
    <x v="0"/>
    <x v="0"/>
    <x v="1"/>
    <x v="0"/>
    <x v="2"/>
    <x v="0"/>
    <x v="61"/>
    <x v="0"/>
    <x v="0"/>
    <x v="2"/>
    <x v="0"/>
    <x v="2"/>
    <x v="2"/>
    <x v="2"/>
    <x v="0"/>
    <x v="0"/>
    <x v="3"/>
    <x v="0"/>
    <x v="0"/>
    <x v="0"/>
    <x v="0"/>
    <x v="0"/>
    <x v="56"/>
    <x v="0"/>
    <x v="59"/>
    <x v="37"/>
    <x v="40"/>
    <x v="0"/>
    <x v="39"/>
    <x v="0"/>
    <x v="0"/>
    <x v="61"/>
    <x v="0"/>
    <x v="61"/>
    <x v="2"/>
    <x v="2"/>
    <x v="2"/>
    <x v="5"/>
    <x v="2"/>
    <x v="0"/>
    <x v="0"/>
    <x v="26"/>
    <x v="0"/>
    <x v="0"/>
    <x v="0"/>
    <x v="0"/>
    <x v="0"/>
    <x v="1"/>
    <x v="21"/>
    <x v="2"/>
    <x v="0"/>
    <x v="0"/>
  </r>
  <r>
    <x v="19"/>
    <x v="16"/>
    <x v="0"/>
    <x v="20"/>
    <x v="15"/>
    <x v="32"/>
    <x v="76"/>
    <x v="77"/>
    <x v="0"/>
    <x v="63"/>
    <x v="62"/>
    <x v="0"/>
    <x v="0"/>
    <x v="41"/>
    <x v="0"/>
    <x v="11"/>
    <x v="4"/>
    <x v="0"/>
    <x v="0"/>
    <x v="56"/>
    <x v="0"/>
    <x v="0"/>
    <x v="0"/>
    <x v="1"/>
    <x v="0"/>
    <x v="2"/>
    <x v="0"/>
    <x v="61"/>
    <x v="0"/>
    <x v="0"/>
    <x v="2"/>
    <x v="0"/>
    <x v="2"/>
    <x v="2"/>
    <x v="2"/>
    <x v="0"/>
    <x v="0"/>
    <x v="3"/>
    <x v="0"/>
    <x v="0"/>
    <x v="0"/>
    <x v="0"/>
    <x v="0"/>
    <x v="56"/>
    <x v="0"/>
    <x v="60"/>
    <x v="38"/>
    <x v="41"/>
    <x v="0"/>
    <x v="40"/>
    <x v="0"/>
    <x v="0"/>
    <x v="62"/>
    <x v="0"/>
    <x v="62"/>
    <x v="2"/>
    <x v="2"/>
    <x v="2"/>
    <x v="5"/>
    <x v="2"/>
    <x v="0"/>
    <x v="0"/>
    <x v="26"/>
    <x v="0"/>
    <x v="0"/>
    <x v="0"/>
    <x v="0"/>
    <x v="0"/>
    <x v="1"/>
    <x v="21"/>
    <x v="2"/>
    <x v="0"/>
    <x v="0"/>
  </r>
  <r>
    <x v="19"/>
    <x v="16"/>
    <x v="0"/>
    <x v="20"/>
    <x v="15"/>
    <x v="32"/>
    <x v="77"/>
    <x v="78"/>
    <x v="0"/>
    <x v="64"/>
    <x v="63"/>
    <x v="0"/>
    <x v="0"/>
    <x v="42"/>
    <x v="0"/>
    <x v="12"/>
    <x v="4"/>
    <x v="3"/>
    <x v="0"/>
    <x v="57"/>
    <x v="0"/>
    <x v="0"/>
    <x v="0"/>
    <x v="1"/>
    <x v="0"/>
    <x v="0"/>
    <x v="0"/>
    <x v="62"/>
    <x v="0"/>
    <x v="0"/>
    <x v="2"/>
    <x v="0"/>
    <x v="2"/>
    <x v="2"/>
    <x v="2"/>
    <x v="0"/>
    <x v="0"/>
    <x v="3"/>
    <x v="0"/>
    <x v="0"/>
    <x v="0"/>
    <x v="0"/>
    <x v="0"/>
    <x v="57"/>
    <x v="0"/>
    <x v="61"/>
    <x v="0"/>
    <x v="0"/>
    <x v="0"/>
    <x v="0"/>
    <x v="3"/>
    <x v="0"/>
    <x v="63"/>
    <x v="0"/>
    <x v="63"/>
    <x v="2"/>
    <x v="2"/>
    <x v="2"/>
    <x v="5"/>
    <x v="2"/>
    <x v="0"/>
    <x v="0"/>
    <x v="26"/>
    <x v="0"/>
    <x v="0"/>
    <x v="0"/>
    <x v="0"/>
    <x v="0"/>
    <x v="1"/>
    <x v="4"/>
    <x v="2"/>
    <x v="0"/>
    <x v="0"/>
  </r>
  <r>
    <x v="21"/>
    <x v="16"/>
    <x v="1"/>
    <x v="23"/>
    <x v="15"/>
    <x v="32"/>
    <x v="78"/>
    <x v="79"/>
    <x v="0"/>
    <x v="65"/>
    <x v="64"/>
    <x v="0"/>
    <x v="2"/>
    <x v="43"/>
    <x v="0"/>
    <x v="1"/>
    <x v="0"/>
    <x v="0"/>
    <x v="0"/>
    <x v="58"/>
    <x v="0"/>
    <x v="0"/>
    <x v="0"/>
    <x v="0"/>
    <x v="0"/>
    <x v="2"/>
    <x v="0"/>
    <x v="63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0"/>
    <x v="0"/>
    <x v="0"/>
    <x v="64"/>
    <x v="0"/>
    <x v="64"/>
    <x v="7"/>
    <x v="7"/>
    <x v="7"/>
    <x v="8"/>
    <x v="7"/>
    <x v="9"/>
    <x v="5"/>
    <x v="0"/>
    <x v="0"/>
    <x v="0"/>
    <x v="0"/>
    <x v="0"/>
    <x v="0"/>
    <x v="1"/>
    <x v="22"/>
    <x v="0"/>
    <x v="0"/>
    <x v="0"/>
  </r>
  <r>
    <x v="21"/>
    <x v="16"/>
    <x v="1"/>
    <x v="23"/>
    <x v="15"/>
    <x v="32"/>
    <x v="79"/>
    <x v="80"/>
    <x v="0"/>
    <x v="66"/>
    <x v="65"/>
    <x v="0"/>
    <x v="2"/>
    <x v="43"/>
    <x v="0"/>
    <x v="1"/>
    <x v="0"/>
    <x v="0"/>
    <x v="0"/>
    <x v="58"/>
    <x v="0"/>
    <x v="0"/>
    <x v="0"/>
    <x v="0"/>
    <x v="0"/>
    <x v="1"/>
    <x v="0"/>
    <x v="64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0"/>
    <x v="0"/>
    <x v="0"/>
    <x v="65"/>
    <x v="0"/>
    <x v="65"/>
    <x v="7"/>
    <x v="7"/>
    <x v="7"/>
    <x v="8"/>
    <x v="7"/>
    <x v="9"/>
    <x v="5"/>
    <x v="0"/>
    <x v="0"/>
    <x v="0"/>
    <x v="0"/>
    <x v="0"/>
    <x v="0"/>
    <x v="1"/>
    <x v="19"/>
    <x v="0"/>
    <x v="0"/>
    <x v="0"/>
  </r>
  <r>
    <x v="21"/>
    <x v="16"/>
    <x v="1"/>
    <x v="23"/>
    <x v="15"/>
    <x v="32"/>
    <x v="80"/>
    <x v="81"/>
    <x v="0"/>
    <x v="65"/>
    <x v="64"/>
    <x v="0"/>
    <x v="2"/>
    <x v="43"/>
    <x v="0"/>
    <x v="1"/>
    <x v="0"/>
    <x v="0"/>
    <x v="0"/>
    <x v="58"/>
    <x v="0"/>
    <x v="0"/>
    <x v="0"/>
    <x v="0"/>
    <x v="0"/>
    <x v="2"/>
    <x v="0"/>
    <x v="63"/>
    <x v="0"/>
    <x v="0"/>
    <x v="7"/>
    <x v="9"/>
    <x v="7"/>
    <x v="7"/>
    <x v="7"/>
    <x v="8"/>
    <x v="5"/>
    <x v="0"/>
    <x v="0"/>
    <x v="0"/>
    <x v="0"/>
    <x v="0"/>
    <x v="0"/>
    <x v="22"/>
    <x v="0"/>
    <x v="23"/>
    <x v="13"/>
    <x v="16"/>
    <x v="0"/>
    <x v="0"/>
    <x v="0"/>
    <x v="0"/>
    <x v="64"/>
    <x v="0"/>
    <x v="64"/>
    <x v="7"/>
    <x v="7"/>
    <x v="7"/>
    <x v="8"/>
    <x v="7"/>
    <x v="9"/>
    <x v="5"/>
    <x v="0"/>
    <x v="0"/>
    <x v="0"/>
    <x v="0"/>
    <x v="0"/>
    <x v="0"/>
    <x v="1"/>
    <x v="22"/>
    <x v="0"/>
    <x v="0"/>
    <x v="0"/>
  </r>
  <r>
    <x v="21"/>
    <x v="17"/>
    <x v="0"/>
    <x v="23"/>
    <x v="15"/>
    <x v="32"/>
    <x v="78"/>
    <x v="79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79"/>
    <x v="80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0"/>
    <x v="81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1"/>
    <x v="82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2"/>
    <x v="83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3"/>
    <x v="84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4"/>
    <x v="85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5"/>
    <x v="86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6"/>
    <x v="87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7"/>
    <x v="88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8"/>
    <x v="89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89"/>
    <x v="90"/>
    <x v="2"/>
    <x v="67"/>
    <x v="66"/>
    <x v="0"/>
    <x v="0"/>
    <x v="29"/>
    <x v="0"/>
    <x v="1"/>
    <x v="0"/>
    <x v="0"/>
    <x v="0"/>
    <x v="59"/>
    <x v="0"/>
    <x v="0"/>
    <x v="0"/>
    <x v="0"/>
    <x v="0"/>
    <x v="0"/>
    <x v="0"/>
    <x v="65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6"/>
    <x v="0"/>
    <x v="6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0"/>
    <x v="91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1"/>
    <x v="92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2"/>
    <x v="93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3"/>
    <x v="94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4"/>
    <x v="95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5"/>
    <x v="96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6"/>
    <x v="97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7"/>
    <x v="98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8"/>
    <x v="99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1"/>
    <x v="17"/>
    <x v="0"/>
    <x v="23"/>
    <x v="15"/>
    <x v="32"/>
    <x v="99"/>
    <x v="100"/>
    <x v="2"/>
    <x v="68"/>
    <x v="67"/>
    <x v="0"/>
    <x v="3"/>
    <x v="44"/>
    <x v="0"/>
    <x v="1"/>
    <x v="0"/>
    <x v="0"/>
    <x v="0"/>
    <x v="60"/>
    <x v="0"/>
    <x v="0"/>
    <x v="0"/>
    <x v="0"/>
    <x v="0"/>
    <x v="0"/>
    <x v="0"/>
    <x v="66"/>
    <x v="0"/>
    <x v="0"/>
    <x v="7"/>
    <x v="9"/>
    <x v="7"/>
    <x v="7"/>
    <x v="7"/>
    <x v="8"/>
    <x v="5"/>
    <x v="24"/>
    <x v="0"/>
    <x v="0"/>
    <x v="0"/>
    <x v="0"/>
    <x v="0"/>
    <x v="22"/>
    <x v="0"/>
    <x v="23"/>
    <x v="13"/>
    <x v="16"/>
    <x v="0"/>
    <x v="27"/>
    <x v="0"/>
    <x v="0"/>
    <x v="67"/>
    <x v="0"/>
    <x v="6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2"/>
    <x v="18"/>
    <x v="0"/>
    <x v="12"/>
    <x v="2"/>
    <x v="16"/>
    <x v="100"/>
    <x v="101"/>
    <x v="0"/>
    <x v="69"/>
    <x v="68"/>
    <x v="0"/>
    <x v="0"/>
    <x v="29"/>
    <x v="0"/>
    <x v="0"/>
    <x v="0"/>
    <x v="5"/>
    <x v="0"/>
    <x v="61"/>
    <x v="0"/>
    <x v="0"/>
    <x v="0"/>
    <x v="0"/>
    <x v="0"/>
    <x v="0"/>
    <x v="0"/>
    <x v="67"/>
    <x v="0"/>
    <x v="0"/>
    <x v="0"/>
    <x v="0"/>
    <x v="0"/>
    <x v="0"/>
    <x v="0"/>
    <x v="0"/>
    <x v="0"/>
    <x v="0"/>
    <x v="0"/>
    <x v="0"/>
    <x v="0"/>
    <x v="0"/>
    <x v="0"/>
    <x v="58"/>
    <x v="0"/>
    <x v="62"/>
    <x v="39"/>
    <x v="42"/>
    <x v="0"/>
    <x v="41"/>
    <x v="5"/>
    <x v="0"/>
    <x v="68"/>
    <x v="0"/>
    <x v="68"/>
    <x v="0"/>
    <x v="0"/>
    <x v="0"/>
    <x v="0"/>
    <x v="0"/>
    <x v="0"/>
    <x v="0"/>
    <x v="0"/>
    <x v="0"/>
    <x v="0"/>
    <x v="0"/>
    <x v="0"/>
    <x v="0"/>
    <x v="0"/>
    <x v="0"/>
    <x v="2"/>
    <x v="0"/>
    <x v="0"/>
  </r>
  <r>
    <x v="13"/>
    <x v="18"/>
    <x v="1"/>
    <x v="13"/>
    <x v="10"/>
    <x v="16"/>
    <x v="40"/>
    <x v="41"/>
    <x v="2"/>
    <x v="70"/>
    <x v="69"/>
    <x v="0"/>
    <x v="0"/>
    <x v="42"/>
    <x v="0"/>
    <x v="0"/>
    <x v="0"/>
    <x v="0"/>
    <x v="0"/>
    <x v="62"/>
    <x v="0"/>
    <x v="0"/>
    <x v="0"/>
    <x v="0"/>
    <x v="0"/>
    <x v="0"/>
    <x v="0"/>
    <x v="68"/>
    <x v="0"/>
    <x v="0"/>
    <x v="0"/>
    <x v="0"/>
    <x v="0"/>
    <x v="0"/>
    <x v="0"/>
    <x v="0"/>
    <x v="0"/>
    <x v="0"/>
    <x v="0"/>
    <x v="0"/>
    <x v="0"/>
    <x v="0"/>
    <x v="0"/>
    <x v="59"/>
    <x v="0"/>
    <x v="63"/>
    <x v="0"/>
    <x v="43"/>
    <x v="0"/>
    <x v="42"/>
    <x v="0"/>
    <x v="0"/>
    <x v="69"/>
    <x v="0"/>
    <x v="69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8"/>
    <x v="6"/>
    <x v="0"/>
    <x v="8"/>
    <x v="9"/>
    <x v="20"/>
    <x v="101"/>
    <x v="102"/>
    <x v="0"/>
    <x v="71"/>
    <x v="70"/>
    <x v="0"/>
    <x v="0"/>
    <x v="45"/>
    <x v="0"/>
    <x v="0"/>
    <x v="0"/>
    <x v="4"/>
    <x v="0"/>
    <x v="63"/>
    <x v="2"/>
    <x v="15"/>
    <x v="0"/>
    <x v="0"/>
    <x v="0"/>
    <x v="0"/>
    <x v="0"/>
    <x v="69"/>
    <x v="0"/>
    <x v="0"/>
    <x v="2"/>
    <x v="20"/>
    <x v="2"/>
    <x v="2"/>
    <x v="2"/>
    <x v="19"/>
    <x v="6"/>
    <x v="25"/>
    <x v="0"/>
    <x v="0"/>
    <x v="0"/>
    <x v="0"/>
    <x v="0"/>
    <x v="60"/>
    <x v="0"/>
    <x v="64"/>
    <x v="40"/>
    <x v="44"/>
    <x v="0"/>
    <x v="43"/>
    <x v="4"/>
    <x v="0"/>
    <x v="70"/>
    <x v="0"/>
    <x v="70"/>
    <x v="2"/>
    <x v="2"/>
    <x v="2"/>
    <x v="5"/>
    <x v="2"/>
    <x v="20"/>
    <x v="6"/>
    <x v="27"/>
    <x v="0"/>
    <x v="0"/>
    <x v="0"/>
    <x v="0"/>
    <x v="0"/>
    <x v="0"/>
    <x v="23"/>
    <x v="2"/>
    <x v="0"/>
    <x v="0"/>
  </r>
  <r>
    <x v="22"/>
    <x v="12"/>
    <x v="0"/>
    <x v="24"/>
    <x v="2"/>
    <x v="33"/>
    <x v="2"/>
    <x v="2"/>
    <x v="0"/>
    <x v="72"/>
    <x v="71"/>
    <x v="0"/>
    <x v="0"/>
    <x v="46"/>
    <x v="0"/>
    <x v="0"/>
    <x v="0"/>
    <x v="6"/>
    <x v="0"/>
    <x v="64"/>
    <x v="0"/>
    <x v="16"/>
    <x v="0"/>
    <x v="0"/>
    <x v="3"/>
    <x v="0"/>
    <x v="0"/>
    <x v="70"/>
    <x v="0"/>
    <x v="0"/>
    <x v="4"/>
    <x v="6"/>
    <x v="4"/>
    <x v="4"/>
    <x v="4"/>
    <x v="5"/>
    <x v="0"/>
    <x v="26"/>
    <x v="0"/>
    <x v="0"/>
    <x v="0"/>
    <x v="0"/>
    <x v="0"/>
    <x v="61"/>
    <x v="0"/>
    <x v="65"/>
    <x v="41"/>
    <x v="45"/>
    <x v="0"/>
    <x v="44"/>
    <x v="6"/>
    <x v="0"/>
    <x v="71"/>
    <x v="0"/>
    <x v="71"/>
    <x v="4"/>
    <x v="4"/>
    <x v="4"/>
    <x v="13"/>
    <x v="4"/>
    <x v="6"/>
    <x v="0"/>
    <x v="28"/>
    <x v="0"/>
    <x v="0"/>
    <x v="0"/>
    <x v="0"/>
    <x v="0"/>
    <x v="0"/>
    <x v="24"/>
    <x v="2"/>
    <x v="0"/>
    <x v="0"/>
  </r>
  <r>
    <x v="8"/>
    <x v="12"/>
    <x v="0"/>
    <x v="8"/>
    <x v="9"/>
    <x v="20"/>
    <x v="102"/>
    <x v="103"/>
    <x v="0"/>
    <x v="73"/>
    <x v="72"/>
    <x v="0"/>
    <x v="0"/>
    <x v="10"/>
    <x v="6"/>
    <x v="0"/>
    <x v="0"/>
    <x v="3"/>
    <x v="0"/>
    <x v="65"/>
    <x v="3"/>
    <x v="17"/>
    <x v="0"/>
    <x v="0"/>
    <x v="0"/>
    <x v="0"/>
    <x v="0"/>
    <x v="71"/>
    <x v="0"/>
    <x v="0"/>
    <x v="12"/>
    <x v="21"/>
    <x v="12"/>
    <x v="12"/>
    <x v="12"/>
    <x v="20"/>
    <x v="7"/>
    <x v="27"/>
    <x v="0"/>
    <x v="0"/>
    <x v="0"/>
    <x v="1"/>
    <x v="0"/>
    <x v="62"/>
    <x v="0"/>
    <x v="66"/>
    <x v="42"/>
    <x v="46"/>
    <x v="0"/>
    <x v="45"/>
    <x v="3"/>
    <x v="0"/>
    <x v="72"/>
    <x v="0"/>
    <x v="72"/>
    <x v="12"/>
    <x v="12"/>
    <x v="11"/>
    <x v="14"/>
    <x v="12"/>
    <x v="21"/>
    <x v="7"/>
    <x v="29"/>
    <x v="0"/>
    <x v="0"/>
    <x v="0"/>
    <x v="0"/>
    <x v="0"/>
    <x v="0"/>
    <x v="25"/>
    <x v="2"/>
    <x v="0"/>
    <x v="0"/>
  </r>
  <r>
    <x v="22"/>
    <x v="12"/>
    <x v="0"/>
    <x v="24"/>
    <x v="7"/>
    <x v="34"/>
    <x v="103"/>
    <x v="104"/>
    <x v="0"/>
    <x v="74"/>
    <x v="73"/>
    <x v="0"/>
    <x v="0"/>
    <x v="11"/>
    <x v="0"/>
    <x v="0"/>
    <x v="0"/>
    <x v="3"/>
    <x v="0"/>
    <x v="51"/>
    <x v="0"/>
    <x v="18"/>
    <x v="0"/>
    <x v="0"/>
    <x v="0"/>
    <x v="0"/>
    <x v="0"/>
    <x v="72"/>
    <x v="0"/>
    <x v="0"/>
    <x v="2"/>
    <x v="4"/>
    <x v="2"/>
    <x v="2"/>
    <x v="2"/>
    <x v="3"/>
    <x v="0"/>
    <x v="7"/>
    <x v="0"/>
    <x v="0"/>
    <x v="0"/>
    <x v="0"/>
    <x v="0"/>
    <x v="63"/>
    <x v="0"/>
    <x v="67"/>
    <x v="43"/>
    <x v="47"/>
    <x v="0"/>
    <x v="46"/>
    <x v="3"/>
    <x v="0"/>
    <x v="73"/>
    <x v="0"/>
    <x v="73"/>
    <x v="2"/>
    <x v="2"/>
    <x v="2"/>
    <x v="5"/>
    <x v="2"/>
    <x v="4"/>
    <x v="0"/>
    <x v="13"/>
    <x v="0"/>
    <x v="0"/>
    <x v="0"/>
    <x v="0"/>
    <x v="0"/>
    <x v="0"/>
    <x v="26"/>
    <x v="2"/>
    <x v="0"/>
    <x v="0"/>
  </r>
  <r>
    <x v="22"/>
    <x v="12"/>
    <x v="0"/>
    <x v="24"/>
    <x v="7"/>
    <x v="35"/>
    <x v="104"/>
    <x v="105"/>
    <x v="0"/>
    <x v="75"/>
    <x v="74"/>
    <x v="0"/>
    <x v="0"/>
    <x v="10"/>
    <x v="0"/>
    <x v="0"/>
    <x v="0"/>
    <x v="3"/>
    <x v="0"/>
    <x v="35"/>
    <x v="0"/>
    <x v="19"/>
    <x v="0"/>
    <x v="0"/>
    <x v="0"/>
    <x v="0"/>
    <x v="0"/>
    <x v="73"/>
    <x v="0"/>
    <x v="0"/>
    <x v="9"/>
    <x v="11"/>
    <x v="9"/>
    <x v="9"/>
    <x v="9"/>
    <x v="10"/>
    <x v="0"/>
    <x v="15"/>
    <x v="0"/>
    <x v="0"/>
    <x v="0"/>
    <x v="1"/>
    <x v="0"/>
    <x v="64"/>
    <x v="0"/>
    <x v="68"/>
    <x v="44"/>
    <x v="48"/>
    <x v="0"/>
    <x v="47"/>
    <x v="3"/>
    <x v="0"/>
    <x v="74"/>
    <x v="0"/>
    <x v="74"/>
    <x v="9"/>
    <x v="9"/>
    <x v="9"/>
    <x v="10"/>
    <x v="9"/>
    <x v="11"/>
    <x v="0"/>
    <x v="17"/>
    <x v="0"/>
    <x v="0"/>
    <x v="0"/>
    <x v="0"/>
    <x v="0"/>
    <x v="0"/>
    <x v="27"/>
    <x v="2"/>
    <x v="0"/>
    <x v="0"/>
  </r>
  <r>
    <x v="22"/>
    <x v="12"/>
    <x v="0"/>
    <x v="24"/>
    <x v="7"/>
    <x v="34"/>
    <x v="105"/>
    <x v="106"/>
    <x v="0"/>
    <x v="76"/>
    <x v="75"/>
    <x v="0"/>
    <x v="0"/>
    <x v="47"/>
    <x v="0"/>
    <x v="13"/>
    <x v="0"/>
    <x v="3"/>
    <x v="0"/>
    <x v="66"/>
    <x v="0"/>
    <x v="20"/>
    <x v="0"/>
    <x v="0"/>
    <x v="0"/>
    <x v="0"/>
    <x v="0"/>
    <x v="74"/>
    <x v="0"/>
    <x v="0"/>
    <x v="2"/>
    <x v="4"/>
    <x v="2"/>
    <x v="2"/>
    <x v="2"/>
    <x v="3"/>
    <x v="0"/>
    <x v="7"/>
    <x v="0"/>
    <x v="0"/>
    <x v="0"/>
    <x v="0"/>
    <x v="0"/>
    <x v="65"/>
    <x v="0"/>
    <x v="69"/>
    <x v="45"/>
    <x v="49"/>
    <x v="0"/>
    <x v="48"/>
    <x v="3"/>
    <x v="0"/>
    <x v="75"/>
    <x v="0"/>
    <x v="75"/>
    <x v="2"/>
    <x v="2"/>
    <x v="2"/>
    <x v="5"/>
    <x v="2"/>
    <x v="4"/>
    <x v="0"/>
    <x v="13"/>
    <x v="0"/>
    <x v="0"/>
    <x v="0"/>
    <x v="0"/>
    <x v="0"/>
    <x v="0"/>
    <x v="28"/>
    <x v="2"/>
    <x v="0"/>
    <x v="0"/>
  </r>
  <r>
    <x v="22"/>
    <x v="12"/>
    <x v="1"/>
    <x v="24"/>
    <x v="7"/>
    <x v="36"/>
    <x v="106"/>
    <x v="107"/>
    <x v="2"/>
    <x v="77"/>
    <x v="76"/>
    <x v="0"/>
    <x v="0"/>
    <x v="48"/>
    <x v="0"/>
    <x v="0"/>
    <x v="0"/>
    <x v="0"/>
    <x v="0"/>
    <x v="67"/>
    <x v="0"/>
    <x v="0"/>
    <x v="0"/>
    <x v="0"/>
    <x v="0"/>
    <x v="0"/>
    <x v="0"/>
    <x v="75"/>
    <x v="0"/>
    <x v="0"/>
    <x v="0"/>
    <x v="0"/>
    <x v="0"/>
    <x v="0"/>
    <x v="0"/>
    <x v="0"/>
    <x v="0"/>
    <x v="0"/>
    <x v="0"/>
    <x v="0"/>
    <x v="0"/>
    <x v="0"/>
    <x v="0"/>
    <x v="66"/>
    <x v="0"/>
    <x v="70"/>
    <x v="0"/>
    <x v="50"/>
    <x v="0"/>
    <x v="5"/>
    <x v="0"/>
    <x v="0"/>
    <x v="76"/>
    <x v="0"/>
    <x v="76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12"/>
    <x v="0"/>
    <x v="13"/>
    <x v="11"/>
    <x v="37"/>
    <x v="107"/>
    <x v="108"/>
    <x v="0"/>
    <x v="78"/>
    <x v="77"/>
    <x v="0"/>
    <x v="0"/>
    <x v="49"/>
    <x v="0"/>
    <x v="0"/>
    <x v="0"/>
    <x v="3"/>
    <x v="0"/>
    <x v="68"/>
    <x v="0"/>
    <x v="0"/>
    <x v="0"/>
    <x v="1"/>
    <x v="0"/>
    <x v="0"/>
    <x v="0"/>
    <x v="76"/>
    <x v="0"/>
    <x v="0"/>
    <x v="0"/>
    <x v="0"/>
    <x v="0"/>
    <x v="0"/>
    <x v="0"/>
    <x v="0"/>
    <x v="0"/>
    <x v="0"/>
    <x v="0"/>
    <x v="0"/>
    <x v="0"/>
    <x v="0"/>
    <x v="0"/>
    <x v="67"/>
    <x v="0"/>
    <x v="71"/>
    <x v="46"/>
    <x v="51"/>
    <x v="0"/>
    <x v="49"/>
    <x v="3"/>
    <x v="0"/>
    <x v="77"/>
    <x v="0"/>
    <x v="77"/>
    <x v="0"/>
    <x v="0"/>
    <x v="0"/>
    <x v="0"/>
    <x v="0"/>
    <x v="0"/>
    <x v="0"/>
    <x v="0"/>
    <x v="0"/>
    <x v="0"/>
    <x v="0"/>
    <x v="0"/>
    <x v="0"/>
    <x v="0"/>
    <x v="4"/>
    <x v="2"/>
    <x v="0"/>
    <x v="0"/>
  </r>
  <r>
    <x v="7"/>
    <x v="12"/>
    <x v="0"/>
    <x v="7"/>
    <x v="11"/>
    <x v="38"/>
    <x v="108"/>
    <x v="109"/>
    <x v="3"/>
    <x v="79"/>
    <x v="78"/>
    <x v="0"/>
    <x v="0"/>
    <x v="37"/>
    <x v="0"/>
    <x v="0"/>
    <x v="0"/>
    <x v="3"/>
    <x v="0"/>
    <x v="69"/>
    <x v="0"/>
    <x v="0"/>
    <x v="0"/>
    <x v="1"/>
    <x v="2"/>
    <x v="0"/>
    <x v="0"/>
    <x v="77"/>
    <x v="0"/>
    <x v="0"/>
    <x v="6"/>
    <x v="8"/>
    <x v="6"/>
    <x v="6"/>
    <x v="6"/>
    <x v="7"/>
    <x v="0"/>
    <x v="11"/>
    <x v="0"/>
    <x v="0"/>
    <x v="1"/>
    <x v="2"/>
    <x v="0"/>
    <x v="68"/>
    <x v="0"/>
    <x v="72"/>
    <x v="47"/>
    <x v="52"/>
    <x v="0"/>
    <x v="50"/>
    <x v="3"/>
    <x v="0"/>
    <x v="78"/>
    <x v="0"/>
    <x v="78"/>
    <x v="6"/>
    <x v="6"/>
    <x v="6"/>
    <x v="7"/>
    <x v="6"/>
    <x v="8"/>
    <x v="0"/>
    <x v="12"/>
    <x v="0"/>
    <x v="0"/>
    <x v="0"/>
    <x v="0"/>
    <x v="0"/>
    <x v="0"/>
    <x v="29"/>
    <x v="2"/>
    <x v="0"/>
    <x v="0"/>
  </r>
  <r>
    <x v="22"/>
    <x v="12"/>
    <x v="0"/>
    <x v="24"/>
    <x v="7"/>
    <x v="34"/>
    <x v="109"/>
    <x v="110"/>
    <x v="0"/>
    <x v="80"/>
    <x v="79"/>
    <x v="0"/>
    <x v="0"/>
    <x v="50"/>
    <x v="0"/>
    <x v="0"/>
    <x v="0"/>
    <x v="3"/>
    <x v="0"/>
    <x v="70"/>
    <x v="0"/>
    <x v="21"/>
    <x v="0"/>
    <x v="0"/>
    <x v="0"/>
    <x v="0"/>
    <x v="0"/>
    <x v="78"/>
    <x v="0"/>
    <x v="0"/>
    <x v="2"/>
    <x v="4"/>
    <x v="2"/>
    <x v="2"/>
    <x v="2"/>
    <x v="3"/>
    <x v="0"/>
    <x v="7"/>
    <x v="0"/>
    <x v="0"/>
    <x v="0"/>
    <x v="0"/>
    <x v="0"/>
    <x v="69"/>
    <x v="0"/>
    <x v="73"/>
    <x v="48"/>
    <x v="53"/>
    <x v="0"/>
    <x v="0"/>
    <x v="3"/>
    <x v="0"/>
    <x v="79"/>
    <x v="0"/>
    <x v="79"/>
    <x v="2"/>
    <x v="2"/>
    <x v="2"/>
    <x v="5"/>
    <x v="2"/>
    <x v="4"/>
    <x v="0"/>
    <x v="13"/>
    <x v="0"/>
    <x v="0"/>
    <x v="0"/>
    <x v="0"/>
    <x v="0"/>
    <x v="0"/>
    <x v="30"/>
    <x v="2"/>
    <x v="0"/>
    <x v="0"/>
  </r>
  <r>
    <x v="22"/>
    <x v="12"/>
    <x v="0"/>
    <x v="24"/>
    <x v="7"/>
    <x v="39"/>
    <x v="110"/>
    <x v="111"/>
    <x v="0"/>
    <x v="81"/>
    <x v="80"/>
    <x v="0"/>
    <x v="0"/>
    <x v="11"/>
    <x v="0"/>
    <x v="14"/>
    <x v="0"/>
    <x v="3"/>
    <x v="0"/>
    <x v="71"/>
    <x v="0"/>
    <x v="0"/>
    <x v="0"/>
    <x v="1"/>
    <x v="0"/>
    <x v="0"/>
    <x v="0"/>
    <x v="79"/>
    <x v="0"/>
    <x v="0"/>
    <x v="2"/>
    <x v="4"/>
    <x v="2"/>
    <x v="2"/>
    <x v="2"/>
    <x v="3"/>
    <x v="0"/>
    <x v="7"/>
    <x v="0"/>
    <x v="0"/>
    <x v="0"/>
    <x v="0"/>
    <x v="0"/>
    <x v="70"/>
    <x v="0"/>
    <x v="74"/>
    <x v="49"/>
    <x v="54"/>
    <x v="0"/>
    <x v="51"/>
    <x v="3"/>
    <x v="0"/>
    <x v="80"/>
    <x v="0"/>
    <x v="80"/>
    <x v="2"/>
    <x v="2"/>
    <x v="2"/>
    <x v="5"/>
    <x v="2"/>
    <x v="4"/>
    <x v="0"/>
    <x v="13"/>
    <x v="0"/>
    <x v="0"/>
    <x v="0"/>
    <x v="0"/>
    <x v="0"/>
    <x v="0"/>
    <x v="4"/>
    <x v="2"/>
    <x v="0"/>
    <x v="0"/>
  </r>
  <r>
    <x v="22"/>
    <x v="12"/>
    <x v="0"/>
    <x v="24"/>
    <x v="7"/>
    <x v="39"/>
    <x v="111"/>
    <x v="112"/>
    <x v="0"/>
    <x v="82"/>
    <x v="81"/>
    <x v="0"/>
    <x v="0"/>
    <x v="51"/>
    <x v="0"/>
    <x v="15"/>
    <x v="0"/>
    <x v="3"/>
    <x v="0"/>
    <x v="72"/>
    <x v="0"/>
    <x v="0"/>
    <x v="0"/>
    <x v="1"/>
    <x v="0"/>
    <x v="0"/>
    <x v="0"/>
    <x v="80"/>
    <x v="0"/>
    <x v="0"/>
    <x v="2"/>
    <x v="4"/>
    <x v="2"/>
    <x v="2"/>
    <x v="2"/>
    <x v="3"/>
    <x v="0"/>
    <x v="7"/>
    <x v="0"/>
    <x v="0"/>
    <x v="0"/>
    <x v="2"/>
    <x v="0"/>
    <x v="71"/>
    <x v="0"/>
    <x v="75"/>
    <x v="50"/>
    <x v="55"/>
    <x v="0"/>
    <x v="52"/>
    <x v="3"/>
    <x v="0"/>
    <x v="81"/>
    <x v="0"/>
    <x v="81"/>
    <x v="2"/>
    <x v="2"/>
    <x v="2"/>
    <x v="5"/>
    <x v="2"/>
    <x v="4"/>
    <x v="0"/>
    <x v="13"/>
    <x v="0"/>
    <x v="0"/>
    <x v="0"/>
    <x v="0"/>
    <x v="0"/>
    <x v="0"/>
    <x v="4"/>
    <x v="2"/>
    <x v="0"/>
    <x v="0"/>
  </r>
  <r>
    <x v="19"/>
    <x v="12"/>
    <x v="1"/>
    <x v="20"/>
    <x v="15"/>
    <x v="28"/>
    <x v="112"/>
    <x v="113"/>
    <x v="2"/>
    <x v="83"/>
    <x v="82"/>
    <x v="0"/>
    <x v="0"/>
    <x v="52"/>
    <x v="0"/>
    <x v="0"/>
    <x v="0"/>
    <x v="0"/>
    <x v="0"/>
    <x v="73"/>
    <x v="0"/>
    <x v="0"/>
    <x v="0"/>
    <x v="1"/>
    <x v="0"/>
    <x v="0"/>
    <x v="0"/>
    <x v="81"/>
    <x v="0"/>
    <x v="0"/>
    <x v="0"/>
    <x v="0"/>
    <x v="0"/>
    <x v="0"/>
    <x v="0"/>
    <x v="0"/>
    <x v="0"/>
    <x v="0"/>
    <x v="0"/>
    <x v="0"/>
    <x v="0"/>
    <x v="0"/>
    <x v="0"/>
    <x v="72"/>
    <x v="0"/>
    <x v="76"/>
    <x v="51"/>
    <x v="56"/>
    <x v="0"/>
    <x v="53"/>
    <x v="0"/>
    <x v="0"/>
    <x v="82"/>
    <x v="0"/>
    <x v="82"/>
    <x v="0"/>
    <x v="0"/>
    <x v="0"/>
    <x v="0"/>
    <x v="0"/>
    <x v="0"/>
    <x v="0"/>
    <x v="0"/>
    <x v="0"/>
    <x v="0"/>
    <x v="0"/>
    <x v="0"/>
    <x v="0"/>
    <x v="0"/>
    <x v="4"/>
    <x v="2"/>
    <x v="0"/>
    <x v="0"/>
  </r>
  <r>
    <x v="14"/>
    <x v="12"/>
    <x v="0"/>
    <x v="14"/>
    <x v="2"/>
    <x v="40"/>
    <x v="66"/>
    <x v="67"/>
    <x v="0"/>
    <x v="84"/>
    <x v="83"/>
    <x v="0"/>
    <x v="0"/>
    <x v="25"/>
    <x v="0"/>
    <x v="0"/>
    <x v="0"/>
    <x v="3"/>
    <x v="0"/>
    <x v="74"/>
    <x v="0"/>
    <x v="22"/>
    <x v="0"/>
    <x v="0"/>
    <x v="3"/>
    <x v="0"/>
    <x v="0"/>
    <x v="82"/>
    <x v="0"/>
    <x v="0"/>
    <x v="2"/>
    <x v="4"/>
    <x v="2"/>
    <x v="2"/>
    <x v="2"/>
    <x v="3"/>
    <x v="0"/>
    <x v="7"/>
    <x v="0"/>
    <x v="0"/>
    <x v="0"/>
    <x v="1"/>
    <x v="0"/>
    <x v="73"/>
    <x v="0"/>
    <x v="77"/>
    <x v="52"/>
    <x v="57"/>
    <x v="0"/>
    <x v="54"/>
    <x v="3"/>
    <x v="0"/>
    <x v="83"/>
    <x v="0"/>
    <x v="83"/>
    <x v="2"/>
    <x v="2"/>
    <x v="2"/>
    <x v="5"/>
    <x v="2"/>
    <x v="4"/>
    <x v="0"/>
    <x v="13"/>
    <x v="0"/>
    <x v="0"/>
    <x v="0"/>
    <x v="0"/>
    <x v="0"/>
    <x v="0"/>
    <x v="31"/>
    <x v="2"/>
    <x v="0"/>
    <x v="0"/>
  </r>
  <r>
    <x v="22"/>
    <x v="12"/>
    <x v="0"/>
    <x v="24"/>
    <x v="7"/>
    <x v="34"/>
    <x v="113"/>
    <x v="114"/>
    <x v="0"/>
    <x v="85"/>
    <x v="84"/>
    <x v="0"/>
    <x v="0"/>
    <x v="53"/>
    <x v="0"/>
    <x v="16"/>
    <x v="0"/>
    <x v="3"/>
    <x v="0"/>
    <x v="75"/>
    <x v="0"/>
    <x v="23"/>
    <x v="0"/>
    <x v="0"/>
    <x v="0"/>
    <x v="0"/>
    <x v="0"/>
    <x v="83"/>
    <x v="0"/>
    <x v="0"/>
    <x v="2"/>
    <x v="4"/>
    <x v="2"/>
    <x v="2"/>
    <x v="2"/>
    <x v="3"/>
    <x v="0"/>
    <x v="7"/>
    <x v="0"/>
    <x v="0"/>
    <x v="0"/>
    <x v="0"/>
    <x v="0"/>
    <x v="74"/>
    <x v="0"/>
    <x v="78"/>
    <x v="53"/>
    <x v="58"/>
    <x v="0"/>
    <x v="55"/>
    <x v="3"/>
    <x v="0"/>
    <x v="84"/>
    <x v="0"/>
    <x v="84"/>
    <x v="2"/>
    <x v="2"/>
    <x v="2"/>
    <x v="5"/>
    <x v="2"/>
    <x v="4"/>
    <x v="0"/>
    <x v="13"/>
    <x v="0"/>
    <x v="0"/>
    <x v="0"/>
    <x v="0"/>
    <x v="0"/>
    <x v="0"/>
    <x v="32"/>
    <x v="2"/>
    <x v="0"/>
    <x v="0"/>
  </r>
  <r>
    <x v="13"/>
    <x v="12"/>
    <x v="0"/>
    <x v="13"/>
    <x v="10"/>
    <x v="16"/>
    <x v="114"/>
    <x v="115"/>
    <x v="0"/>
    <x v="86"/>
    <x v="85"/>
    <x v="0"/>
    <x v="0"/>
    <x v="21"/>
    <x v="0"/>
    <x v="17"/>
    <x v="0"/>
    <x v="0"/>
    <x v="0"/>
    <x v="76"/>
    <x v="0"/>
    <x v="0"/>
    <x v="0"/>
    <x v="0"/>
    <x v="0"/>
    <x v="0"/>
    <x v="3"/>
    <x v="84"/>
    <x v="0"/>
    <x v="0"/>
    <x v="7"/>
    <x v="9"/>
    <x v="7"/>
    <x v="7"/>
    <x v="7"/>
    <x v="8"/>
    <x v="5"/>
    <x v="24"/>
    <x v="0"/>
    <x v="0"/>
    <x v="0"/>
    <x v="0"/>
    <x v="0"/>
    <x v="75"/>
    <x v="0"/>
    <x v="79"/>
    <x v="0"/>
    <x v="0"/>
    <x v="0"/>
    <x v="0"/>
    <x v="0"/>
    <x v="0"/>
    <x v="85"/>
    <x v="0"/>
    <x v="85"/>
    <x v="7"/>
    <x v="7"/>
    <x v="7"/>
    <x v="8"/>
    <x v="7"/>
    <x v="9"/>
    <x v="5"/>
    <x v="0"/>
    <x v="0"/>
    <x v="0"/>
    <x v="0"/>
    <x v="0"/>
    <x v="0"/>
    <x v="1"/>
    <x v="33"/>
    <x v="2"/>
    <x v="0"/>
    <x v="0"/>
  </r>
  <r>
    <x v="8"/>
    <x v="12"/>
    <x v="0"/>
    <x v="8"/>
    <x v="9"/>
    <x v="20"/>
    <x v="115"/>
    <x v="116"/>
    <x v="0"/>
    <x v="87"/>
    <x v="86"/>
    <x v="0"/>
    <x v="0"/>
    <x v="54"/>
    <x v="0"/>
    <x v="0"/>
    <x v="0"/>
    <x v="3"/>
    <x v="0"/>
    <x v="77"/>
    <x v="4"/>
    <x v="24"/>
    <x v="0"/>
    <x v="0"/>
    <x v="0"/>
    <x v="0"/>
    <x v="0"/>
    <x v="85"/>
    <x v="0"/>
    <x v="0"/>
    <x v="13"/>
    <x v="22"/>
    <x v="13"/>
    <x v="13"/>
    <x v="13"/>
    <x v="21"/>
    <x v="0"/>
    <x v="28"/>
    <x v="1"/>
    <x v="0"/>
    <x v="1"/>
    <x v="2"/>
    <x v="1"/>
    <x v="76"/>
    <x v="0"/>
    <x v="80"/>
    <x v="54"/>
    <x v="59"/>
    <x v="0"/>
    <x v="56"/>
    <x v="3"/>
    <x v="0"/>
    <x v="86"/>
    <x v="0"/>
    <x v="86"/>
    <x v="13"/>
    <x v="13"/>
    <x v="12"/>
    <x v="15"/>
    <x v="13"/>
    <x v="22"/>
    <x v="0"/>
    <x v="30"/>
    <x v="0"/>
    <x v="0"/>
    <x v="0"/>
    <x v="0"/>
    <x v="0"/>
    <x v="0"/>
    <x v="34"/>
    <x v="2"/>
    <x v="0"/>
    <x v="0"/>
  </r>
  <r>
    <x v="23"/>
    <x v="12"/>
    <x v="0"/>
    <x v="25"/>
    <x v="13"/>
    <x v="41"/>
    <x v="116"/>
    <x v="117"/>
    <x v="0"/>
    <x v="88"/>
    <x v="87"/>
    <x v="0"/>
    <x v="3"/>
    <x v="3"/>
    <x v="0"/>
    <x v="7"/>
    <x v="0"/>
    <x v="0"/>
    <x v="0"/>
    <x v="78"/>
    <x v="0"/>
    <x v="0"/>
    <x v="0"/>
    <x v="0"/>
    <x v="0"/>
    <x v="0"/>
    <x v="0"/>
    <x v="86"/>
    <x v="0"/>
    <x v="0"/>
    <x v="7"/>
    <x v="9"/>
    <x v="7"/>
    <x v="7"/>
    <x v="7"/>
    <x v="8"/>
    <x v="5"/>
    <x v="24"/>
    <x v="0"/>
    <x v="0"/>
    <x v="0"/>
    <x v="0"/>
    <x v="0"/>
    <x v="77"/>
    <x v="0"/>
    <x v="81"/>
    <x v="55"/>
    <x v="0"/>
    <x v="0"/>
    <x v="57"/>
    <x v="0"/>
    <x v="0"/>
    <x v="87"/>
    <x v="0"/>
    <x v="87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3"/>
    <x v="12"/>
    <x v="0"/>
    <x v="25"/>
    <x v="13"/>
    <x v="41"/>
    <x v="117"/>
    <x v="118"/>
    <x v="0"/>
    <x v="89"/>
    <x v="88"/>
    <x v="0"/>
    <x v="2"/>
    <x v="3"/>
    <x v="0"/>
    <x v="18"/>
    <x v="0"/>
    <x v="0"/>
    <x v="0"/>
    <x v="79"/>
    <x v="0"/>
    <x v="0"/>
    <x v="0"/>
    <x v="0"/>
    <x v="0"/>
    <x v="0"/>
    <x v="0"/>
    <x v="87"/>
    <x v="0"/>
    <x v="0"/>
    <x v="7"/>
    <x v="9"/>
    <x v="7"/>
    <x v="7"/>
    <x v="7"/>
    <x v="8"/>
    <x v="5"/>
    <x v="24"/>
    <x v="0"/>
    <x v="0"/>
    <x v="0"/>
    <x v="0"/>
    <x v="0"/>
    <x v="78"/>
    <x v="0"/>
    <x v="82"/>
    <x v="56"/>
    <x v="0"/>
    <x v="0"/>
    <x v="58"/>
    <x v="0"/>
    <x v="0"/>
    <x v="88"/>
    <x v="0"/>
    <x v="88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3"/>
    <x v="12"/>
    <x v="0"/>
    <x v="25"/>
    <x v="13"/>
    <x v="41"/>
    <x v="118"/>
    <x v="119"/>
    <x v="0"/>
    <x v="89"/>
    <x v="88"/>
    <x v="0"/>
    <x v="2"/>
    <x v="3"/>
    <x v="0"/>
    <x v="18"/>
    <x v="0"/>
    <x v="0"/>
    <x v="0"/>
    <x v="79"/>
    <x v="0"/>
    <x v="0"/>
    <x v="0"/>
    <x v="0"/>
    <x v="0"/>
    <x v="0"/>
    <x v="0"/>
    <x v="87"/>
    <x v="0"/>
    <x v="0"/>
    <x v="7"/>
    <x v="9"/>
    <x v="7"/>
    <x v="7"/>
    <x v="7"/>
    <x v="8"/>
    <x v="5"/>
    <x v="24"/>
    <x v="0"/>
    <x v="0"/>
    <x v="0"/>
    <x v="0"/>
    <x v="0"/>
    <x v="78"/>
    <x v="0"/>
    <x v="82"/>
    <x v="56"/>
    <x v="0"/>
    <x v="0"/>
    <x v="58"/>
    <x v="0"/>
    <x v="0"/>
    <x v="88"/>
    <x v="0"/>
    <x v="88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3"/>
    <x v="12"/>
    <x v="0"/>
    <x v="25"/>
    <x v="13"/>
    <x v="41"/>
    <x v="119"/>
    <x v="120"/>
    <x v="0"/>
    <x v="90"/>
    <x v="89"/>
    <x v="0"/>
    <x v="2"/>
    <x v="3"/>
    <x v="0"/>
    <x v="19"/>
    <x v="0"/>
    <x v="0"/>
    <x v="0"/>
    <x v="80"/>
    <x v="0"/>
    <x v="0"/>
    <x v="0"/>
    <x v="0"/>
    <x v="0"/>
    <x v="0"/>
    <x v="0"/>
    <x v="88"/>
    <x v="0"/>
    <x v="0"/>
    <x v="7"/>
    <x v="9"/>
    <x v="7"/>
    <x v="7"/>
    <x v="7"/>
    <x v="8"/>
    <x v="5"/>
    <x v="24"/>
    <x v="0"/>
    <x v="0"/>
    <x v="0"/>
    <x v="0"/>
    <x v="0"/>
    <x v="79"/>
    <x v="0"/>
    <x v="83"/>
    <x v="57"/>
    <x v="0"/>
    <x v="0"/>
    <x v="59"/>
    <x v="0"/>
    <x v="0"/>
    <x v="89"/>
    <x v="0"/>
    <x v="89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3"/>
    <x v="19"/>
    <x v="0"/>
    <x v="25"/>
    <x v="13"/>
    <x v="41"/>
    <x v="120"/>
    <x v="121"/>
    <x v="0"/>
    <x v="91"/>
    <x v="90"/>
    <x v="0"/>
    <x v="2"/>
    <x v="43"/>
    <x v="0"/>
    <x v="20"/>
    <x v="0"/>
    <x v="0"/>
    <x v="0"/>
    <x v="81"/>
    <x v="0"/>
    <x v="0"/>
    <x v="0"/>
    <x v="0"/>
    <x v="0"/>
    <x v="0"/>
    <x v="0"/>
    <x v="89"/>
    <x v="0"/>
    <x v="0"/>
    <x v="7"/>
    <x v="9"/>
    <x v="7"/>
    <x v="7"/>
    <x v="7"/>
    <x v="8"/>
    <x v="5"/>
    <x v="24"/>
    <x v="0"/>
    <x v="0"/>
    <x v="0"/>
    <x v="0"/>
    <x v="0"/>
    <x v="80"/>
    <x v="0"/>
    <x v="84"/>
    <x v="0"/>
    <x v="0"/>
    <x v="0"/>
    <x v="27"/>
    <x v="0"/>
    <x v="0"/>
    <x v="90"/>
    <x v="0"/>
    <x v="90"/>
    <x v="7"/>
    <x v="7"/>
    <x v="7"/>
    <x v="8"/>
    <x v="7"/>
    <x v="9"/>
    <x v="5"/>
    <x v="0"/>
    <x v="0"/>
    <x v="0"/>
    <x v="0"/>
    <x v="0"/>
    <x v="0"/>
    <x v="1"/>
    <x v="0"/>
    <x v="0"/>
    <x v="0"/>
    <x v="0"/>
  </r>
  <r>
    <x v="13"/>
    <x v="16"/>
    <x v="0"/>
    <x v="13"/>
    <x v="10"/>
    <x v="16"/>
    <x v="121"/>
    <x v="122"/>
    <x v="0"/>
    <x v="92"/>
    <x v="91"/>
    <x v="0"/>
    <x v="2"/>
    <x v="21"/>
    <x v="0"/>
    <x v="21"/>
    <x v="0"/>
    <x v="0"/>
    <x v="0"/>
    <x v="82"/>
    <x v="0"/>
    <x v="0"/>
    <x v="0"/>
    <x v="0"/>
    <x v="0"/>
    <x v="0"/>
    <x v="0"/>
    <x v="90"/>
    <x v="0"/>
    <x v="0"/>
    <x v="7"/>
    <x v="9"/>
    <x v="7"/>
    <x v="7"/>
    <x v="7"/>
    <x v="8"/>
    <x v="5"/>
    <x v="24"/>
    <x v="0"/>
    <x v="0"/>
    <x v="0"/>
    <x v="0"/>
    <x v="0"/>
    <x v="81"/>
    <x v="0"/>
    <x v="85"/>
    <x v="0"/>
    <x v="0"/>
    <x v="0"/>
    <x v="0"/>
    <x v="0"/>
    <x v="0"/>
    <x v="91"/>
    <x v="0"/>
    <x v="91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3"/>
    <x v="16"/>
    <x v="0"/>
    <x v="13"/>
    <x v="10"/>
    <x v="16"/>
    <x v="122"/>
    <x v="123"/>
    <x v="0"/>
    <x v="93"/>
    <x v="92"/>
    <x v="0"/>
    <x v="2"/>
    <x v="21"/>
    <x v="0"/>
    <x v="22"/>
    <x v="0"/>
    <x v="0"/>
    <x v="0"/>
    <x v="83"/>
    <x v="0"/>
    <x v="0"/>
    <x v="0"/>
    <x v="0"/>
    <x v="0"/>
    <x v="0"/>
    <x v="0"/>
    <x v="91"/>
    <x v="0"/>
    <x v="0"/>
    <x v="7"/>
    <x v="9"/>
    <x v="7"/>
    <x v="7"/>
    <x v="7"/>
    <x v="8"/>
    <x v="5"/>
    <x v="24"/>
    <x v="0"/>
    <x v="0"/>
    <x v="0"/>
    <x v="0"/>
    <x v="0"/>
    <x v="82"/>
    <x v="0"/>
    <x v="86"/>
    <x v="0"/>
    <x v="0"/>
    <x v="0"/>
    <x v="0"/>
    <x v="0"/>
    <x v="0"/>
    <x v="92"/>
    <x v="0"/>
    <x v="92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3"/>
    <x v="16"/>
    <x v="1"/>
    <x v="13"/>
    <x v="10"/>
    <x v="16"/>
    <x v="123"/>
    <x v="124"/>
    <x v="0"/>
    <x v="94"/>
    <x v="93"/>
    <x v="0"/>
    <x v="2"/>
    <x v="21"/>
    <x v="0"/>
    <x v="23"/>
    <x v="0"/>
    <x v="0"/>
    <x v="0"/>
    <x v="84"/>
    <x v="0"/>
    <x v="0"/>
    <x v="0"/>
    <x v="0"/>
    <x v="0"/>
    <x v="0"/>
    <x v="0"/>
    <x v="92"/>
    <x v="0"/>
    <x v="0"/>
    <x v="7"/>
    <x v="9"/>
    <x v="7"/>
    <x v="7"/>
    <x v="7"/>
    <x v="8"/>
    <x v="5"/>
    <x v="24"/>
    <x v="0"/>
    <x v="0"/>
    <x v="0"/>
    <x v="0"/>
    <x v="0"/>
    <x v="83"/>
    <x v="0"/>
    <x v="87"/>
    <x v="0"/>
    <x v="0"/>
    <x v="0"/>
    <x v="60"/>
    <x v="0"/>
    <x v="0"/>
    <x v="93"/>
    <x v="0"/>
    <x v="93"/>
    <x v="7"/>
    <x v="7"/>
    <x v="7"/>
    <x v="8"/>
    <x v="7"/>
    <x v="9"/>
    <x v="5"/>
    <x v="0"/>
    <x v="0"/>
    <x v="0"/>
    <x v="0"/>
    <x v="0"/>
    <x v="0"/>
    <x v="1"/>
    <x v="0"/>
    <x v="0"/>
    <x v="0"/>
    <x v="0"/>
  </r>
  <r>
    <x v="14"/>
    <x v="12"/>
    <x v="0"/>
    <x v="14"/>
    <x v="11"/>
    <x v="19"/>
    <x v="124"/>
    <x v="125"/>
    <x v="0"/>
    <x v="95"/>
    <x v="94"/>
    <x v="0"/>
    <x v="0"/>
    <x v="55"/>
    <x v="0"/>
    <x v="24"/>
    <x v="0"/>
    <x v="1"/>
    <x v="0"/>
    <x v="85"/>
    <x v="0"/>
    <x v="25"/>
    <x v="0"/>
    <x v="3"/>
    <x v="4"/>
    <x v="0"/>
    <x v="0"/>
    <x v="93"/>
    <x v="0"/>
    <x v="0"/>
    <x v="2"/>
    <x v="4"/>
    <x v="2"/>
    <x v="2"/>
    <x v="2"/>
    <x v="3"/>
    <x v="0"/>
    <x v="7"/>
    <x v="0"/>
    <x v="0"/>
    <x v="0"/>
    <x v="1"/>
    <x v="0"/>
    <x v="84"/>
    <x v="0"/>
    <x v="88"/>
    <x v="58"/>
    <x v="60"/>
    <x v="0"/>
    <x v="61"/>
    <x v="1"/>
    <x v="0"/>
    <x v="94"/>
    <x v="0"/>
    <x v="94"/>
    <x v="2"/>
    <x v="2"/>
    <x v="2"/>
    <x v="5"/>
    <x v="2"/>
    <x v="4"/>
    <x v="0"/>
    <x v="13"/>
    <x v="0"/>
    <x v="0"/>
    <x v="0"/>
    <x v="0"/>
    <x v="0"/>
    <x v="0"/>
    <x v="35"/>
    <x v="2"/>
    <x v="0"/>
    <x v="0"/>
  </r>
  <r>
    <x v="13"/>
    <x v="12"/>
    <x v="0"/>
    <x v="13"/>
    <x v="10"/>
    <x v="16"/>
    <x v="125"/>
    <x v="126"/>
    <x v="0"/>
    <x v="96"/>
    <x v="95"/>
    <x v="0"/>
    <x v="0"/>
    <x v="21"/>
    <x v="0"/>
    <x v="0"/>
    <x v="0"/>
    <x v="0"/>
    <x v="0"/>
    <x v="54"/>
    <x v="0"/>
    <x v="0"/>
    <x v="0"/>
    <x v="1"/>
    <x v="0"/>
    <x v="0"/>
    <x v="0"/>
    <x v="94"/>
    <x v="0"/>
    <x v="0"/>
    <x v="7"/>
    <x v="9"/>
    <x v="7"/>
    <x v="7"/>
    <x v="7"/>
    <x v="8"/>
    <x v="5"/>
    <x v="24"/>
    <x v="0"/>
    <x v="0"/>
    <x v="0"/>
    <x v="0"/>
    <x v="0"/>
    <x v="85"/>
    <x v="0"/>
    <x v="89"/>
    <x v="13"/>
    <x v="16"/>
    <x v="0"/>
    <x v="27"/>
    <x v="0"/>
    <x v="0"/>
    <x v="95"/>
    <x v="0"/>
    <x v="95"/>
    <x v="7"/>
    <x v="7"/>
    <x v="7"/>
    <x v="8"/>
    <x v="7"/>
    <x v="9"/>
    <x v="5"/>
    <x v="0"/>
    <x v="0"/>
    <x v="0"/>
    <x v="0"/>
    <x v="0"/>
    <x v="0"/>
    <x v="1"/>
    <x v="4"/>
    <x v="2"/>
    <x v="0"/>
    <x v="0"/>
  </r>
  <r>
    <x v="13"/>
    <x v="12"/>
    <x v="0"/>
    <x v="13"/>
    <x v="10"/>
    <x v="16"/>
    <x v="126"/>
    <x v="127"/>
    <x v="0"/>
    <x v="97"/>
    <x v="96"/>
    <x v="0"/>
    <x v="0"/>
    <x v="21"/>
    <x v="0"/>
    <x v="9"/>
    <x v="0"/>
    <x v="0"/>
    <x v="0"/>
    <x v="53"/>
    <x v="0"/>
    <x v="0"/>
    <x v="0"/>
    <x v="0"/>
    <x v="0"/>
    <x v="0"/>
    <x v="0"/>
    <x v="95"/>
    <x v="0"/>
    <x v="0"/>
    <x v="7"/>
    <x v="9"/>
    <x v="7"/>
    <x v="7"/>
    <x v="7"/>
    <x v="8"/>
    <x v="5"/>
    <x v="24"/>
    <x v="0"/>
    <x v="0"/>
    <x v="0"/>
    <x v="0"/>
    <x v="0"/>
    <x v="86"/>
    <x v="0"/>
    <x v="90"/>
    <x v="13"/>
    <x v="16"/>
    <x v="0"/>
    <x v="27"/>
    <x v="0"/>
    <x v="0"/>
    <x v="96"/>
    <x v="0"/>
    <x v="9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3"/>
    <x v="16"/>
    <x v="0"/>
    <x v="13"/>
    <x v="10"/>
    <x v="16"/>
    <x v="127"/>
    <x v="128"/>
    <x v="0"/>
    <x v="98"/>
    <x v="97"/>
    <x v="0"/>
    <x v="0"/>
    <x v="21"/>
    <x v="0"/>
    <x v="25"/>
    <x v="0"/>
    <x v="0"/>
    <x v="0"/>
    <x v="86"/>
    <x v="0"/>
    <x v="0"/>
    <x v="0"/>
    <x v="0"/>
    <x v="0"/>
    <x v="0"/>
    <x v="4"/>
    <x v="96"/>
    <x v="0"/>
    <x v="0"/>
    <x v="7"/>
    <x v="9"/>
    <x v="7"/>
    <x v="7"/>
    <x v="7"/>
    <x v="8"/>
    <x v="5"/>
    <x v="24"/>
    <x v="0"/>
    <x v="0"/>
    <x v="0"/>
    <x v="0"/>
    <x v="0"/>
    <x v="87"/>
    <x v="0"/>
    <x v="91"/>
    <x v="0"/>
    <x v="0"/>
    <x v="0"/>
    <x v="0"/>
    <x v="0"/>
    <x v="0"/>
    <x v="97"/>
    <x v="0"/>
    <x v="97"/>
    <x v="7"/>
    <x v="7"/>
    <x v="7"/>
    <x v="8"/>
    <x v="7"/>
    <x v="9"/>
    <x v="5"/>
    <x v="0"/>
    <x v="0"/>
    <x v="0"/>
    <x v="0"/>
    <x v="0"/>
    <x v="0"/>
    <x v="1"/>
    <x v="36"/>
    <x v="2"/>
    <x v="0"/>
    <x v="0"/>
  </r>
  <r>
    <x v="10"/>
    <x v="16"/>
    <x v="0"/>
    <x v="10"/>
    <x v="10"/>
    <x v="16"/>
    <x v="128"/>
    <x v="129"/>
    <x v="0"/>
    <x v="60"/>
    <x v="26"/>
    <x v="0"/>
    <x v="3"/>
    <x v="21"/>
    <x v="0"/>
    <x v="0"/>
    <x v="0"/>
    <x v="0"/>
    <x v="0"/>
    <x v="54"/>
    <x v="0"/>
    <x v="0"/>
    <x v="0"/>
    <x v="0"/>
    <x v="0"/>
    <x v="0"/>
    <x v="0"/>
    <x v="58"/>
    <x v="0"/>
    <x v="0"/>
    <x v="7"/>
    <x v="9"/>
    <x v="7"/>
    <x v="7"/>
    <x v="7"/>
    <x v="8"/>
    <x v="5"/>
    <x v="24"/>
    <x v="0"/>
    <x v="0"/>
    <x v="0"/>
    <x v="0"/>
    <x v="0"/>
    <x v="53"/>
    <x v="0"/>
    <x v="92"/>
    <x v="13"/>
    <x v="16"/>
    <x v="0"/>
    <x v="27"/>
    <x v="0"/>
    <x v="0"/>
    <x v="26"/>
    <x v="0"/>
    <x v="26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13"/>
    <x v="12"/>
    <x v="0"/>
    <x v="13"/>
    <x v="10"/>
    <x v="16"/>
    <x v="129"/>
    <x v="130"/>
    <x v="0"/>
    <x v="99"/>
    <x v="98"/>
    <x v="0"/>
    <x v="0"/>
    <x v="21"/>
    <x v="0"/>
    <x v="26"/>
    <x v="0"/>
    <x v="0"/>
    <x v="0"/>
    <x v="87"/>
    <x v="0"/>
    <x v="0"/>
    <x v="0"/>
    <x v="0"/>
    <x v="0"/>
    <x v="0"/>
    <x v="0"/>
    <x v="97"/>
    <x v="0"/>
    <x v="0"/>
    <x v="7"/>
    <x v="9"/>
    <x v="7"/>
    <x v="7"/>
    <x v="7"/>
    <x v="8"/>
    <x v="5"/>
    <x v="24"/>
    <x v="0"/>
    <x v="0"/>
    <x v="0"/>
    <x v="0"/>
    <x v="0"/>
    <x v="88"/>
    <x v="0"/>
    <x v="93"/>
    <x v="13"/>
    <x v="16"/>
    <x v="0"/>
    <x v="0"/>
    <x v="0"/>
    <x v="0"/>
    <x v="98"/>
    <x v="0"/>
    <x v="98"/>
    <x v="7"/>
    <x v="7"/>
    <x v="7"/>
    <x v="8"/>
    <x v="7"/>
    <x v="9"/>
    <x v="5"/>
    <x v="0"/>
    <x v="0"/>
    <x v="0"/>
    <x v="0"/>
    <x v="0"/>
    <x v="0"/>
    <x v="1"/>
    <x v="0"/>
    <x v="2"/>
    <x v="0"/>
    <x v="0"/>
  </r>
  <r>
    <x v="2"/>
    <x v="20"/>
    <x v="1"/>
    <x v="2"/>
    <x v="2"/>
    <x v="2"/>
    <x v="44"/>
    <x v="45"/>
    <x v="2"/>
    <x v="2"/>
    <x v="2"/>
    <x v="0"/>
    <x v="0"/>
    <x v="2"/>
    <x v="0"/>
    <x v="1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23"/>
    <x v="13"/>
    <x v="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20"/>
    <x v="1"/>
    <x v="22"/>
    <x v="17"/>
    <x v="0"/>
    <x v="64"/>
    <x v="65"/>
    <x v="2"/>
    <x v="2"/>
    <x v="2"/>
    <x v="0"/>
    <x v="0"/>
    <x v="2"/>
    <x v="0"/>
    <x v="0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94"/>
    <x v="0"/>
    <x v="61"/>
    <x v="0"/>
    <x v="1"/>
    <x v="0"/>
    <x v="0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2"/>
    <x v="21"/>
    <x v="0"/>
    <x v="26"/>
    <x v="2"/>
    <x v="2"/>
    <x v="130"/>
    <x v="131"/>
    <x v="2"/>
    <x v="100"/>
    <x v="99"/>
    <x v="0"/>
    <x v="0"/>
    <x v="56"/>
    <x v="0"/>
    <x v="1"/>
    <x v="0"/>
    <x v="3"/>
    <x v="0"/>
    <x v="88"/>
    <x v="0"/>
    <x v="0"/>
    <x v="0"/>
    <x v="0"/>
    <x v="0"/>
    <x v="0"/>
    <x v="0"/>
    <x v="98"/>
    <x v="0"/>
    <x v="0"/>
    <x v="2"/>
    <x v="4"/>
    <x v="2"/>
    <x v="2"/>
    <x v="2"/>
    <x v="3"/>
    <x v="0"/>
    <x v="7"/>
    <x v="0"/>
    <x v="0"/>
    <x v="0"/>
    <x v="0"/>
    <x v="0"/>
    <x v="89"/>
    <x v="0"/>
    <x v="95"/>
    <x v="0"/>
    <x v="0"/>
    <x v="0"/>
    <x v="0"/>
    <x v="3"/>
    <x v="0"/>
    <x v="99"/>
    <x v="0"/>
    <x v="99"/>
    <x v="2"/>
    <x v="2"/>
    <x v="2"/>
    <x v="5"/>
    <x v="2"/>
    <x v="4"/>
    <x v="0"/>
    <x v="13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B3:L28" firstHeaderRow="0" firstDataRow="1" firstDataCol="1"/>
  <pivotFields count="73">
    <pivotField axis="axisRow" compact="0" multipleItemSelectionAllowed="1" showAll="0">
      <items count="70">
        <item m="1" x="38"/>
        <item m="1" x="32"/>
        <item m="1" x="57"/>
        <item m="1" x="65"/>
        <item m="1" x="37"/>
        <item m="1" x="39"/>
        <item m="1" x="35"/>
        <item m="1" x="43"/>
        <item m="1" x="44"/>
        <item m="1" x="33"/>
        <item m="1" x="42"/>
        <item m="1" x="45"/>
        <item m="1" x="36"/>
        <item x="17"/>
        <item x="12"/>
        <item x="18"/>
        <item x="23"/>
        <item x="20"/>
        <item m="1" x="25"/>
        <item m="1" x="29"/>
        <item m="1" x="28"/>
        <item x="6"/>
        <item x="9"/>
        <item x="2"/>
        <item m="1" x="48"/>
        <item m="1" x="50"/>
        <item x="5"/>
        <item x="0"/>
        <item x="4"/>
        <item m="1" x="30"/>
        <item m="1" x="67"/>
        <item x="3"/>
        <item x="1"/>
        <item x="22"/>
        <item x="8"/>
        <item x="10"/>
        <item x="16"/>
        <item m="1" x="26"/>
        <item x="15"/>
        <item m="1" x="27"/>
        <item m="1" x="24"/>
        <item x="11"/>
        <item m="1" x="68"/>
        <item m="1" x="58"/>
        <item m="1" x="40"/>
        <item m="1" x="34"/>
        <item m="1" x="41"/>
        <item m="1" x="31"/>
        <item m="1" x="46"/>
        <item m="1" x="51"/>
        <item m="1" x="52"/>
        <item m="1" x="47"/>
        <item m="1" x="62"/>
        <item m="1" x="66"/>
        <item m="1" x="64"/>
        <item m="1" x="63"/>
        <item m="1" x="55"/>
        <item m="1" x="54"/>
        <item m="1" x="56"/>
        <item x="14"/>
        <item m="1" x="59"/>
        <item m="1" x="60"/>
        <item m="1" x="61"/>
        <item x="7"/>
        <item x="19"/>
        <item x="13"/>
        <item m="1" x="49"/>
        <item x="21"/>
        <item m="1" x="53"/>
        <item t="default"/>
      </items>
    </pivotField>
    <pivotField compact="0" showAll="0">
      <items count="36">
        <item x="2"/>
        <item x="5"/>
        <item x="1"/>
        <item x="8"/>
        <item x="20"/>
        <item x="0"/>
        <item x="14"/>
        <item x="4"/>
        <item x="10"/>
        <item x="6"/>
        <item x="18"/>
        <item m="1" x="32"/>
        <item x="21"/>
        <item x="3"/>
        <item m="1" x="33"/>
        <item x="16"/>
        <item x="12"/>
        <item x="11"/>
        <item x="15"/>
        <item m="1" x="34"/>
        <item x="17"/>
        <item x="13"/>
        <item m="1" x="29"/>
        <item m="1" x="31"/>
        <item m="1" x="30"/>
        <item m="1" x="24"/>
        <item x="9"/>
        <item m="1" x="28"/>
        <item m="1" x="25"/>
        <item m="1" x="23"/>
        <item m="1" x="27"/>
        <item m="1" x="26"/>
        <item x="7"/>
        <item m="1" x="22"/>
        <item x="1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4"/>
        <item x="0"/>
        <item x="19"/>
        <item x="22"/>
        <item x="17"/>
        <item x="6"/>
        <item x="9"/>
        <item x="5"/>
        <item x="2"/>
        <item x="3"/>
        <item x="1"/>
        <item x="26"/>
        <item x="12"/>
        <item x="8"/>
        <item x="21"/>
        <item x="24"/>
        <item x="7"/>
        <item x="14"/>
        <item x="20"/>
        <item x="13"/>
        <item x="23"/>
        <item x="11"/>
        <item x="16"/>
        <item x="18"/>
        <item x="15"/>
        <item x="10"/>
        <item x="25"/>
        <item t="default"/>
      </items>
    </pivotField>
    <pivotField compact="0" showAll="0">
      <items count="19">
        <item x="1"/>
        <item x="17"/>
        <item x="2"/>
        <item x="3"/>
        <item x="4"/>
        <item x="12"/>
        <item x="6"/>
        <item x="10"/>
        <item x="16"/>
        <item x="15"/>
        <item x="7"/>
        <item x="11"/>
        <item x="5"/>
        <item x="0"/>
        <item x="13"/>
        <item x="9"/>
        <item x="8"/>
        <item x="14"/>
        <item t="default"/>
      </items>
    </pivotField>
    <pivotField compact="0" showAll="0">
      <items count="43">
        <item x="4"/>
        <item x="8"/>
        <item x="6"/>
        <item x="2"/>
        <item x="0"/>
        <item x="9"/>
        <item x="5"/>
        <item x="3"/>
        <item x="10"/>
        <item x="16"/>
        <item x="1"/>
        <item x="25"/>
        <item x="17"/>
        <item x="32"/>
        <item x="29"/>
        <item x="31"/>
        <item x="36"/>
        <item x="34"/>
        <item x="37"/>
        <item x="15"/>
        <item x="7"/>
        <item x="12"/>
        <item x="11"/>
        <item x="13"/>
        <item x="14"/>
        <item x="18"/>
        <item x="19"/>
        <item x="20"/>
        <item x="21"/>
        <item x="22"/>
        <item x="24"/>
        <item x="28"/>
        <item x="33"/>
        <item x="35"/>
        <item x="38"/>
        <item x="39"/>
        <item x="40"/>
        <item x="26"/>
        <item x="27"/>
        <item x="30"/>
        <item x="23"/>
        <item x="41"/>
        <item t="default"/>
      </items>
    </pivotField>
    <pivotField compact="0" showAll="0"/>
    <pivotField dataField="1" compact="0" showAll="0">
      <items count="133">
        <item x="15"/>
        <item x="47"/>
        <item x="3"/>
        <item x="0"/>
        <item x="58"/>
        <item x="62"/>
        <item x="65"/>
        <item x="63"/>
        <item x="25"/>
        <item x="16"/>
        <item x="13"/>
        <item x="56"/>
        <item x="46"/>
        <item x="101"/>
        <item x="17"/>
        <item x="28"/>
        <item x="23"/>
        <item x="18"/>
        <item x="12"/>
        <item x="5"/>
        <item x="14"/>
        <item x="19"/>
        <item x="26"/>
        <item x="27"/>
        <item x="11"/>
        <item x="1"/>
        <item x="49"/>
        <item x="2"/>
        <item x="45"/>
        <item x="50"/>
        <item x="131"/>
        <item x="64"/>
        <item x="51"/>
        <item x="20"/>
        <item x="8"/>
        <item x="57"/>
        <item x="22"/>
        <item x="10"/>
        <item x="29"/>
        <item x="21"/>
        <item x="31"/>
        <item x="42"/>
        <item x="30"/>
        <item x="43"/>
        <item x="38"/>
        <item x="39"/>
        <item x="33"/>
        <item x="41"/>
        <item x="40"/>
        <item x="44"/>
        <item x="61"/>
        <item x="59"/>
        <item x="60"/>
        <item x="66"/>
        <item x="68"/>
        <item x="70"/>
        <item x="79"/>
        <item x="107"/>
        <item x="102"/>
        <item x="103"/>
        <item x="105"/>
        <item x="116"/>
        <item x="104"/>
        <item x="125"/>
        <item x="109"/>
        <item x="106"/>
        <item x="113"/>
        <item x="67"/>
        <item x="108"/>
        <item x="114"/>
        <item x="112"/>
        <item x="111"/>
        <item x="127"/>
        <item x="126"/>
        <item x="130"/>
        <item x="115"/>
        <item x="71"/>
        <item x="74"/>
        <item x="81"/>
        <item x="72"/>
        <item x="73"/>
        <item x="52"/>
        <item x="75"/>
        <item x="76"/>
        <item x="77"/>
        <item x="128"/>
        <item x="34"/>
        <item x="88"/>
        <item x="90"/>
        <item x="110"/>
        <item x="32"/>
        <item x="4"/>
        <item x="35"/>
        <item x="36"/>
        <item x="7"/>
        <item x="9"/>
        <item x="24"/>
        <item x="48"/>
        <item x="6"/>
        <item x="37"/>
        <item x="53"/>
        <item x="54"/>
        <item x="55"/>
        <item x="89"/>
        <item x="80"/>
        <item x="84"/>
        <item x="78"/>
        <item x="69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17"/>
        <item x="129"/>
        <item x="82"/>
        <item x="83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dataField="1" compact="0" numFmtId="176" showAll="0">
      <items count="102">
        <item x="2"/>
        <item x="0"/>
        <item x="44"/>
        <item x="67"/>
        <item x="1"/>
        <item x="4"/>
        <item x="5"/>
        <item x="41"/>
        <item x="42"/>
        <item x="77"/>
        <item x="70"/>
        <item x="60"/>
        <item x="3"/>
        <item x="6"/>
        <item x="10"/>
        <item x="26"/>
        <item x="34"/>
        <item x="36"/>
        <item x="37"/>
        <item x="43"/>
        <item x="45"/>
        <item x="49"/>
        <item x="54"/>
        <item x="69"/>
        <item x="100"/>
        <item x="96"/>
        <item x="97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8"/>
        <item x="39"/>
        <item x="40"/>
        <item x="46"/>
        <item x="47"/>
        <item x="48"/>
        <item x="50"/>
        <item x="51"/>
        <item x="52"/>
        <item x="53"/>
        <item x="55"/>
        <item x="57"/>
        <item x="58"/>
        <item x="59"/>
        <item x="61"/>
        <item x="62"/>
        <item x="63"/>
        <item x="64"/>
        <item x="65"/>
        <item x="66"/>
        <item x="68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8"/>
        <item x="99"/>
        <item x="21"/>
        <item x="27"/>
        <item x="35"/>
        <item x="91"/>
        <item x="56"/>
        <item t="default"/>
      </items>
    </pivotField>
    <pivotField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showAll="0"/>
    <pivotField compact="0" showAll="0"/>
    <pivotField compact="0" showAll="0">
      <items count="58">
        <item x="39"/>
        <item x="38"/>
        <item x="2"/>
        <item x="0"/>
        <item x="34"/>
        <item x="8"/>
        <item x="33"/>
        <item x="30"/>
        <item x="29"/>
        <item x="12"/>
        <item x="10"/>
        <item x="40"/>
        <item x="13"/>
        <item x="7"/>
        <item x="9"/>
        <item x="17"/>
        <item x="27"/>
        <item x="3"/>
        <item x="14"/>
        <item x="16"/>
        <item x="22"/>
        <item x="37"/>
        <item x="42"/>
        <item x="45"/>
        <item x="52"/>
        <item x="49"/>
        <item x="50"/>
        <item x="21"/>
        <item x="25"/>
        <item x="24"/>
        <item x="28"/>
        <item x="43"/>
        <item x="15"/>
        <item x="11"/>
        <item x="46"/>
        <item x="1"/>
        <item x="4"/>
        <item x="5"/>
        <item x="6"/>
        <item x="56"/>
        <item x="31"/>
        <item x="32"/>
        <item x="48"/>
        <item x="23"/>
        <item x="26"/>
        <item x="35"/>
        <item x="41"/>
        <item x="47"/>
        <item x="51"/>
        <item x="53"/>
        <item x="54"/>
        <item x="55"/>
        <item x="18"/>
        <item x="19"/>
        <item x="20"/>
        <item x="36"/>
        <item x="44"/>
        <item t="default"/>
      </items>
    </pivotField>
    <pivotField compact="0" showAll="0">
      <items count="8">
        <item x="1"/>
        <item x="0"/>
        <item x="3"/>
        <item x="2"/>
        <item x="4"/>
        <item x="5"/>
        <item x="6"/>
        <item t="default"/>
      </items>
    </pivotField>
    <pivotField dataField="1" compact="0" showAll="0">
      <items count="28">
        <item x="0"/>
        <item x="1"/>
        <item x="9"/>
        <item x="1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0"/>
        <item t="default"/>
      </items>
    </pivotField>
    <pivotField compact="0" showAll="0"/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6" showAll="0">
      <items count="90">
        <item x="2"/>
        <item x="0"/>
        <item x="40"/>
        <item x="10"/>
        <item x="59"/>
        <item x="62"/>
        <item x="58"/>
        <item x="37"/>
        <item x="1"/>
        <item x="4"/>
        <item x="5"/>
        <item x="38"/>
        <item x="67"/>
        <item x="39"/>
        <item x="54"/>
        <item x="3"/>
        <item x="6"/>
        <item x="7"/>
        <item x="8"/>
        <item x="9"/>
        <item x="11"/>
        <item x="12"/>
        <item x="14"/>
        <item x="15"/>
        <item x="17"/>
        <item x="18"/>
        <item x="21"/>
        <item x="25"/>
        <item x="27"/>
        <item x="28"/>
        <item x="30"/>
        <item x="31"/>
        <item x="34"/>
        <item x="35"/>
        <item x="41"/>
        <item x="42"/>
        <item x="45"/>
        <item x="48"/>
        <item x="49"/>
        <item x="50"/>
        <item x="61"/>
        <item x="63"/>
        <item x="64"/>
        <item x="65"/>
        <item x="68"/>
        <item x="69"/>
        <item x="74"/>
        <item x="77"/>
        <item x="53"/>
        <item x="88"/>
        <item x="66"/>
        <item x="13"/>
        <item x="16"/>
        <item x="19"/>
        <item x="20"/>
        <item x="22"/>
        <item x="23"/>
        <item x="24"/>
        <item x="26"/>
        <item x="29"/>
        <item x="32"/>
        <item x="33"/>
        <item x="36"/>
        <item x="43"/>
        <item x="44"/>
        <item x="46"/>
        <item x="47"/>
        <item x="51"/>
        <item x="52"/>
        <item x="55"/>
        <item x="56"/>
        <item x="57"/>
        <item x="60"/>
        <item x="70"/>
        <item x="71"/>
        <item x="72"/>
        <item x="73"/>
        <item x="75"/>
        <item x="76"/>
        <item x="78"/>
        <item x="79"/>
        <item x="80"/>
        <item x="82"/>
        <item x="83"/>
        <item x="84"/>
        <item x="85"/>
        <item x="86"/>
        <item x="87"/>
        <item x="8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6" showAll="0">
      <items count="100">
        <item x="2"/>
        <item x="0"/>
        <item x="42"/>
        <item x="65"/>
        <item x="39"/>
        <item x="10"/>
        <item x="1"/>
        <item x="4"/>
        <item x="5"/>
        <item x="40"/>
        <item x="75"/>
        <item x="68"/>
        <item x="58"/>
        <item x="3"/>
        <item x="6"/>
        <item x="11"/>
        <item x="26"/>
        <item x="33"/>
        <item x="35"/>
        <item x="36"/>
        <item x="41"/>
        <item x="43"/>
        <item x="44"/>
        <item x="47"/>
        <item x="52"/>
        <item x="67"/>
        <item x="98"/>
        <item x="94"/>
        <item x="9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7"/>
        <item x="38"/>
        <item x="45"/>
        <item x="46"/>
        <item x="48"/>
        <item x="49"/>
        <item x="50"/>
        <item x="51"/>
        <item x="53"/>
        <item x="55"/>
        <item x="56"/>
        <item x="57"/>
        <item x="59"/>
        <item x="60"/>
        <item x="61"/>
        <item x="62"/>
        <item x="63"/>
        <item x="64"/>
        <item x="66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6"/>
        <item x="97"/>
        <item x="21"/>
        <item x="27"/>
        <item x="34"/>
        <item x="89"/>
        <item x="5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5">
        <item x="0"/>
        <item x="1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t="default"/>
      </items>
    </pivotField>
    <pivotField compact="0" showAll="0">
      <items count="24">
        <item x="0"/>
        <item x="15"/>
        <item x="6"/>
        <item x="11"/>
        <item x="5"/>
        <item x="2"/>
        <item x="7"/>
        <item x="8"/>
        <item x="16"/>
        <item x="17"/>
        <item x="9"/>
        <item x="21"/>
        <item x="22"/>
        <item x="3"/>
        <item x="4"/>
        <item x="20"/>
        <item x="18"/>
        <item x="19"/>
        <item x="1"/>
        <item x="10"/>
        <item x="12"/>
        <item x="13"/>
        <item x="14"/>
        <item t="default"/>
      </items>
    </pivotField>
    <pivotField compact="0" showAll="0">
      <items count="15">
        <item x="0"/>
        <item x="1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t="default"/>
      </items>
    </pivotField>
    <pivotField compact="0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0"/>
        <item x="11"/>
        <item t="default"/>
      </items>
    </pivotField>
    <pivotField compact="0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showAll="0">
      <items count="23">
        <item x="0"/>
        <item x="14"/>
        <item x="5"/>
        <item x="10"/>
        <item x="1"/>
        <item x="4"/>
        <item x="6"/>
        <item x="7"/>
        <item x="15"/>
        <item x="16"/>
        <item x="8"/>
        <item x="20"/>
        <item x="21"/>
        <item x="2"/>
        <item x="3"/>
        <item x="19"/>
        <item x="17"/>
        <item x="18"/>
        <item x="11"/>
        <item x="9"/>
        <item x="12"/>
        <item x="13"/>
        <item t="default"/>
      </items>
    </pivotField>
    <pivotField compact="0" showAll="0">
      <items count="9">
        <item x="0"/>
        <item x="2"/>
        <item x="3"/>
        <item x="5"/>
        <item x="7"/>
        <item x="1"/>
        <item x="4"/>
        <item x="6"/>
        <item t="default"/>
      </items>
    </pivotField>
    <pivotField dataField="1" compact="0" numFmtId="176" showAll="0">
      <items count="30">
        <item x="0"/>
        <item x="15"/>
        <item x="6"/>
        <item x="8"/>
        <item x="10"/>
        <item x="26"/>
        <item x="11"/>
        <item x="24"/>
        <item x="27"/>
        <item x="28"/>
        <item x="12"/>
        <item x="13"/>
        <item x="16"/>
        <item x="1"/>
        <item x="2"/>
        <item x="3"/>
        <item x="4"/>
        <item x="5"/>
        <item x="7"/>
        <item x="9"/>
        <item x="14"/>
        <item x="20"/>
        <item x="21"/>
        <item x="25"/>
        <item x="17"/>
        <item x="18"/>
        <item x="19"/>
        <item x="22"/>
        <item x="2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6" showAll="0">
      <items count="91">
        <item x="2"/>
        <item x="0"/>
        <item x="37"/>
        <item x="22"/>
        <item x="4"/>
        <item x="1"/>
        <item x="66"/>
        <item x="59"/>
        <item x="53"/>
        <item x="3"/>
        <item x="5"/>
        <item x="9"/>
        <item x="10"/>
        <item x="24"/>
        <item x="33"/>
        <item x="34"/>
        <item x="38"/>
        <item x="42"/>
        <item x="47"/>
        <item x="58"/>
        <item x="89"/>
        <item x="85"/>
        <item x="86"/>
        <item x="6"/>
        <item x="7"/>
        <item x="8"/>
        <item x="11"/>
        <item x="12"/>
        <item x="13"/>
        <item x="14"/>
        <item x="15"/>
        <item x="16"/>
        <item x="17"/>
        <item x="18"/>
        <item x="19"/>
        <item x="20"/>
        <item x="23"/>
        <item x="26"/>
        <item x="27"/>
        <item x="28"/>
        <item x="29"/>
        <item x="30"/>
        <item x="31"/>
        <item x="35"/>
        <item x="36"/>
        <item x="39"/>
        <item x="40"/>
        <item x="41"/>
        <item x="43"/>
        <item x="44"/>
        <item x="45"/>
        <item x="46"/>
        <item x="48"/>
        <item x="50"/>
        <item x="51"/>
        <item x="52"/>
        <item x="54"/>
        <item x="55"/>
        <item x="56"/>
        <item x="57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7"/>
        <item x="88"/>
        <item x="21"/>
        <item x="25"/>
        <item x="32"/>
        <item x="80"/>
        <item x="49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22"/>
        <item x="26"/>
        <item x="34"/>
        <item x="84"/>
        <item x="52"/>
        <item t="default"/>
      </items>
    </pivotField>
    <pivotField compact="0" showAll="0">
      <items count="60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5"/>
        <item x="22"/>
        <item x="32"/>
        <item x="34"/>
        <item t="default"/>
      </items>
    </pivotField>
    <pivotField compact="0" showAll="0">
      <items count="63">
        <item x="0"/>
        <item x="16"/>
        <item x="9"/>
        <item x="15"/>
        <item x="35"/>
        <item x="39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3">
        <item x="0"/>
        <item x="1"/>
        <item x="27"/>
        <item x="5"/>
        <item x="42"/>
        <item x="3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5"/>
        <item x="26"/>
        <item x="28"/>
        <item x="29"/>
        <item x="30"/>
        <item x="31"/>
        <item x="32"/>
        <item x="33"/>
        <item x="34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8"/>
        <item x="24"/>
        <item x="36"/>
        <item t="default"/>
      </items>
    </pivotField>
    <pivotField compact="0" showAll="0"/>
    <pivotField compact="0" showAll="0"/>
    <pivotField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showAll="0">
      <items count="2">
        <item x="0"/>
        <item t="default"/>
      </items>
    </pivotField>
    <pivotField dataField="1"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numFmtId="176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numFmtId="176" showAll="0">
      <items count="15">
        <item x="0"/>
        <item x="7"/>
        <item x="3"/>
        <item x="4"/>
        <item x="5"/>
        <item x="6"/>
        <item x="8"/>
        <item x="9"/>
        <item x="13"/>
        <item x="12"/>
        <item x="1"/>
        <item x="2"/>
        <item x="11"/>
        <item x="10"/>
        <item t="default"/>
      </items>
    </pivotField>
    <pivotField compact="0" numFmtId="176" showAll="0">
      <items count="14">
        <item x="0"/>
        <item x="4"/>
        <item x="9"/>
        <item x="3"/>
        <item x="5"/>
        <item x="6"/>
        <item x="7"/>
        <item x="11"/>
        <item x="12"/>
        <item x="8"/>
        <item x="1"/>
        <item x="2"/>
        <item x="10"/>
        <item t="default"/>
      </items>
    </pivotField>
    <pivotField compact="0" numFmtId="176" showAll="0">
      <items count="17">
        <item x="0"/>
        <item x="3"/>
        <item x="8"/>
        <item x="10"/>
        <item x="4"/>
        <item x="13"/>
        <item x="6"/>
        <item x="7"/>
        <item x="9"/>
        <item x="14"/>
        <item x="15"/>
        <item x="1"/>
        <item x="2"/>
        <item x="5"/>
        <item x="12"/>
        <item x="11"/>
        <item t="default"/>
      </items>
    </pivotField>
    <pivotField compact="0" numFmtId="176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numFmtId="176" showAll="0">
      <items count="24">
        <item x="0"/>
        <item x="15"/>
        <item x="6"/>
        <item x="11"/>
        <item x="2"/>
        <item x="5"/>
        <item x="7"/>
        <item x="8"/>
        <item x="16"/>
        <item x="17"/>
        <item x="9"/>
        <item x="21"/>
        <item x="22"/>
        <item x="3"/>
        <item x="4"/>
        <item x="20"/>
        <item x="18"/>
        <item x="19"/>
        <item x="1"/>
        <item x="12"/>
        <item x="10"/>
        <item x="13"/>
        <item x="14"/>
        <item t="default"/>
      </items>
    </pivotField>
    <pivotField compact="0" numFmtId="176" showAll="0">
      <items count="9">
        <item x="0"/>
        <item x="2"/>
        <item x="3"/>
        <item x="5"/>
        <item x="7"/>
        <item x="1"/>
        <item x="4"/>
        <item x="6"/>
        <item t="default"/>
      </items>
    </pivotField>
    <pivotField dataField="1" compact="0" numFmtId="176" showAll="0">
      <items count="32">
        <item x="0"/>
        <item x="6"/>
        <item x="8"/>
        <item x="28"/>
        <item x="11"/>
        <item x="12"/>
        <item x="14"/>
        <item x="15"/>
        <item x="17"/>
        <item x="29"/>
        <item x="30"/>
        <item x="18"/>
        <item x="1"/>
        <item x="2"/>
        <item x="3"/>
        <item x="4"/>
        <item x="5"/>
        <item x="7"/>
        <item x="9"/>
        <item x="10"/>
        <item x="13"/>
        <item x="26"/>
        <item x="16"/>
        <item x="22"/>
        <item x="23"/>
        <item x="27"/>
        <item x="19"/>
        <item x="20"/>
        <item x="24"/>
        <item x="25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6" showAll="0">
      <items count="38">
        <item x="0"/>
        <item x="19"/>
        <item x="33"/>
        <item x="1"/>
        <item x="2"/>
        <item x="3"/>
        <item x="4"/>
        <item x="5"/>
        <item x="6"/>
        <item x="9"/>
        <item x="10"/>
        <item x="11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7"/>
        <item x="8"/>
        <item x="12"/>
        <item x="17"/>
        <item t="default"/>
      </items>
    </pivotField>
    <pivotField dataField="1" compact="0" showAll="0">
      <items count="4">
        <item x="2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0"/>
  </rowFields>
  <rowItems count="25">
    <i>
      <x v="13"/>
    </i>
    <i>
      <x v="14"/>
    </i>
    <i>
      <x v="15"/>
    </i>
    <i>
      <x v="16"/>
    </i>
    <i>
      <x v="17"/>
    </i>
    <i>
      <x v="21"/>
    </i>
    <i>
      <x v="22"/>
    </i>
    <i>
      <x v="23"/>
    </i>
    <i>
      <x v="26"/>
    </i>
    <i>
      <x v="27"/>
    </i>
    <i>
      <x v="28"/>
    </i>
    <i>
      <x v="31"/>
    </i>
    <i>
      <x v="32"/>
    </i>
    <i>
      <x v="33"/>
    </i>
    <i>
      <x v="34"/>
    </i>
    <i>
      <x v="35"/>
    </i>
    <i>
      <x v="36"/>
    </i>
    <i>
      <x v="38"/>
    </i>
    <i>
      <x v="41"/>
    </i>
    <i>
      <x v="59"/>
    </i>
    <i>
      <x v="63"/>
    </i>
    <i>
      <x v="64"/>
    </i>
    <i>
      <x v="65"/>
    </i>
    <i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求和项:企业人力成本总计" fld="9" baseField="0" baseItem="0"/>
    <dataField name="计数项:姓名" fld="7" subtotal="count" baseField="0" baseItem="0"/>
    <dataField name="求和项:实收工资" fld="54" baseField="0" baseItem="0"/>
    <dataField name="求和项:当月个人所得税" fld="49" baseField="0" baseItem="0"/>
    <dataField name="求和项:公司法定福利合计" fld="62" baseField="0" baseItem="0"/>
    <dataField name="求和项:个人福利合计" fld="37" baseField="0" baseItem="0"/>
    <dataField name="求和项:绩效&amp;佣金合计" fld="69" baseField="0" baseItem="0"/>
    <dataField name="求和项:考勤调整" fld="15" baseField="0" baseItem="0"/>
    <dataField name="求和项:商保金额" fld="17" baseField="0" baseItem="0"/>
    <dataField name="求和项:预提福利费" fld="70" baseField="0" baseItem="0"/>
  </dataField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K26" firstHeaderRow="0" firstDataRow="1" firstDataCol="1"/>
  <pivotFields count="73">
    <pivotField compact="0" showAll="0">
      <items count="70">
        <item m="1" x="24"/>
        <item x="16"/>
        <item m="1" x="52"/>
        <item x="6"/>
        <item x="9"/>
        <item x="12"/>
        <item x="17"/>
        <item x="20"/>
        <item x="18"/>
        <item x="1"/>
        <item x="3"/>
        <item m="1" x="29"/>
        <item m="1" x="37"/>
        <item x="4"/>
        <item x="5"/>
        <item x="0"/>
        <item m="1" x="34"/>
        <item m="1" x="33"/>
        <item m="1" x="31"/>
        <item m="1" x="48"/>
        <item m="1" x="47"/>
        <item m="1" x="43"/>
        <item m="1" x="62"/>
        <item m="1" x="35"/>
        <item x="2"/>
        <item m="1" x="40"/>
        <item m="1" x="30"/>
        <item m="1" x="45"/>
        <item m="1" x="66"/>
        <item m="1" x="38"/>
        <item m="1" x="53"/>
        <item x="11"/>
        <item m="1" x="64"/>
        <item m="1" x="46"/>
        <item m="1" x="41"/>
        <item m="1" x="50"/>
        <item m="1" x="51"/>
        <item m="1" x="63"/>
        <item m="1" x="39"/>
        <item m="1" x="28"/>
        <item m="1" x="49"/>
        <item x="19"/>
        <item x="13"/>
        <item x="14"/>
        <item x="21"/>
        <item x="7"/>
        <item m="1" x="67"/>
        <item m="1" x="32"/>
        <item m="1" x="57"/>
        <item m="1" x="55"/>
        <item m="1" x="27"/>
        <item m="1" x="60"/>
        <item m="1" x="56"/>
        <item x="22"/>
        <item m="1" x="54"/>
        <item x="8"/>
        <item m="1" x="58"/>
        <item m="1" x="61"/>
        <item m="1" x="59"/>
        <item m="1" x="68"/>
        <item m="1" x="36"/>
        <item m="1" x="65"/>
        <item m="1" x="42"/>
        <item m="1" x="44"/>
        <item m="1" x="26"/>
        <item x="15"/>
        <item m="1" x="25"/>
        <item x="23"/>
        <item x="10"/>
        <item t="default"/>
      </items>
    </pivotField>
    <pivotField axis="axisRow" compact="0" showAll="0">
      <items count="36">
        <item x="8"/>
        <item x="10"/>
        <item x="19"/>
        <item m="1" x="26"/>
        <item x="5"/>
        <item x="4"/>
        <item m="1" x="25"/>
        <item x="2"/>
        <item x="3"/>
        <item m="1" x="22"/>
        <item x="1"/>
        <item x="20"/>
        <item x="0"/>
        <item x="14"/>
        <item x="21"/>
        <item m="1" x="33"/>
        <item x="11"/>
        <item m="1" x="29"/>
        <item x="6"/>
        <item x="12"/>
        <item m="1" x="34"/>
        <item x="16"/>
        <item x="17"/>
        <item m="1" x="24"/>
        <item x="9"/>
        <item x="18"/>
        <item m="1" x="30"/>
        <item m="1" x="32"/>
        <item x="15"/>
        <item m="1" x="31"/>
        <item x="13"/>
        <item m="1" x="28"/>
        <item m="1" x="23"/>
        <item m="1" x="27"/>
        <item x="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8">
        <item x="4"/>
        <item x="0"/>
        <item x="19"/>
        <item x="22"/>
        <item x="17"/>
        <item x="6"/>
        <item x="9"/>
        <item x="5"/>
        <item x="2"/>
        <item x="3"/>
        <item x="1"/>
        <item x="26"/>
        <item x="12"/>
        <item x="8"/>
        <item x="21"/>
        <item x="24"/>
        <item x="7"/>
        <item x="14"/>
        <item x="20"/>
        <item x="13"/>
        <item x="23"/>
        <item x="11"/>
        <item x="16"/>
        <item x="18"/>
        <item x="15"/>
        <item x="10"/>
        <item x="25"/>
        <item t="default"/>
      </items>
    </pivotField>
    <pivotField compact="0" showAll="0">
      <items count="19">
        <item x="1"/>
        <item x="17"/>
        <item x="2"/>
        <item x="3"/>
        <item x="4"/>
        <item x="12"/>
        <item x="6"/>
        <item x="10"/>
        <item x="16"/>
        <item x="15"/>
        <item x="7"/>
        <item x="11"/>
        <item x="5"/>
        <item x="0"/>
        <item x="13"/>
        <item x="9"/>
        <item x="8"/>
        <item x="14"/>
        <item t="default"/>
      </items>
    </pivotField>
    <pivotField compact="0" showAll="0">
      <items count="43">
        <item x="4"/>
        <item x="8"/>
        <item x="6"/>
        <item x="2"/>
        <item x="0"/>
        <item x="9"/>
        <item x="5"/>
        <item x="3"/>
        <item x="10"/>
        <item x="16"/>
        <item x="1"/>
        <item x="25"/>
        <item x="17"/>
        <item x="32"/>
        <item x="29"/>
        <item x="31"/>
        <item x="36"/>
        <item x="34"/>
        <item x="37"/>
        <item x="15"/>
        <item x="7"/>
        <item x="12"/>
        <item x="11"/>
        <item x="13"/>
        <item x="14"/>
        <item x="18"/>
        <item x="19"/>
        <item x="20"/>
        <item x="21"/>
        <item x="22"/>
        <item x="24"/>
        <item x="28"/>
        <item x="33"/>
        <item x="35"/>
        <item x="38"/>
        <item x="39"/>
        <item x="40"/>
        <item x="26"/>
        <item x="27"/>
        <item x="30"/>
        <item x="23"/>
        <item x="41"/>
        <item t="default"/>
      </items>
    </pivotField>
    <pivotField compact="0" showAll="0"/>
    <pivotField dataField="1" compact="0" showAll="0">
      <items count="133">
        <item x="15"/>
        <item x="47"/>
        <item x="3"/>
        <item x="0"/>
        <item x="58"/>
        <item x="62"/>
        <item x="65"/>
        <item x="63"/>
        <item x="25"/>
        <item x="16"/>
        <item x="13"/>
        <item x="56"/>
        <item x="46"/>
        <item x="101"/>
        <item x="17"/>
        <item x="28"/>
        <item x="23"/>
        <item x="18"/>
        <item x="12"/>
        <item x="5"/>
        <item x="14"/>
        <item x="19"/>
        <item x="26"/>
        <item x="27"/>
        <item x="11"/>
        <item x="1"/>
        <item x="49"/>
        <item x="2"/>
        <item x="45"/>
        <item x="50"/>
        <item x="131"/>
        <item x="64"/>
        <item x="51"/>
        <item x="20"/>
        <item x="8"/>
        <item x="57"/>
        <item x="22"/>
        <item x="10"/>
        <item x="29"/>
        <item x="21"/>
        <item x="31"/>
        <item x="42"/>
        <item x="30"/>
        <item x="43"/>
        <item x="38"/>
        <item x="39"/>
        <item x="33"/>
        <item x="41"/>
        <item x="40"/>
        <item x="44"/>
        <item x="61"/>
        <item x="59"/>
        <item x="60"/>
        <item x="66"/>
        <item x="68"/>
        <item x="70"/>
        <item x="79"/>
        <item x="107"/>
        <item x="102"/>
        <item x="103"/>
        <item x="105"/>
        <item x="116"/>
        <item x="104"/>
        <item x="125"/>
        <item x="109"/>
        <item x="106"/>
        <item x="113"/>
        <item x="67"/>
        <item x="108"/>
        <item x="114"/>
        <item x="112"/>
        <item x="111"/>
        <item x="127"/>
        <item x="126"/>
        <item x="130"/>
        <item x="115"/>
        <item x="71"/>
        <item x="74"/>
        <item x="81"/>
        <item x="72"/>
        <item x="73"/>
        <item x="52"/>
        <item x="75"/>
        <item x="76"/>
        <item x="77"/>
        <item x="128"/>
        <item x="34"/>
        <item x="88"/>
        <item x="90"/>
        <item x="110"/>
        <item x="32"/>
        <item x="4"/>
        <item x="35"/>
        <item x="36"/>
        <item x="7"/>
        <item x="9"/>
        <item x="24"/>
        <item x="48"/>
        <item x="6"/>
        <item x="37"/>
        <item x="53"/>
        <item x="54"/>
        <item x="55"/>
        <item x="89"/>
        <item x="80"/>
        <item x="84"/>
        <item x="78"/>
        <item x="69"/>
        <item x="85"/>
        <item x="86"/>
        <item x="87"/>
        <item x="91"/>
        <item x="92"/>
        <item x="93"/>
        <item x="94"/>
        <item x="95"/>
        <item x="96"/>
        <item x="97"/>
        <item x="98"/>
        <item x="99"/>
        <item x="100"/>
        <item x="117"/>
        <item x="129"/>
        <item x="82"/>
        <item x="83"/>
        <item x="118"/>
        <item x="119"/>
        <item x="120"/>
        <item x="121"/>
        <item x="122"/>
        <item x="123"/>
        <item x="124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dataField="1" compact="0" numFmtId="176" showAll="0">
      <items count="102">
        <item x="2"/>
        <item x="0"/>
        <item x="44"/>
        <item x="67"/>
        <item x="1"/>
        <item x="4"/>
        <item x="5"/>
        <item x="41"/>
        <item x="42"/>
        <item x="77"/>
        <item x="70"/>
        <item x="60"/>
        <item x="3"/>
        <item x="6"/>
        <item x="10"/>
        <item x="26"/>
        <item x="34"/>
        <item x="36"/>
        <item x="37"/>
        <item x="43"/>
        <item x="45"/>
        <item x="49"/>
        <item x="54"/>
        <item x="69"/>
        <item x="100"/>
        <item x="96"/>
        <item x="97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8"/>
        <item x="39"/>
        <item x="40"/>
        <item x="46"/>
        <item x="47"/>
        <item x="48"/>
        <item x="50"/>
        <item x="51"/>
        <item x="52"/>
        <item x="53"/>
        <item x="55"/>
        <item x="57"/>
        <item x="58"/>
        <item x="59"/>
        <item x="61"/>
        <item x="62"/>
        <item x="63"/>
        <item x="64"/>
        <item x="65"/>
        <item x="66"/>
        <item x="68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8"/>
        <item x="99"/>
        <item x="21"/>
        <item x="27"/>
        <item x="35"/>
        <item x="91"/>
        <item x="56"/>
        <item t="default"/>
      </items>
    </pivotField>
    <pivotField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showAll="0"/>
    <pivotField compact="0" showAll="0"/>
    <pivotField compact="0" showAll="0">
      <items count="58">
        <item x="39"/>
        <item x="38"/>
        <item x="2"/>
        <item x="0"/>
        <item x="34"/>
        <item x="8"/>
        <item x="33"/>
        <item x="30"/>
        <item x="29"/>
        <item x="12"/>
        <item x="10"/>
        <item x="40"/>
        <item x="13"/>
        <item x="7"/>
        <item x="9"/>
        <item x="17"/>
        <item x="27"/>
        <item x="3"/>
        <item x="14"/>
        <item x="16"/>
        <item x="22"/>
        <item x="37"/>
        <item x="42"/>
        <item x="45"/>
        <item x="52"/>
        <item x="49"/>
        <item x="50"/>
        <item x="21"/>
        <item x="25"/>
        <item x="24"/>
        <item x="28"/>
        <item x="43"/>
        <item x="15"/>
        <item x="11"/>
        <item x="46"/>
        <item x="1"/>
        <item x="4"/>
        <item x="5"/>
        <item x="6"/>
        <item x="56"/>
        <item x="31"/>
        <item x="32"/>
        <item x="48"/>
        <item x="23"/>
        <item x="26"/>
        <item x="35"/>
        <item x="41"/>
        <item x="47"/>
        <item x="51"/>
        <item x="53"/>
        <item x="54"/>
        <item x="55"/>
        <item x="18"/>
        <item x="19"/>
        <item x="20"/>
        <item x="36"/>
        <item x="44"/>
        <item t="default"/>
      </items>
    </pivotField>
    <pivotField compact="0" showAll="0">
      <items count="8">
        <item x="1"/>
        <item x="0"/>
        <item x="3"/>
        <item x="2"/>
        <item x="4"/>
        <item x="5"/>
        <item x="6"/>
        <item t="default"/>
      </items>
    </pivotField>
    <pivotField dataField="1" compact="0" showAll="0">
      <items count="28">
        <item x="0"/>
        <item x="1"/>
        <item x="9"/>
        <item x="13"/>
        <item x="2"/>
        <item x="3"/>
        <item x="4"/>
        <item x="5"/>
        <item x="6"/>
        <item x="7"/>
        <item x="8"/>
        <item x="10"/>
        <item x="11"/>
        <item x="12"/>
        <item x="14"/>
        <item x="15"/>
        <item x="16"/>
        <item x="17"/>
        <item x="18"/>
        <item x="19"/>
        <item x="21"/>
        <item x="22"/>
        <item x="23"/>
        <item x="24"/>
        <item x="25"/>
        <item x="26"/>
        <item x="20"/>
        <item t="default"/>
      </items>
    </pivotField>
    <pivotField compact="0" showAll="0"/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numFmtId="176" showAll="0">
      <items count="90">
        <item x="2"/>
        <item x="0"/>
        <item x="40"/>
        <item x="10"/>
        <item x="59"/>
        <item x="62"/>
        <item x="58"/>
        <item x="37"/>
        <item x="1"/>
        <item x="4"/>
        <item x="5"/>
        <item x="38"/>
        <item x="67"/>
        <item x="39"/>
        <item x="54"/>
        <item x="3"/>
        <item x="6"/>
        <item x="7"/>
        <item x="8"/>
        <item x="9"/>
        <item x="11"/>
        <item x="12"/>
        <item x="14"/>
        <item x="15"/>
        <item x="17"/>
        <item x="18"/>
        <item x="21"/>
        <item x="25"/>
        <item x="27"/>
        <item x="28"/>
        <item x="30"/>
        <item x="31"/>
        <item x="34"/>
        <item x="35"/>
        <item x="41"/>
        <item x="42"/>
        <item x="45"/>
        <item x="48"/>
        <item x="49"/>
        <item x="50"/>
        <item x="61"/>
        <item x="63"/>
        <item x="64"/>
        <item x="65"/>
        <item x="68"/>
        <item x="69"/>
        <item x="74"/>
        <item x="77"/>
        <item x="53"/>
        <item x="88"/>
        <item x="66"/>
        <item x="13"/>
        <item x="16"/>
        <item x="19"/>
        <item x="20"/>
        <item x="22"/>
        <item x="23"/>
        <item x="24"/>
        <item x="26"/>
        <item x="29"/>
        <item x="32"/>
        <item x="33"/>
        <item x="36"/>
        <item x="43"/>
        <item x="44"/>
        <item x="46"/>
        <item x="47"/>
        <item x="51"/>
        <item x="52"/>
        <item x="55"/>
        <item x="56"/>
        <item x="57"/>
        <item x="60"/>
        <item x="70"/>
        <item x="71"/>
        <item x="72"/>
        <item x="73"/>
        <item x="75"/>
        <item x="76"/>
        <item x="78"/>
        <item x="79"/>
        <item x="80"/>
        <item x="82"/>
        <item x="83"/>
        <item x="84"/>
        <item x="85"/>
        <item x="86"/>
        <item x="87"/>
        <item x="8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6" showAll="0">
      <items count="100">
        <item x="2"/>
        <item x="0"/>
        <item x="42"/>
        <item x="65"/>
        <item x="39"/>
        <item x="10"/>
        <item x="1"/>
        <item x="4"/>
        <item x="5"/>
        <item x="40"/>
        <item x="75"/>
        <item x="68"/>
        <item x="58"/>
        <item x="3"/>
        <item x="6"/>
        <item x="11"/>
        <item x="26"/>
        <item x="33"/>
        <item x="35"/>
        <item x="36"/>
        <item x="41"/>
        <item x="43"/>
        <item x="44"/>
        <item x="47"/>
        <item x="52"/>
        <item x="67"/>
        <item x="98"/>
        <item x="94"/>
        <item x="95"/>
        <item x="7"/>
        <item x="8"/>
        <item x="9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7"/>
        <item x="38"/>
        <item x="45"/>
        <item x="46"/>
        <item x="48"/>
        <item x="49"/>
        <item x="50"/>
        <item x="51"/>
        <item x="53"/>
        <item x="55"/>
        <item x="56"/>
        <item x="57"/>
        <item x="59"/>
        <item x="60"/>
        <item x="61"/>
        <item x="62"/>
        <item x="63"/>
        <item x="64"/>
        <item x="66"/>
        <item x="69"/>
        <item x="70"/>
        <item x="71"/>
        <item x="72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90"/>
        <item x="91"/>
        <item x="92"/>
        <item x="93"/>
        <item x="96"/>
        <item x="97"/>
        <item x="21"/>
        <item x="27"/>
        <item x="34"/>
        <item x="89"/>
        <item x="54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15">
        <item x="0"/>
        <item x="1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t="default"/>
      </items>
    </pivotField>
    <pivotField compact="0" showAll="0">
      <items count="24">
        <item x="0"/>
        <item x="15"/>
        <item x="6"/>
        <item x="11"/>
        <item x="5"/>
        <item x="2"/>
        <item x="7"/>
        <item x="8"/>
        <item x="16"/>
        <item x="17"/>
        <item x="9"/>
        <item x="21"/>
        <item x="22"/>
        <item x="3"/>
        <item x="4"/>
        <item x="20"/>
        <item x="18"/>
        <item x="19"/>
        <item x="1"/>
        <item x="10"/>
        <item x="12"/>
        <item x="13"/>
        <item x="14"/>
        <item t="default"/>
      </items>
    </pivotField>
    <pivotField compact="0" showAll="0">
      <items count="15">
        <item x="0"/>
        <item x="1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t="default"/>
      </items>
    </pivotField>
    <pivotField compact="0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0"/>
        <item x="11"/>
        <item t="default"/>
      </items>
    </pivotField>
    <pivotField compact="0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showAll="0">
      <items count="23">
        <item x="0"/>
        <item x="14"/>
        <item x="5"/>
        <item x="10"/>
        <item x="1"/>
        <item x="4"/>
        <item x="6"/>
        <item x="7"/>
        <item x="15"/>
        <item x="16"/>
        <item x="8"/>
        <item x="20"/>
        <item x="21"/>
        <item x="2"/>
        <item x="3"/>
        <item x="19"/>
        <item x="17"/>
        <item x="18"/>
        <item x="11"/>
        <item x="9"/>
        <item x="12"/>
        <item x="13"/>
        <item t="default"/>
      </items>
    </pivotField>
    <pivotField compact="0" showAll="0">
      <items count="9">
        <item x="0"/>
        <item x="2"/>
        <item x="3"/>
        <item x="5"/>
        <item x="7"/>
        <item x="1"/>
        <item x="4"/>
        <item x="6"/>
        <item t="default"/>
      </items>
    </pivotField>
    <pivotField dataField="1" compact="0" numFmtId="176" showAll="0">
      <items count="30">
        <item x="0"/>
        <item x="15"/>
        <item x="6"/>
        <item x="8"/>
        <item x="10"/>
        <item x="26"/>
        <item x="11"/>
        <item x="24"/>
        <item x="27"/>
        <item x="28"/>
        <item x="12"/>
        <item x="13"/>
        <item x="16"/>
        <item x="1"/>
        <item x="2"/>
        <item x="3"/>
        <item x="4"/>
        <item x="5"/>
        <item x="7"/>
        <item x="9"/>
        <item x="14"/>
        <item x="20"/>
        <item x="21"/>
        <item x="25"/>
        <item x="17"/>
        <item x="18"/>
        <item x="19"/>
        <item x="22"/>
        <item x="2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6" showAll="0">
      <items count="91">
        <item x="2"/>
        <item x="0"/>
        <item x="37"/>
        <item x="22"/>
        <item x="4"/>
        <item x="1"/>
        <item x="66"/>
        <item x="59"/>
        <item x="53"/>
        <item x="3"/>
        <item x="5"/>
        <item x="9"/>
        <item x="10"/>
        <item x="24"/>
        <item x="33"/>
        <item x="34"/>
        <item x="38"/>
        <item x="42"/>
        <item x="47"/>
        <item x="58"/>
        <item x="89"/>
        <item x="85"/>
        <item x="86"/>
        <item x="6"/>
        <item x="7"/>
        <item x="8"/>
        <item x="11"/>
        <item x="12"/>
        <item x="13"/>
        <item x="14"/>
        <item x="15"/>
        <item x="16"/>
        <item x="17"/>
        <item x="18"/>
        <item x="19"/>
        <item x="20"/>
        <item x="23"/>
        <item x="26"/>
        <item x="27"/>
        <item x="28"/>
        <item x="29"/>
        <item x="30"/>
        <item x="31"/>
        <item x="35"/>
        <item x="36"/>
        <item x="39"/>
        <item x="40"/>
        <item x="41"/>
        <item x="43"/>
        <item x="44"/>
        <item x="45"/>
        <item x="46"/>
        <item x="48"/>
        <item x="50"/>
        <item x="51"/>
        <item x="52"/>
        <item x="54"/>
        <item x="55"/>
        <item x="56"/>
        <item x="57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7"/>
        <item x="88"/>
        <item x="21"/>
        <item x="25"/>
        <item x="32"/>
        <item x="80"/>
        <item x="49"/>
        <item t="default"/>
      </items>
    </pivotField>
    <pivotField compact="0" showAll="0">
      <items count="2">
        <item x="0"/>
        <item t="default"/>
      </items>
    </pivotField>
    <pivotField compact="0" showAll="0">
      <items count="97">
        <item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5"/>
        <item x="27"/>
        <item x="28"/>
        <item x="29"/>
        <item x="30"/>
        <item x="31"/>
        <item x="32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5"/>
        <item x="86"/>
        <item x="87"/>
        <item x="88"/>
        <item x="89"/>
        <item x="90"/>
        <item x="91"/>
        <item x="92"/>
        <item x="93"/>
        <item x="94"/>
        <item x="95"/>
        <item x="22"/>
        <item x="26"/>
        <item x="34"/>
        <item x="84"/>
        <item x="52"/>
        <item t="default"/>
      </items>
    </pivotField>
    <pivotField compact="0" showAll="0">
      <items count="60">
        <item x="0"/>
        <item x="1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6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3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5"/>
        <item x="22"/>
        <item x="32"/>
        <item x="34"/>
        <item t="default"/>
      </items>
    </pivotField>
    <pivotField compact="0" showAll="0">
      <items count="63">
        <item x="0"/>
        <item x="16"/>
        <item x="9"/>
        <item x="15"/>
        <item x="35"/>
        <item x="39"/>
        <item x="1"/>
        <item x="2"/>
        <item x="3"/>
        <item x="4"/>
        <item x="5"/>
        <item x="6"/>
        <item x="7"/>
        <item x="8"/>
        <item x="10"/>
        <item x="11"/>
        <item x="12"/>
        <item x="13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63">
        <item x="0"/>
        <item x="1"/>
        <item x="27"/>
        <item x="5"/>
        <item x="42"/>
        <item x="35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5"/>
        <item x="26"/>
        <item x="28"/>
        <item x="29"/>
        <item x="30"/>
        <item x="31"/>
        <item x="32"/>
        <item x="33"/>
        <item x="34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18"/>
        <item x="24"/>
        <item x="36"/>
        <item t="default"/>
      </items>
    </pivotField>
    <pivotField compact="0" showAll="0"/>
    <pivotField compact="0" showAll="0"/>
    <pivotField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showAll="0">
      <items count="2">
        <item x="0"/>
        <item t="default"/>
      </items>
    </pivotField>
    <pivotField dataField="1" compact="0" numFmtId="176" showAll="0">
      <items count="101">
        <item x="2"/>
        <item x="0"/>
        <item x="43"/>
        <item x="47"/>
        <item x="66"/>
        <item x="5"/>
        <item x="4"/>
        <item x="1"/>
        <item x="40"/>
        <item x="41"/>
        <item x="76"/>
        <item x="26"/>
        <item x="69"/>
        <item x="99"/>
        <item x="3"/>
        <item x="9"/>
        <item x="42"/>
        <item x="53"/>
        <item x="95"/>
        <item x="96"/>
        <item x="6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3"/>
        <item x="24"/>
        <item x="25"/>
        <item x="28"/>
        <item x="29"/>
        <item x="30"/>
        <item x="31"/>
        <item x="32"/>
        <item x="33"/>
        <item x="34"/>
        <item x="36"/>
        <item x="37"/>
        <item x="38"/>
        <item x="39"/>
        <item x="44"/>
        <item x="45"/>
        <item x="46"/>
        <item x="48"/>
        <item x="49"/>
        <item x="50"/>
        <item x="51"/>
        <item x="52"/>
        <item x="54"/>
        <item x="56"/>
        <item x="57"/>
        <item x="58"/>
        <item x="59"/>
        <item x="60"/>
        <item x="61"/>
        <item x="62"/>
        <item x="63"/>
        <item x="64"/>
        <item x="65"/>
        <item x="67"/>
        <item x="68"/>
        <item x="70"/>
        <item x="71"/>
        <item x="72"/>
        <item x="73"/>
        <item x="74"/>
        <item x="75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1"/>
        <item x="92"/>
        <item x="93"/>
        <item x="94"/>
        <item x="97"/>
        <item x="98"/>
        <item x="21"/>
        <item x="27"/>
        <item x="35"/>
        <item x="90"/>
        <item x="55"/>
        <item t="default"/>
      </items>
    </pivotField>
    <pivotField compact="0" numFmtId="176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numFmtId="176" showAll="0">
      <items count="15">
        <item x="0"/>
        <item x="7"/>
        <item x="3"/>
        <item x="4"/>
        <item x="5"/>
        <item x="6"/>
        <item x="8"/>
        <item x="9"/>
        <item x="13"/>
        <item x="12"/>
        <item x="1"/>
        <item x="2"/>
        <item x="11"/>
        <item x="10"/>
        <item t="default"/>
      </items>
    </pivotField>
    <pivotField compact="0" numFmtId="176" showAll="0">
      <items count="14">
        <item x="0"/>
        <item x="4"/>
        <item x="9"/>
        <item x="3"/>
        <item x="5"/>
        <item x="6"/>
        <item x="7"/>
        <item x="11"/>
        <item x="12"/>
        <item x="8"/>
        <item x="1"/>
        <item x="2"/>
        <item x="10"/>
        <item t="default"/>
      </items>
    </pivotField>
    <pivotField compact="0" numFmtId="176" showAll="0">
      <items count="17">
        <item x="0"/>
        <item x="3"/>
        <item x="8"/>
        <item x="10"/>
        <item x="4"/>
        <item x="13"/>
        <item x="6"/>
        <item x="7"/>
        <item x="9"/>
        <item x="14"/>
        <item x="15"/>
        <item x="1"/>
        <item x="2"/>
        <item x="5"/>
        <item x="12"/>
        <item x="11"/>
        <item t="default"/>
      </items>
    </pivotField>
    <pivotField compact="0" numFmtId="176" showAll="0">
      <items count="15">
        <item x="0"/>
        <item x="4"/>
        <item x="9"/>
        <item x="3"/>
        <item x="5"/>
        <item x="6"/>
        <item x="7"/>
        <item x="12"/>
        <item x="13"/>
        <item x="8"/>
        <item x="1"/>
        <item x="2"/>
        <item x="11"/>
        <item x="10"/>
        <item t="default"/>
      </items>
    </pivotField>
    <pivotField compact="0" numFmtId="176" showAll="0">
      <items count="24">
        <item x="0"/>
        <item x="15"/>
        <item x="6"/>
        <item x="11"/>
        <item x="2"/>
        <item x="5"/>
        <item x="7"/>
        <item x="8"/>
        <item x="16"/>
        <item x="17"/>
        <item x="9"/>
        <item x="21"/>
        <item x="22"/>
        <item x="3"/>
        <item x="4"/>
        <item x="20"/>
        <item x="18"/>
        <item x="19"/>
        <item x="1"/>
        <item x="12"/>
        <item x="10"/>
        <item x="13"/>
        <item x="14"/>
        <item t="default"/>
      </items>
    </pivotField>
    <pivotField compact="0" numFmtId="176" showAll="0">
      <items count="9">
        <item x="0"/>
        <item x="2"/>
        <item x="3"/>
        <item x="5"/>
        <item x="7"/>
        <item x="1"/>
        <item x="4"/>
        <item x="6"/>
        <item t="default"/>
      </items>
    </pivotField>
    <pivotField dataField="1" compact="0" numFmtId="176" showAll="0">
      <items count="32">
        <item x="0"/>
        <item x="6"/>
        <item x="8"/>
        <item x="28"/>
        <item x="11"/>
        <item x="12"/>
        <item x="14"/>
        <item x="15"/>
        <item x="17"/>
        <item x="29"/>
        <item x="30"/>
        <item x="18"/>
        <item x="1"/>
        <item x="2"/>
        <item x="3"/>
        <item x="4"/>
        <item x="5"/>
        <item x="7"/>
        <item x="9"/>
        <item x="10"/>
        <item x="13"/>
        <item x="26"/>
        <item x="16"/>
        <item x="22"/>
        <item x="23"/>
        <item x="27"/>
        <item x="19"/>
        <item x="20"/>
        <item x="24"/>
        <item x="25"/>
        <item x="2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176" showAll="0">
      <items count="38">
        <item x="0"/>
        <item x="19"/>
        <item x="33"/>
        <item x="1"/>
        <item x="2"/>
        <item x="3"/>
        <item x="4"/>
        <item x="5"/>
        <item x="6"/>
        <item x="9"/>
        <item x="10"/>
        <item x="11"/>
        <item x="13"/>
        <item x="14"/>
        <item x="15"/>
        <item x="16"/>
        <item x="18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5"/>
        <item x="36"/>
        <item x="7"/>
        <item x="8"/>
        <item x="12"/>
        <item x="17"/>
        <item t="default"/>
      </items>
    </pivotField>
    <pivotField dataField="1" compact="0" showAll="0">
      <items count="4">
        <item x="2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4"/>
    </i>
    <i>
      <x v="5"/>
    </i>
    <i>
      <x v="7"/>
    </i>
    <i>
      <x v="8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1"/>
    </i>
    <i>
      <x v="22"/>
    </i>
    <i>
      <x v="24"/>
    </i>
    <i>
      <x v="25"/>
    </i>
    <i>
      <x v="28"/>
    </i>
    <i>
      <x v="30"/>
    </i>
    <i>
      <x v="34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求和项:企业人力成本总计" fld="9" baseField="0" baseItem="0"/>
    <dataField name="计数项:姓名" fld="7" subtotal="count" baseField="0" baseItem="0"/>
    <dataField name="求和项:实收工资" fld="54" baseField="0" baseItem="0"/>
    <dataField name="求和项:当月个人所得税" fld="49" baseField="0" baseItem="0"/>
    <dataField name="求和项:公司法定福利合计" fld="62" baseField="0" baseItem="0"/>
    <dataField name="求和项:个人福利合计" fld="37" baseField="0" baseItem="0"/>
    <dataField name="求和项:绩效&amp;佣金合计" fld="69" baseField="0" baseItem="0"/>
    <dataField name="求和项:考勤调整" fld="15" baseField="0" baseItem="0"/>
    <dataField name="求和项:商保金额" fld="17" baseField="0" baseItem="0"/>
    <dataField name="求和项:预提福利费" fld="70" baseField="0" baseItem="0"/>
  </dataFields>
  <formats count="15">
    <format dxfId="0">
      <pivotArea collapsedLevelsAreSubtotals="1" fieldPosition="0">
        <references count="2">
          <reference field="1" count="1" selected="0">
            <x v="0"/>
          </reference>
          <reference field="4294967294" count="1" selected="0">
            <x v="7"/>
          </reference>
        </references>
      </pivotArea>
    </format>
    <format dxfId="1">
      <pivotArea collapsedLevelsAreSubtotals="1" fieldPosition="0">
        <references count="2">
          <reference field="1" count="1" selected="0">
            <x v="1"/>
          </reference>
          <reference field="4294967294" count="1" selected="0">
            <x v="7"/>
          </reference>
        </references>
      </pivotArea>
    </format>
    <format dxfId="2">
      <pivotArea collapsedLevelsAreSubtotals="1" fieldPosition="0">
        <references count="2">
          <reference field="1" count="1" selected="0">
            <x v="4"/>
          </reference>
          <reference field="4294967294" count="1" selected="0">
            <x v="7"/>
          </reference>
        </references>
      </pivotArea>
    </format>
    <format dxfId="3">
      <pivotArea collapsedLevelsAreSubtotals="1" fieldPosition="0">
        <references count="2">
          <reference field="1" count="1" selected="0">
            <x v="5"/>
          </reference>
          <reference field="4294967294" count="1" selected="0">
            <x v="7"/>
          </reference>
        </references>
      </pivotArea>
    </format>
    <format dxfId="4">
      <pivotArea collapsedLevelsAreSubtotals="1" fieldPosition="0">
        <references count="2">
          <reference field="1" count="1" selected="0">
            <x v="7"/>
          </reference>
          <reference field="4294967294" count="1" selected="0">
            <x v="7"/>
          </reference>
        </references>
      </pivotArea>
    </format>
    <format dxfId="5">
      <pivotArea collapsedLevelsAreSubtotals="1" fieldPosition="0">
        <references count="2">
          <reference field="1" count="1" selected="0">
            <x v="27"/>
          </reference>
          <reference field="4294967294" count="1" selected="0">
            <x v="7"/>
          </reference>
        </references>
      </pivotArea>
    </format>
    <format dxfId="6">
      <pivotArea collapsedLevelsAreSubtotals="1" fieldPosition="0">
        <references count="2">
          <reference field="1" count="1" selected="0">
            <x v="8"/>
          </reference>
          <reference field="4294967294" count="1" selected="0">
            <x v="7"/>
          </reference>
        </references>
      </pivotArea>
    </format>
    <format dxfId="7">
      <pivotArea collapsedLevelsAreSubtotals="1" fieldPosition="0">
        <references count="2">
          <reference field="1" count="1" selected="0">
            <x v="10"/>
          </reference>
          <reference field="4294967294" count="1" selected="0">
            <x v="7"/>
          </reference>
        </references>
      </pivotArea>
    </format>
    <format dxfId="8">
      <pivotArea collapsedLevelsAreSubtotals="1" fieldPosition="0">
        <references count="2">
          <reference field="1" count="1" selected="0">
            <x v="11"/>
          </reference>
          <reference field="4294967294" count="1" selected="0">
            <x v="7"/>
          </reference>
        </references>
      </pivotArea>
    </format>
    <format dxfId="9">
      <pivotArea collapsedLevelsAreSubtotals="1" fieldPosition="0">
        <references count="2">
          <reference field="1" count="1" selected="0">
            <x v="12"/>
          </reference>
          <reference field="4294967294" count="1" selected="0">
            <x v="7"/>
          </reference>
        </references>
      </pivotArea>
    </format>
    <format dxfId="10">
      <pivotArea collapsedLevelsAreSubtotals="1" fieldPosition="0">
        <references count="2">
          <reference field="1" count="1" selected="0">
            <x v="13"/>
          </reference>
          <reference field="4294967294" count="1" selected="0">
            <x v="7"/>
          </reference>
        </references>
      </pivotArea>
    </format>
    <format dxfId="11">
      <pivotArea collapsedLevelsAreSubtotals="1" fieldPosition="0">
        <references count="2">
          <reference field="1" count="1" selected="0">
            <x v="15"/>
          </reference>
          <reference field="4294967294" count="1" selected="0">
            <x v="7"/>
          </reference>
        </references>
      </pivotArea>
    </format>
    <format dxfId="12">
      <pivotArea collapsedLevelsAreSubtotals="1" fieldPosition="0">
        <references count="2">
          <reference field="1" count="1" selected="0">
            <x v="16"/>
          </reference>
          <reference field="4294967294" count="1" selected="0">
            <x v="7"/>
          </reference>
        </references>
      </pivotArea>
    </format>
    <format dxfId="13">
      <pivotArea collapsedLevelsAreSubtotals="1" fieldPosition="0">
        <references count="2">
          <reference field="1" count="1" selected="0">
            <x v="18"/>
          </reference>
          <reference field="4294967294" count="1" selected="0">
            <x v="7"/>
          </reference>
        </references>
      </pivotArea>
    </format>
    <format dxfId="14">
      <pivotArea collapsedLevelsAreSubtotals="1" fieldPosition="0">
        <references count="2">
          <reference field="1" count="1" selected="0">
            <x v="25"/>
          </reference>
          <reference field="4294967294" count="1" selected="0">
            <x v="7"/>
          </reference>
        </references>
      </pivotArea>
    </format>
  </formats>
  <pivotTableStyleInfo name="PivotStyleMedium7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00"/>
    <pageSetUpPr fitToPage="1"/>
  </sheetPr>
  <dimension ref="A1:Z66"/>
  <sheetViews>
    <sheetView showGridLines="0" zoomScale="90" zoomScaleNormal="90" workbookViewId="0">
      <pane xSplit="5" ySplit="6" topLeftCell="F22" activePane="bottomRight" state="frozen"/>
      <selection/>
      <selection pane="topRight"/>
      <selection pane="bottomLeft"/>
      <selection pane="bottomRight" activeCell="K38" sqref="K38:L59"/>
    </sheetView>
  </sheetViews>
  <sheetFormatPr defaultColWidth="10.6666666666667" defaultRowHeight="17.6"/>
  <cols>
    <col min="1" max="1" width="2.33333333333333" style="147" customWidth="1"/>
    <col min="2" max="2" width="21.3333333333333" style="147" customWidth="1"/>
    <col min="3" max="3" width="26.5" style="147" customWidth="1"/>
    <col min="4" max="4" width="18.6083333333333" style="147" customWidth="1"/>
    <col min="5" max="5" width="1.33333333333333" style="147" customWidth="1"/>
    <col min="6" max="9" width="13.8333333333333" style="147" customWidth="1"/>
    <col min="10" max="10" width="1.8" customWidth="1"/>
    <col min="11" max="11" width="16.6666666666667" style="147" customWidth="1"/>
    <col min="12" max="12" width="13.8333333333333" style="147" customWidth="1"/>
    <col min="13" max="13" width="2.225" style="147" customWidth="1"/>
    <col min="14" max="15" width="13.8333333333333" style="147" customWidth="1"/>
    <col min="16" max="16" width="10.6666666666667" style="147"/>
    <col min="17" max="19" width="10.6666666666667" style="388"/>
    <col min="20" max="21" width="10.8" style="147"/>
    <col min="22" max="22" width="10.6666666666667" style="388"/>
    <col min="23" max="23" width="10.6666666666667" style="147"/>
    <col min="24" max="25" width="10.6666666666667" style="388"/>
    <col min="26" max="16384" width="10.6666666666667" style="147"/>
  </cols>
  <sheetData>
    <row r="1" ht="35" customHeight="1" spans="1:25">
      <c r="A1" s="389"/>
      <c r="B1" s="390" t="s">
        <v>0</v>
      </c>
      <c r="C1" s="391"/>
      <c r="D1" s="391"/>
      <c r="E1" s="391"/>
      <c r="F1" s="391"/>
      <c r="G1" s="391"/>
      <c r="H1" s="391"/>
      <c r="I1" s="391"/>
      <c r="K1" s="391"/>
      <c r="L1" s="391"/>
      <c r="N1" s="391"/>
      <c r="O1" s="391"/>
    </row>
    <row r="2" ht="20.25" customHeight="1" spans="1:25">
      <c r="A2" s="392"/>
      <c r="B2" s="393" t="s">
        <v>1</v>
      </c>
      <c r="C2" s="393"/>
      <c r="D2" s="394"/>
      <c r="E2" s="394"/>
      <c r="F2" s="394"/>
      <c r="G2" s="394"/>
      <c r="H2" s="394"/>
      <c r="I2" s="394"/>
      <c r="K2" s="394"/>
      <c r="L2" s="394"/>
      <c r="N2" s="394"/>
      <c r="O2" s="394"/>
      <c r="P2" s="395">
        <v>15000</v>
      </c>
      <c r="Q2" s="388" t="s">
        <v>2</v>
      </c>
    </row>
    <row r="3" ht="15" customHeight="1" spans="1:25">
      <c r="A3" s="389"/>
      <c r="B3" s="392" t="s">
        <v>3</v>
      </c>
      <c r="C3" s="396"/>
      <c r="D3" s="397" t="s">
        <v>4</v>
      </c>
      <c r="E3" s="396"/>
      <c r="F3" s="397" t="s">
        <v>5</v>
      </c>
      <c r="G3" s="397" t="s">
        <v>6</v>
      </c>
      <c r="H3" s="397" t="s">
        <v>7</v>
      </c>
      <c r="I3" s="397" t="s">
        <v>8</v>
      </c>
      <c r="K3" s="397"/>
      <c r="L3" s="397"/>
      <c r="N3" s="397" t="s">
        <v>9</v>
      </c>
      <c r="O3" s="397"/>
      <c r="P3" s="395">
        <v>1250</v>
      </c>
      <c r="Q3" s="388" t="s">
        <v>10</v>
      </c>
    </row>
    <row r="4" spans="1:25">
      <c r="A4" s="398"/>
      <c r="B4" s="398"/>
      <c r="C4" s="398"/>
      <c r="D4" s="398"/>
      <c r="E4" s="398"/>
      <c r="F4" s="399"/>
      <c r="G4" s="399"/>
      <c r="H4" s="400" t="s">
        <v>11</v>
      </c>
      <c r="I4" s="400" t="s">
        <v>11</v>
      </c>
      <c r="K4" s="400"/>
      <c r="L4" s="400"/>
      <c r="N4" s="400" t="s">
        <v>11</v>
      </c>
      <c r="O4" s="400" t="s">
        <v>12</v>
      </c>
    </row>
    <row r="5" ht="8" customHeight="1" spans="1:25">
      <c r="A5" s="389"/>
      <c r="B5" s="401"/>
      <c r="C5" s="401"/>
      <c r="D5" s="401"/>
      <c r="E5" s="402"/>
      <c r="F5" s="401"/>
      <c r="G5" s="401"/>
      <c r="H5" s="401"/>
      <c r="I5" s="401"/>
      <c r="K5" s="401"/>
      <c r="L5" s="401"/>
      <c r="N5" s="401"/>
      <c r="O5" s="401"/>
    </row>
    <row r="6" s="385" customFormat="1" ht="42" customHeight="1" spans="1:25">
      <c r="A6" s="403"/>
      <c r="B6" s="404"/>
      <c r="C6" s="404" t="s">
        <v>13</v>
      </c>
      <c r="D6" s="405" t="s">
        <v>14</v>
      </c>
      <c r="E6" s="406"/>
      <c r="F6" s="407" t="s">
        <v>15</v>
      </c>
      <c r="G6" s="407" t="s">
        <v>16</v>
      </c>
      <c r="H6" s="408" t="s">
        <v>17</v>
      </c>
      <c r="I6" s="408" t="s">
        <v>18</v>
      </c>
      <c r="J6"/>
      <c r="K6" s="409" t="s">
        <v>19</v>
      </c>
      <c r="L6" s="409" t="s">
        <v>20</v>
      </c>
      <c r="N6" s="466" t="s">
        <v>21</v>
      </c>
      <c r="O6" s="408" t="s">
        <v>22</v>
      </c>
      <c r="Q6" s="410"/>
      <c r="R6" s="410"/>
      <c r="S6" s="410"/>
      <c r="V6" s="410"/>
      <c r="X6" s="410"/>
      <c r="Y6" s="410"/>
    </row>
    <row r="7" s="103" customFormat="1" ht="25" customHeight="1" spans="1:25">
      <c r="A7" s="411"/>
      <c r="B7" s="412" t="s">
        <v>23</v>
      </c>
      <c r="C7" s="413" t="s">
        <v>24</v>
      </c>
      <c r="D7" s="414">
        <v>106908.76</v>
      </c>
      <c r="E7" s="415">
        <v>2</v>
      </c>
      <c r="F7" s="416">
        <v>94463.13</v>
      </c>
      <c r="G7" s="417">
        <v>2036.87</v>
      </c>
      <c r="H7" s="418">
        <v>6540</v>
      </c>
      <c r="I7" s="418">
        <v>3500</v>
      </c>
      <c r="J7"/>
      <c r="K7" s="419">
        <v>0</v>
      </c>
      <c r="L7" s="419"/>
      <c r="N7" s="418">
        <v>368.76</v>
      </c>
      <c r="O7" s="418">
        <v>1250</v>
      </c>
      <c r="Q7" s="420"/>
      <c r="R7" s="420"/>
      <c r="S7" s="420"/>
      <c r="V7" s="420"/>
      <c r="X7" s="420"/>
      <c r="Y7" s="420"/>
    </row>
    <row r="8" s="103" customFormat="1" ht="25" customHeight="1" spans="1:25">
      <c r="A8" s="411"/>
      <c r="B8" s="421"/>
      <c r="C8" s="422" t="s">
        <v>25</v>
      </c>
      <c r="D8" s="423">
        <v>16328.25</v>
      </c>
      <c r="E8" s="424">
        <v>2</v>
      </c>
      <c r="F8" s="425">
        <v>15295.46</v>
      </c>
      <c r="G8" s="426">
        <v>704.54</v>
      </c>
      <c r="H8" s="427">
        <v>0</v>
      </c>
      <c r="I8" s="427">
        <v>0</v>
      </c>
      <c r="J8"/>
      <c r="K8" s="428">
        <v>0</v>
      </c>
      <c r="L8" s="428">
        <v>0</v>
      </c>
      <c r="N8" s="427">
        <v>328.25</v>
      </c>
      <c r="O8" s="427">
        <v>2500</v>
      </c>
      <c r="Q8" s="420"/>
      <c r="R8" s="420"/>
      <c r="S8" s="420"/>
      <c r="V8" s="420"/>
      <c r="X8" s="420"/>
      <c r="Y8" s="420"/>
    </row>
    <row r="9" s="103" customFormat="1" ht="25" customHeight="1" spans="1:25">
      <c r="A9" s="411"/>
      <c r="B9" s="421"/>
      <c r="C9" s="422" t="s">
        <v>26</v>
      </c>
      <c r="D9" s="423">
        <v>64050</v>
      </c>
      <c r="E9" s="424">
        <v>3</v>
      </c>
      <c r="F9" s="425">
        <v>57950</v>
      </c>
      <c r="G9" s="426"/>
      <c r="H9" s="427">
        <v>3050</v>
      </c>
      <c r="I9" s="427">
        <v>3050</v>
      </c>
      <c r="J9"/>
      <c r="K9" s="428">
        <v>0</v>
      </c>
      <c r="L9" s="428">
        <v>0</v>
      </c>
      <c r="N9" s="427"/>
      <c r="O9" s="427"/>
      <c r="Q9" s="420"/>
      <c r="R9" s="420"/>
      <c r="S9" s="420"/>
      <c r="V9" s="420"/>
      <c r="X9" s="420"/>
      <c r="Y9" s="420"/>
    </row>
    <row r="10" s="103" customFormat="1" ht="25" customHeight="1" spans="1:25">
      <c r="A10" s="411"/>
      <c r="B10" s="421"/>
      <c r="C10" s="422" t="s">
        <v>27</v>
      </c>
      <c r="D10" s="423">
        <v>36928.73</v>
      </c>
      <c r="E10" s="424">
        <v>5</v>
      </c>
      <c r="F10" s="425">
        <v>36774.62</v>
      </c>
      <c r="G10" s="426">
        <v>154.11</v>
      </c>
      <c r="H10" s="427">
        <v>0</v>
      </c>
      <c r="I10" s="427"/>
      <c r="J10"/>
      <c r="K10" s="428">
        <v>0</v>
      </c>
      <c r="L10" s="428">
        <v>4928.73</v>
      </c>
      <c r="N10" s="427"/>
      <c r="O10" s="427">
        <v>5000</v>
      </c>
      <c r="Q10" s="420"/>
      <c r="R10" s="420"/>
      <c r="S10" s="420"/>
      <c r="V10" s="420"/>
      <c r="X10" s="420"/>
      <c r="Y10" s="420"/>
    </row>
    <row r="11" s="103" customFormat="1" ht="25" customHeight="1" spans="1:25">
      <c r="A11" s="411"/>
      <c r="B11" s="421"/>
      <c r="C11" s="422" t="s">
        <v>28</v>
      </c>
      <c r="D11" s="423">
        <v>35605.69</v>
      </c>
      <c r="E11" s="424">
        <v>2</v>
      </c>
      <c r="F11" s="425">
        <v>30348.71</v>
      </c>
      <c r="G11" s="426">
        <v>1728.66</v>
      </c>
      <c r="H11" s="427">
        <v>2253.22</v>
      </c>
      <c r="I11" s="427">
        <v>1119.3</v>
      </c>
      <c r="J11"/>
      <c r="K11" s="428">
        <v>0</v>
      </c>
      <c r="L11" s="428">
        <v>0</v>
      </c>
      <c r="N11" s="427">
        <v>155.8</v>
      </c>
      <c r="O11" s="427">
        <v>1250</v>
      </c>
      <c r="Q11" s="420"/>
      <c r="R11" s="420"/>
      <c r="S11" s="420"/>
      <c r="V11" s="420"/>
      <c r="X11" s="420"/>
      <c r="Y11" s="420"/>
    </row>
    <row r="12" s="385" customFormat="1" ht="25.25" customHeight="1" spans="1:25">
      <c r="A12" s="403"/>
      <c r="B12" s="429"/>
      <c r="C12" s="430" t="s">
        <v>29</v>
      </c>
      <c r="D12" s="431">
        <v>98963.6</v>
      </c>
      <c r="E12" s="432">
        <v>5</v>
      </c>
      <c r="F12" s="433">
        <v>64661.44</v>
      </c>
      <c r="G12" s="434">
        <v>4791.96</v>
      </c>
      <c r="H12" s="435">
        <v>18175.44</v>
      </c>
      <c r="I12" s="435">
        <v>10119.6</v>
      </c>
      <c r="J12" s="436"/>
      <c r="K12" s="437">
        <v>9403</v>
      </c>
      <c r="L12" s="437">
        <v>0</v>
      </c>
      <c r="M12" s="438"/>
      <c r="N12" s="435">
        <v>1215.16</v>
      </c>
      <c r="O12" s="435">
        <v>6250</v>
      </c>
      <c r="Q12" s="410"/>
      <c r="R12" s="410"/>
      <c r="S12" s="410"/>
      <c r="V12" s="410"/>
      <c r="X12" s="410"/>
      <c r="Y12" s="410"/>
    </row>
    <row r="13" s="385" customFormat="1" ht="25.25" customHeight="1" spans="1:25">
      <c r="A13" s="403"/>
      <c r="B13" s="404"/>
      <c r="C13" s="422" t="s">
        <v>30</v>
      </c>
      <c r="D13" s="423">
        <v>70615.57</v>
      </c>
      <c r="E13" s="424">
        <v>4</v>
      </c>
      <c r="F13" s="425">
        <v>44945.59</v>
      </c>
      <c r="G13" s="426">
        <v>1600.59</v>
      </c>
      <c r="H13" s="427">
        <v>15412.49</v>
      </c>
      <c r="I13" s="427">
        <v>7922.1</v>
      </c>
      <c r="J13"/>
      <c r="K13" s="428">
        <v>-1231.72</v>
      </c>
      <c r="L13" s="428">
        <v>0</v>
      </c>
      <c r="N13" s="427">
        <v>734.8</v>
      </c>
      <c r="O13" s="427">
        <v>5000</v>
      </c>
      <c r="Q13" s="410"/>
      <c r="R13" s="410"/>
      <c r="S13" s="410"/>
      <c r="V13" s="410"/>
      <c r="X13" s="410"/>
      <c r="Y13" s="410"/>
    </row>
    <row r="14" s="385" customFormat="1" ht="25.25" customHeight="1" spans="1:25">
      <c r="A14" s="403"/>
      <c r="B14" s="404"/>
      <c r="C14" s="422" t="s">
        <v>31</v>
      </c>
      <c r="D14" s="423">
        <v>15890.32</v>
      </c>
      <c r="E14" s="424">
        <v>12</v>
      </c>
      <c r="F14" s="425">
        <v>11560</v>
      </c>
      <c r="G14" s="426">
        <v>440</v>
      </c>
      <c r="H14" s="427">
        <v>2434.22</v>
      </c>
      <c r="I14" s="427">
        <v>1300.3</v>
      </c>
      <c r="J14"/>
      <c r="K14" s="428">
        <v>0</v>
      </c>
      <c r="L14" s="428"/>
      <c r="N14" s="427">
        <v>155.8</v>
      </c>
      <c r="O14" s="427"/>
      <c r="Q14" s="410"/>
      <c r="R14" s="410"/>
      <c r="S14" s="410"/>
      <c r="V14" s="410"/>
      <c r="X14" s="410"/>
      <c r="Y14" s="410"/>
    </row>
    <row r="15" s="385" customFormat="1" ht="25.25" customHeight="1" spans="1:25">
      <c r="A15" s="403"/>
      <c r="B15" s="429" t="s">
        <v>32</v>
      </c>
      <c r="C15" s="430" t="s">
        <v>33</v>
      </c>
      <c r="D15" s="431">
        <v>118776.98</v>
      </c>
      <c r="E15" s="432">
        <v>8</v>
      </c>
      <c r="F15" s="433">
        <v>81373.35</v>
      </c>
      <c r="G15" s="434">
        <v>1573.67</v>
      </c>
      <c r="H15" s="435">
        <v>22030.9</v>
      </c>
      <c r="I15" s="435">
        <v>12495.5</v>
      </c>
      <c r="J15" s="436"/>
      <c r="K15" s="437">
        <v>-5116.48</v>
      </c>
      <c r="L15" s="437">
        <v>0</v>
      </c>
      <c r="M15" s="438"/>
      <c r="N15" s="435">
        <v>1303.56</v>
      </c>
      <c r="O15" s="435">
        <v>8750</v>
      </c>
      <c r="Q15" s="410"/>
      <c r="R15" s="410"/>
      <c r="S15" s="410"/>
      <c r="V15" s="410"/>
      <c r="X15" s="410"/>
      <c r="Y15" s="410"/>
    </row>
    <row r="16" s="385" customFormat="1" ht="25.25" customHeight="1" spans="1:25">
      <c r="A16" s="403"/>
      <c r="B16" s="404"/>
      <c r="C16" s="422" t="s">
        <v>34</v>
      </c>
      <c r="D16" s="423">
        <v>62095.51</v>
      </c>
      <c r="E16" s="424">
        <v>8</v>
      </c>
      <c r="F16" s="425">
        <v>44096</v>
      </c>
      <c r="G16" s="426">
        <v>727.19</v>
      </c>
      <c r="H16" s="427">
        <v>10282.71</v>
      </c>
      <c r="I16" s="427">
        <v>5831.61</v>
      </c>
      <c r="J16"/>
      <c r="K16" s="428">
        <v>1002.8</v>
      </c>
      <c r="L16" s="428">
        <v>0</v>
      </c>
      <c r="N16" s="427">
        <v>1158</v>
      </c>
      <c r="O16" s="427">
        <v>3600</v>
      </c>
      <c r="Q16" s="410"/>
      <c r="R16" s="410"/>
      <c r="S16" s="410"/>
      <c r="V16" s="410"/>
      <c r="X16" s="410"/>
      <c r="Y16" s="410"/>
    </row>
    <row r="17" s="385" customFormat="1" ht="25.25" customHeight="1" spans="1:25">
      <c r="A17" s="403"/>
      <c r="B17" s="404"/>
      <c r="C17" s="422" t="s">
        <v>35</v>
      </c>
      <c r="D17" s="423">
        <v>40595.3</v>
      </c>
      <c r="E17" s="424">
        <v>3</v>
      </c>
      <c r="F17" s="425">
        <v>25561.32</v>
      </c>
      <c r="G17" s="426">
        <v>936.04</v>
      </c>
      <c r="H17" s="427">
        <v>8668.34</v>
      </c>
      <c r="I17" s="427">
        <v>4850.6</v>
      </c>
      <c r="J17"/>
      <c r="K17" s="428">
        <v>0</v>
      </c>
      <c r="L17" s="428">
        <v>-331.04</v>
      </c>
      <c r="N17" s="427">
        <v>579</v>
      </c>
      <c r="O17" s="427">
        <v>3750</v>
      </c>
      <c r="Q17" s="410"/>
      <c r="R17" s="410"/>
      <c r="S17" s="410"/>
      <c r="V17" s="410"/>
      <c r="X17" s="410"/>
      <c r="Y17" s="410"/>
    </row>
    <row r="18" s="385" customFormat="1" ht="25.25" customHeight="1" spans="1:25">
      <c r="A18" s="403"/>
      <c r="B18" s="404"/>
      <c r="C18" s="422" t="s">
        <v>36</v>
      </c>
      <c r="D18" s="423">
        <v>4519.83</v>
      </c>
      <c r="E18" s="424">
        <v>1</v>
      </c>
      <c r="F18" s="425">
        <v>0</v>
      </c>
      <c r="G18" s="426">
        <v>0</v>
      </c>
      <c r="H18" s="427">
        <v>2591.17</v>
      </c>
      <c r="I18" s="427">
        <v>1448.3</v>
      </c>
      <c r="J18"/>
      <c r="K18" s="428">
        <v>0</v>
      </c>
      <c r="L18" s="428">
        <v>0</v>
      </c>
      <c r="N18" s="427">
        <v>480.36</v>
      </c>
      <c r="O18" s="427"/>
      <c r="Q18" s="410"/>
      <c r="R18" s="410"/>
      <c r="S18" s="410"/>
      <c r="V18" s="410"/>
      <c r="X18" s="410"/>
      <c r="Y18" s="410"/>
    </row>
    <row r="19" s="385" customFormat="1" ht="25.25" customHeight="1" spans="1:25">
      <c r="A19" s="403"/>
      <c r="B19" s="404"/>
      <c r="C19" s="422" t="s">
        <v>37</v>
      </c>
      <c r="D19" s="423">
        <v>88006.32</v>
      </c>
      <c r="E19" s="424">
        <v>16</v>
      </c>
      <c r="F19" s="425">
        <v>43640</v>
      </c>
      <c r="G19" s="426">
        <v>0</v>
      </c>
      <c r="H19" s="427">
        <v>31485.81</v>
      </c>
      <c r="I19" s="427">
        <v>12880.51</v>
      </c>
      <c r="J19"/>
      <c r="K19" s="428">
        <v>0</v>
      </c>
      <c r="L19" s="428"/>
      <c r="N19" s="427"/>
      <c r="O19" s="427"/>
      <c r="Q19" s="410"/>
      <c r="R19" s="410"/>
      <c r="S19" s="410"/>
      <c r="V19" s="410"/>
      <c r="X19" s="410"/>
      <c r="Y19" s="410"/>
    </row>
    <row r="20" s="385" customFormat="1" ht="25.25" customHeight="1" spans="1:25">
      <c r="A20" s="403"/>
      <c r="B20" s="429" t="s">
        <v>38</v>
      </c>
      <c r="C20" s="430" t="s">
        <v>39</v>
      </c>
      <c r="D20" s="431">
        <v>124104.96</v>
      </c>
      <c r="E20" s="432">
        <v>9</v>
      </c>
      <c r="F20" s="433">
        <v>79312.01</v>
      </c>
      <c r="G20" s="434">
        <v>3356.47</v>
      </c>
      <c r="H20" s="435">
        <v>26050.32</v>
      </c>
      <c r="I20" s="435">
        <v>13926.8</v>
      </c>
      <c r="J20" s="436"/>
      <c r="K20" s="437">
        <v>9724.59</v>
      </c>
      <c r="L20" s="437">
        <v>5020.69</v>
      </c>
      <c r="N20" s="435">
        <v>1459.36</v>
      </c>
      <c r="O20" s="435">
        <v>10000</v>
      </c>
      <c r="Q20" s="410"/>
      <c r="R20" s="410"/>
      <c r="S20" s="410"/>
      <c r="V20" s="410"/>
      <c r="X20" s="410"/>
      <c r="Y20" s="410"/>
    </row>
    <row r="21" s="385" customFormat="1" ht="25.25" customHeight="1" spans="1:25">
      <c r="A21" s="403"/>
      <c r="B21" s="404" t="s">
        <v>40</v>
      </c>
      <c r="C21" s="422" t="s">
        <v>41</v>
      </c>
      <c r="D21" s="423">
        <v>146564.93</v>
      </c>
      <c r="E21" s="424">
        <v>6</v>
      </c>
      <c r="F21" s="425">
        <v>108093.04</v>
      </c>
      <c r="G21" s="426">
        <v>9255.89</v>
      </c>
      <c r="H21" s="427">
        <v>18440.54</v>
      </c>
      <c r="I21" s="427">
        <v>9895.1</v>
      </c>
      <c r="J21"/>
      <c r="K21" s="428">
        <v>162.57</v>
      </c>
      <c r="L21" s="428">
        <v>-23519.54</v>
      </c>
      <c r="N21" s="427">
        <v>880.36</v>
      </c>
      <c r="O21" s="427">
        <v>7500</v>
      </c>
      <c r="Q21" s="410"/>
      <c r="R21" s="410"/>
      <c r="S21" s="410"/>
      <c r="V21" s="410"/>
      <c r="X21" s="410"/>
      <c r="Y21" s="410"/>
    </row>
    <row r="22" s="385" customFormat="1" ht="25.25" customHeight="1" spans="1:25">
      <c r="A22" s="403"/>
      <c r="B22" s="404" t="s">
        <v>42</v>
      </c>
      <c r="C22" s="422" t="s">
        <v>43</v>
      </c>
      <c r="D22" s="423">
        <v>19128.12</v>
      </c>
      <c r="E22" s="424">
        <v>3</v>
      </c>
      <c r="F22" s="425">
        <v>15065.35</v>
      </c>
      <c r="G22" s="426">
        <v>0</v>
      </c>
      <c r="H22" s="427">
        <v>2434.22</v>
      </c>
      <c r="I22" s="427">
        <v>1300.3</v>
      </c>
      <c r="J22"/>
      <c r="K22" s="428">
        <v>-241.15</v>
      </c>
      <c r="L22" s="428">
        <v>1890</v>
      </c>
      <c r="N22" s="427">
        <v>328.25</v>
      </c>
      <c r="O22" s="427">
        <v>3750</v>
      </c>
      <c r="Q22" s="410"/>
      <c r="R22" s="410"/>
      <c r="S22" s="410"/>
      <c r="V22" s="410"/>
      <c r="X22" s="410"/>
      <c r="Y22" s="410"/>
    </row>
    <row r="23" s="385" customFormat="1" ht="25.25" customHeight="1" spans="1:25">
      <c r="A23" s="403"/>
      <c r="B23" s="404" t="s">
        <v>42</v>
      </c>
      <c r="C23" s="422" t="s">
        <v>44</v>
      </c>
      <c r="D23" s="423">
        <v>46980.32</v>
      </c>
      <c r="E23" s="424">
        <v>3</v>
      </c>
      <c r="F23" s="425">
        <v>35865.48</v>
      </c>
      <c r="G23" s="426">
        <v>43.77</v>
      </c>
      <c r="H23" s="427">
        <v>6559.17</v>
      </c>
      <c r="I23" s="427">
        <v>4200.3</v>
      </c>
      <c r="J23"/>
      <c r="K23" s="428">
        <v>-1484</v>
      </c>
      <c r="L23" s="428">
        <v>0</v>
      </c>
      <c r="N23" s="427">
        <v>311.6</v>
      </c>
      <c r="O23" s="427">
        <v>2500</v>
      </c>
      <c r="Q23" s="410"/>
      <c r="R23" s="410"/>
      <c r="S23" s="410"/>
      <c r="V23" s="410"/>
      <c r="X23" s="410"/>
      <c r="Y23" s="410"/>
    </row>
    <row r="24" s="385" customFormat="1" ht="25.25" customHeight="1" spans="1:25">
      <c r="A24" s="403"/>
      <c r="B24" s="404" t="s">
        <v>42</v>
      </c>
      <c r="C24" s="422" t="s">
        <v>45</v>
      </c>
      <c r="D24" s="423">
        <v>14979.67</v>
      </c>
      <c r="E24" s="424">
        <v>1</v>
      </c>
      <c r="F24" s="425">
        <v>10892.3</v>
      </c>
      <c r="G24" s="426">
        <v>187.05</v>
      </c>
      <c r="H24" s="427">
        <v>2439.22</v>
      </c>
      <c r="I24" s="427">
        <v>1305.3</v>
      </c>
      <c r="J24"/>
      <c r="K24" s="428">
        <v>-315.35</v>
      </c>
      <c r="L24" s="428">
        <v>4200</v>
      </c>
      <c r="N24" s="427">
        <v>155.8</v>
      </c>
      <c r="O24" s="427">
        <v>1250</v>
      </c>
      <c r="Q24" s="410"/>
      <c r="R24" s="410"/>
      <c r="S24" s="410"/>
      <c r="V24" s="410"/>
      <c r="X24" s="410"/>
      <c r="Y24" s="410"/>
    </row>
    <row r="25" s="385" customFormat="1" ht="25.25" customHeight="1" spans="1:25">
      <c r="A25" s="403"/>
      <c r="B25" s="404" t="s">
        <v>46</v>
      </c>
      <c r="C25" s="422" t="s">
        <v>47</v>
      </c>
      <c r="D25" s="423">
        <v>28067.36</v>
      </c>
      <c r="E25" s="424">
        <v>3</v>
      </c>
      <c r="F25" s="425">
        <v>26118.8</v>
      </c>
      <c r="G25" s="426">
        <v>1948.56</v>
      </c>
      <c r="H25" s="427">
        <v>0</v>
      </c>
      <c r="I25" s="427">
        <v>0</v>
      </c>
      <c r="J25"/>
      <c r="K25" s="428">
        <v>0</v>
      </c>
      <c r="L25" s="428">
        <v>0</v>
      </c>
      <c r="N25" s="427"/>
      <c r="O25" s="427"/>
      <c r="Q25" s="410"/>
      <c r="R25" s="410"/>
      <c r="S25" s="410"/>
      <c r="V25" s="410"/>
      <c r="X25" s="410"/>
      <c r="Y25" s="410"/>
    </row>
    <row r="26" s="385" customFormat="1" ht="25.25" customHeight="1" spans="1:25">
      <c r="A26" s="403"/>
      <c r="B26" s="421" t="s">
        <v>48</v>
      </c>
      <c r="C26" s="422" t="s">
        <v>49</v>
      </c>
      <c r="D26" s="423">
        <v>75536.72</v>
      </c>
      <c r="E26" s="424">
        <v>4</v>
      </c>
      <c r="F26" s="425">
        <v>56568.44</v>
      </c>
      <c r="G26" s="426">
        <v>3013.92</v>
      </c>
      <c r="H26" s="427">
        <v>9918.66</v>
      </c>
      <c r="I26" s="427">
        <v>5300.9</v>
      </c>
      <c r="J26"/>
      <c r="K26" s="428">
        <v>19166.57</v>
      </c>
      <c r="L26" s="428">
        <v>-1193.31</v>
      </c>
      <c r="N26" s="427">
        <v>734.8</v>
      </c>
      <c r="O26" s="427">
        <v>5000</v>
      </c>
      <c r="Q26" s="410"/>
      <c r="R26" s="410"/>
      <c r="S26" s="410"/>
      <c r="V26" s="410"/>
      <c r="X26" s="410"/>
      <c r="Y26" s="410"/>
    </row>
    <row r="27" s="385" customFormat="1" ht="25.25" customHeight="1" spans="1:25">
      <c r="A27" s="403"/>
      <c r="B27" s="421" t="s">
        <v>48</v>
      </c>
      <c r="C27" s="422" t="s">
        <v>50</v>
      </c>
      <c r="D27" s="423">
        <v>42808.72</v>
      </c>
      <c r="E27" s="424">
        <v>3</v>
      </c>
      <c r="F27" s="425">
        <v>29255.92</v>
      </c>
      <c r="G27" s="426">
        <v>666.28</v>
      </c>
      <c r="H27" s="427">
        <v>8091.32</v>
      </c>
      <c r="I27" s="427">
        <v>4327.8</v>
      </c>
      <c r="J27"/>
      <c r="K27" s="428">
        <v>5900</v>
      </c>
      <c r="L27" s="428">
        <v>0</v>
      </c>
      <c r="N27" s="427">
        <v>467.4</v>
      </c>
      <c r="O27" s="427">
        <v>3750</v>
      </c>
      <c r="Q27" s="410"/>
      <c r="R27" s="410"/>
      <c r="S27" s="410"/>
      <c r="V27" s="410"/>
      <c r="X27" s="410"/>
      <c r="Y27" s="410"/>
    </row>
    <row r="28" s="103" customFormat="1" ht="25.25" customHeight="1" spans="1:25">
      <c r="A28" s="411"/>
      <c r="B28" s="421" t="s">
        <v>48</v>
      </c>
      <c r="C28" s="422" t="s">
        <v>51</v>
      </c>
      <c r="D28" s="423">
        <v>70550.79</v>
      </c>
      <c r="E28" s="424">
        <v>7</v>
      </c>
      <c r="F28" s="425">
        <v>50626.91</v>
      </c>
      <c r="G28" s="426">
        <v>1659.36</v>
      </c>
      <c r="H28" s="427">
        <v>12300.32</v>
      </c>
      <c r="I28" s="427">
        <v>5496.8</v>
      </c>
      <c r="J28" s="439"/>
      <c r="K28" s="428">
        <v>2590.67</v>
      </c>
      <c r="L28" s="428">
        <v>2892.4</v>
      </c>
      <c r="N28" s="427">
        <v>467.4</v>
      </c>
      <c r="O28" s="427">
        <v>8750</v>
      </c>
      <c r="P28" s="385"/>
      <c r="Q28" s="420"/>
      <c r="R28" s="420"/>
      <c r="S28" s="420"/>
      <c r="V28" s="420"/>
      <c r="X28" s="420"/>
      <c r="Y28" s="420"/>
    </row>
    <row r="29" s="103" customFormat="1" ht="25.25" customHeight="1" spans="1:25">
      <c r="A29" s="411"/>
      <c r="B29" s="421" t="s">
        <v>48</v>
      </c>
      <c r="C29" s="422" t="s">
        <v>52</v>
      </c>
      <c r="D29" s="423">
        <v>57999.44</v>
      </c>
      <c r="E29" s="424">
        <v>15</v>
      </c>
      <c r="F29" s="425">
        <v>53381.74</v>
      </c>
      <c r="G29" s="426">
        <v>571.58</v>
      </c>
      <c r="H29" s="427">
        <v>2434.22</v>
      </c>
      <c r="I29" s="427">
        <v>1300.3</v>
      </c>
      <c r="J29"/>
      <c r="K29" s="428">
        <v>2115</v>
      </c>
      <c r="L29" s="428">
        <v>-11815.38</v>
      </c>
      <c r="N29" s="427">
        <v>311.6</v>
      </c>
      <c r="O29" s="427">
        <v>16250</v>
      </c>
      <c r="P29" s="385"/>
      <c r="Q29" s="420"/>
      <c r="R29" s="420"/>
      <c r="S29" s="420"/>
      <c r="V29" s="420"/>
      <c r="X29" s="420"/>
      <c r="Y29" s="420"/>
    </row>
    <row r="30" s="103" customFormat="1" ht="25.25" customHeight="1" spans="1:25">
      <c r="A30" s="411"/>
      <c r="B30" s="421" t="s">
        <v>48</v>
      </c>
      <c r="C30" s="422" t="s">
        <v>53</v>
      </c>
      <c r="D30" s="423">
        <v>260500</v>
      </c>
      <c r="E30" s="424">
        <v>25</v>
      </c>
      <c r="F30" s="425">
        <v>260500</v>
      </c>
      <c r="G30" s="426">
        <v>0</v>
      </c>
      <c r="H30" s="427">
        <v>0</v>
      </c>
      <c r="I30" s="427">
        <v>0</v>
      </c>
      <c r="J30"/>
      <c r="K30" s="428">
        <v>500</v>
      </c>
      <c r="L30" s="428"/>
      <c r="N30" s="427"/>
      <c r="O30" s="427">
        <v>27500</v>
      </c>
      <c r="Q30" s="420"/>
      <c r="R30" s="420"/>
      <c r="S30" s="420"/>
      <c r="V30" s="420"/>
      <c r="X30" s="420"/>
      <c r="Y30" s="420"/>
    </row>
    <row r="31" s="386" customFormat="1" ht="25.25" customHeight="1" spans="1:25">
      <c r="A31" s="403"/>
      <c r="B31" s="440" t="s">
        <v>54</v>
      </c>
      <c r="C31" s="440"/>
      <c r="D31" s="441">
        <f t="shared" ref="D31:L31" si="0">SUM(D7:D30)</f>
        <v>1646505.89</v>
      </c>
      <c r="E31" s="441">
        <f t="shared" si="0"/>
        <v>150</v>
      </c>
      <c r="F31" s="441">
        <f t="shared" si="0"/>
        <v>1276349.61</v>
      </c>
      <c r="G31" s="441">
        <f t="shared" si="0"/>
        <v>35396.51</v>
      </c>
      <c r="H31" s="441">
        <f t="shared" si="0"/>
        <v>211592.29</v>
      </c>
      <c r="I31" s="441">
        <f t="shared" si="0"/>
        <v>111571.42</v>
      </c>
      <c r="J31" s="441">
        <f t="shared" si="0"/>
        <v>0</v>
      </c>
      <c r="K31" s="441">
        <f t="shared" si="0"/>
        <v>42176.5</v>
      </c>
      <c r="L31" s="441">
        <f t="shared" si="0"/>
        <v>-17927.45</v>
      </c>
      <c r="N31" s="441">
        <f>SUM(N7:N30)</f>
        <v>11596.06</v>
      </c>
      <c r="O31" s="441">
        <f>SUM(O7:O30)</f>
        <v>123600</v>
      </c>
      <c r="P31" s="103"/>
      <c r="Q31" s="442"/>
      <c r="R31" s="442"/>
      <c r="S31" s="442"/>
      <c r="V31" s="442"/>
      <c r="X31" s="442"/>
      <c r="Y31" s="442"/>
    </row>
    <row r="32" spans="1:25">
      <c r="A32" s="443"/>
      <c r="B32" s="444"/>
      <c r="C32" s="444"/>
      <c r="D32" s="444"/>
      <c r="E32" s="424"/>
      <c r="F32" s="444"/>
      <c r="G32" s="444"/>
      <c r="H32" s="444"/>
      <c r="I32" s="444"/>
      <c r="K32" s="444"/>
      <c r="L32" s="444"/>
      <c r="N32" s="444"/>
      <c r="O32" s="444"/>
    </row>
    <row r="33" s="387" customFormat="1" spans="1:26">
      <c r="A33" s="445"/>
      <c r="B33" s="446"/>
      <c r="C33" s="446"/>
      <c r="D33" s="446"/>
      <c r="E33" s="446"/>
      <c r="F33" s="446"/>
      <c r="G33" s="446"/>
      <c r="H33" s="446"/>
      <c r="I33" s="446"/>
      <c r="J33"/>
      <c r="K33" s="446"/>
      <c r="L33" s="446"/>
      <c r="N33" s="446"/>
      <c r="O33" s="446"/>
      <c r="Q33" s="447"/>
      <c r="R33" s="447"/>
      <c r="S33" s="447"/>
      <c r="V33" s="447"/>
      <c r="X33" s="447"/>
      <c r="Y33" s="447"/>
    </row>
    <row r="34" spans="1:26">
      <c r="A34" s="398"/>
      <c r="B34" s="398"/>
      <c r="C34" s="398"/>
      <c r="D34" s="399"/>
      <c r="E34" s="399"/>
      <c r="F34" s="399"/>
      <c r="G34" s="399"/>
      <c r="H34" s="399"/>
      <c r="I34" s="399"/>
      <c r="K34" s="399"/>
      <c r="L34" s="400"/>
      <c r="N34" s="399"/>
      <c r="O34" s="399"/>
    </row>
    <row r="36" spans="1:26">
      <c r="B36" s="401"/>
      <c r="C36" s="401"/>
      <c r="D36" s="401"/>
      <c r="E36" s="402"/>
      <c r="F36" s="401"/>
      <c r="G36" s="401"/>
      <c r="H36" s="401"/>
      <c r="I36" s="401"/>
      <c r="K36" s="401"/>
      <c r="L36" s="401"/>
      <c r="N36" s="401"/>
      <c r="O36" s="401"/>
    </row>
    <row r="37" ht="42" customHeight="1" spans="1:26">
      <c r="B37" s="404"/>
      <c r="C37" s="404" t="s">
        <v>55</v>
      </c>
      <c r="D37" s="448" t="s">
        <v>14</v>
      </c>
      <c r="E37" s="406"/>
      <c r="F37" s="407" t="s">
        <v>15</v>
      </c>
      <c r="G37" s="449" t="s">
        <v>16</v>
      </c>
      <c r="H37" s="408" t="s">
        <v>17</v>
      </c>
      <c r="I37" s="408" t="s">
        <v>18</v>
      </c>
      <c r="K37" s="409" t="s">
        <v>19</v>
      </c>
      <c r="L37" s="409" t="s">
        <v>20</v>
      </c>
      <c r="N37" s="466" t="s">
        <v>21</v>
      </c>
      <c r="O37" s="408" t="s">
        <v>22</v>
      </c>
      <c r="P37"/>
      <c r="Q37"/>
      <c r="R37"/>
      <c r="S37"/>
      <c r="T37"/>
      <c r="U37"/>
      <c r="V37"/>
      <c r="W37"/>
      <c r="X37"/>
      <c r="Y37"/>
      <c r="Z37"/>
    </row>
    <row r="38" s="103" customFormat="1" ht="27" customHeight="1" spans="1:26">
      <c r="B38" s="412" t="s">
        <v>56</v>
      </c>
      <c r="C38" s="413" t="s">
        <v>57</v>
      </c>
      <c r="D38" s="450">
        <v>164593.77</v>
      </c>
      <c r="E38" s="451">
        <v>8</v>
      </c>
      <c r="F38" s="416">
        <v>105320.53</v>
      </c>
      <c r="G38" s="419">
        <v>6056.12</v>
      </c>
      <c r="H38" s="419">
        <v>34497.66</v>
      </c>
      <c r="I38" s="419">
        <v>17415.9</v>
      </c>
      <c r="J38"/>
      <c r="K38" s="419">
        <v>-2407.45</v>
      </c>
      <c r="L38" s="419">
        <v>4200</v>
      </c>
      <c r="N38" s="419">
        <v>1303.56</v>
      </c>
      <c r="O38" s="419">
        <v>8750</v>
      </c>
      <c r="P38"/>
      <c r="Q38"/>
      <c r="R38"/>
      <c r="S38"/>
      <c r="T38"/>
      <c r="U38"/>
      <c r="V38"/>
      <c r="W38"/>
      <c r="X38"/>
      <c r="Y38"/>
      <c r="Z38"/>
    </row>
    <row r="39" s="103" customFormat="1" ht="27" customHeight="1" spans="1:26">
      <c r="B39" s="404"/>
      <c r="C39" s="422" t="s">
        <v>58</v>
      </c>
      <c r="D39" s="452">
        <v>166656.05</v>
      </c>
      <c r="E39" s="453">
        <v>5</v>
      </c>
      <c r="F39" s="425">
        <v>157556.05</v>
      </c>
      <c r="G39" s="428"/>
      <c r="H39" s="428">
        <v>4550</v>
      </c>
      <c r="I39" s="428">
        <v>4550</v>
      </c>
      <c r="J39"/>
      <c r="K39" s="428">
        <v>-742</v>
      </c>
      <c r="L39" s="428">
        <v>0</v>
      </c>
      <c r="N39" s="428"/>
      <c r="O39" s="428"/>
      <c r="P39"/>
      <c r="Q39"/>
      <c r="R39"/>
      <c r="S39"/>
      <c r="T39"/>
      <c r="U39"/>
      <c r="V39"/>
      <c r="W39"/>
      <c r="X39"/>
      <c r="Y39"/>
      <c r="Z39"/>
    </row>
    <row r="40" s="103" customFormat="1" ht="27" customHeight="1" spans="1:26">
      <c r="B40" s="404"/>
      <c r="C40" s="422" t="s">
        <v>59</v>
      </c>
      <c r="D40" s="452">
        <v>2200</v>
      </c>
      <c r="E40" s="453">
        <v>1</v>
      </c>
      <c r="F40" s="425">
        <v>2200</v>
      </c>
      <c r="G40" s="428"/>
      <c r="H40" s="428">
        <v>0</v>
      </c>
      <c r="I40" s="428"/>
      <c r="J40"/>
      <c r="K40" s="428">
        <v>0</v>
      </c>
      <c r="L40" s="428">
        <v>2200</v>
      </c>
      <c r="N40" s="428"/>
      <c r="O40" s="428"/>
      <c r="P40"/>
      <c r="Q40"/>
      <c r="R40"/>
      <c r="S40"/>
      <c r="T40"/>
      <c r="U40"/>
      <c r="V40"/>
      <c r="W40"/>
      <c r="X40"/>
      <c r="Y40"/>
      <c r="Z40"/>
    </row>
    <row r="41" s="103" customFormat="1" ht="27" customHeight="1" spans="1:26">
      <c r="B41" s="404"/>
      <c r="C41" s="422" t="s">
        <v>60</v>
      </c>
      <c r="D41" s="452">
        <v>21444.13</v>
      </c>
      <c r="E41" s="453">
        <v>3</v>
      </c>
      <c r="F41" s="425">
        <v>10233.62</v>
      </c>
      <c r="G41" s="428">
        <v>81.94</v>
      </c>
      <c r="H41" s="428">
        <v>6960.51</v>
      </c>
      <c r="I41" s="428">
        <v>3531.9</v>
      </c>
      <c r="J41"/>
      <c r="K41" s="428">
        <v>0</v>
      </c>
      <c r="L41" s="428">
        <v>-124.14</v>
      </c>
      <c r="N41" s="428">
        <v>636.16</v>
      </c>
      <c r="O41" s="428">
        <v>1250</v>
      </c>
      <c r="P41"/>
      <c r="Q41"/>
      <c r="R41"/>
      <c r="S41"/>
      <c r="T41"/>
      <c r="U41"/>
      <c r="V41"/>
      <c r="W41"/>
      <c r="X41"/>
      <c r="Y41"/>
      <c r="Z41"/>
    </row>
    <row r="42" s="103" customFormat="1" ht="27" customHeight="1" spans="1:26">
      <c r="B42" s="404"/>
      <c r="C42" s="422" t="s">
        <v>61</v>
      </c>
      <c r="D42" s="452">
        <v>231081.36</v>
      </c>
      <c r="E42" s="453">
        <v>23</v>
      </c>
      <c r="F42" s="425">
        <v>147096.51</v>
      </c>
      <c r="G42" s="428">
        <v>5967.81</v>
      </c>
      <c r="H42" s="428">
        <v>50650.72</v>
      </c>
      <c r="I42" s="428">
        <v>25470.8</v>
      </c>
      <c r="J42"/>
      <c r="K42" s="428">
        <v>6141.52</v>
      </c>
      <c r="L42" s="428">
        <v>0</v>
      </c>
      <c r="N42" s="428">
        <v>1895.52</v>
      </c>
      <c r="O42" s="428">
        <v>10000</v>
      </c>
      <c r="P42"/>
      <c r="Q42"/>
      <c r="R42"/>
      <c r="S42"/>
      <c r="T42"/>
      <c r="U42"/>
      <c r="V42"/>
      <c r="W42"/>
      <c r="X42"/>
      <c r="Y42"/>
      <c r="Z42"/>
    </row>
    <row r="43" s="103" customFormat="1" ht="27" customHeight="1" spans="1:26">
      <c r="B43" s="404"/>
      <c r="C43" s="422" t="s">
        <v>62</v>
      </c>
      <c r="D43" s="452">
        <v>6449.47</v>
      </c>
      <c r="E43" s="453">
        <v>2</v>
      </c>
      <c r="F43" s="425">
        <v>3700</v>
      </c>
      <c r="G43" s="428">
        <v>40</v>
      </c>
      <c r="H43" s="428">
        <v>1926.17</v>
      </c>
      <c r="I43" s="428">
        <v>783.3</v>
      </c>
      <c r="J43"/>
      <c r="K43" s="428">
        <v>0</v>
      </c>
      <c r="L43" s="428"/>
      <c r="N43" s="428"/>
      <c r="O43" s="428"/>
      <c r="P43"/>
      <c r="Q43"/>
      <c r="R43"/>
      <c r="S43"/>
      <c r="T43"/>
      <c r="U43"/>
      <c r="V43"/>
      <c r="W43"/>
      <c r="X43"/>
      <c r="Y43"/>
      <c r="Z43"/>
    </row>
    <row r="44" s="103" customFormat="1" ht="27" customHeight="1" spans="1:26">
      <c r="B44" s="404"/>
      <c r="C44" s="422" t="s">
        <v>63</v>
      </c>
      <c r="D44" s="452">
        <v>32309.51</v>
      </c>
      <c r="E44" s="453">
        <v>4</v>
      </c>
      <c r="F44" s="425">
        <v>20884.45</v>
      </c>
      <c r="G44" s="428">
        <v>179.05</v>
      </c>
      <c r="H44" s="428">
        <v>7181.51</v>
      </c>
      <c r="I44" s="428">
        <v>3752.9</v>
      </c>
      <c r="J44"/>
      <c r="K44" s="428">
        <v>0</v>
      </c>
      <c r="L44" s="428">
        <v>-206.9</v>
      </c>
      <c r="N44" s="428">
        <v>311.6</v>
      </c>
      <c r="O44" s="428">
        <v>2500</v>
      </c>
      <c r="P44"/>
      <c r="Q44"/>
      <c r="R44"/>
      <c r="S44"/>
      <c r="T44"/>
      <c r="U44"/>
      <c r="V44"/>
      <c r="W44"/>
      <c r="X44"/>
      <c r="Y44"/>
      <c r="Z44"/>
    </row>
    <row r="45" s="103" customFormat="1" ht="27" customHeight="1" spans="1:26">
      <c r="B45" s="404"/>
      <c r="C45" s="422" t="s">
        <v>64</v>
      </c>
      <c r="D45" s="452">
        <v>1000</v>
      </c>
      <c r="E45" s="453">
        <v>1</v>
      </c>
      <c r="F45" s="425">
        <v>960</v>
      </c>
      <c r="G45" s="428">
        <v>40</v>
      </c>
      <c r="H45" s="428">
        <v>0</v>
      </c>
      <c r="I45" s="428">
        <v>0</v>
      </c>
      <c r="J45"/>
      <c r="K45" s="428">
        <v>0</v>
      </c>
      <c r="L45" s="428"/>
      <c r="N45" s="428"/>
      <c r="O45" s="428"/>
      <c r="P45"/>
      <c r="Q45"/>
      <c r="R45"/>
      <c r="S45"/>
      <c r="T45"/>
      <c r="U45"/>
      <c r="V45"/>
      <c r="W45"/>
      <c r="X45"/>
      <c r="Y45"/>
      <c r="Z45"/>
    </row>
    <row r="46" s="103" customFormat="1" ht="27" customHeight="1" spans="1:26">
      <c r="B46" s="404"/>
      <c r="C46" s="422" t="s">
        <v>65</v>
      </c>
      <c r="D46" s="452">
        <v>2000</v>
      </c>
      <c r="E46" s="453">
        <v>2</v>
      </c>
      <c r="F46" s="425">
        <v>1920</v>
      </c>
      <c r="G46" s="428">
        <v>80</v>
      </c>
      <c r="H46" s="428">
        <v>0</v>
      </c>
      <c r="I46" s="428">
        <v>0</v>
      </c>
      <c r="J46"/>
      <c r="K46" s="428">
        <v>0</v>
      </c>
      <c r="L46" s="428">
        <v>0</v>
      </c>
      <c r="N46" s="428"/>
      <c r="O46" s="428"/>
      <c r="P46"/>
      <c r="Q46"/>
      <c r="R46"/>
      <c r="S46"/>
      <c r="T46"/>
      <c r="U46"/>
      <c r="V46"/>
      <c r="W46"/>
      <c r="X46"/>
      <c r="Y46"/>
      <c r="Z46"/>
    </row>
    <row r="47" s="103" customFormat="1" ht="27" customHeight="1" spans="1:26">
      <c r="B47" s="404"/>
      <c r="C47" s="422" t="s">
        <v>66</v>
      </c>
      <c r="D47" s="452">
        <v>19131.93</v>
      </c>
      <c r="E47" s="453">
        <v>4</v>
      </c>
      <c r="F47" s="425">
        <v>11504.99</v>
      </c>
      <c r="G47" s="428">
        <v>40</v>
      </c>
      <c r="H47" s="428">
        <v>4969.52</v>
      </c>
      <c r="I47" s="428">
        <v>2350.02</v>
      </c>
      <c r="J47"/>
      <c r="K47" s="428">
        <v>0</v>
      </c>
      <c r="L47" s="428">
        <v>0</v>
      </c>
      <c r="N47" s="428">
        <v>267.4</v>
      </c>
      <c r="O47" s="428">
        <v>600</v>
      </c>
      <c r="P47"/>
      <c r="Q47"/>
      <c r="R47"/>
      <c r="S47"/>
      <c r="T47"/>
      <c r="U47"/>
      <c r="V47"/>
      <c r="W47"/>
      <c r="X47"/>
      <c r="Y47"/>
      <c r="Z47"/>
    </row>
    <row r="48" s="103" customFormat="1" ht="27" customHeight="1" spans="1:26">
      <c r="B48" s="404"/>
      <c r="C48" s="422" t="s">
        <v>67</v>
      </c>
      <c r="D48" s="452">
        <v>42221.19</v>
      </c>
      <c r="E48" s="453">
        <v>5</v>
      </c>
      <c r="F48" s="425">
        <v>31485.55</v>
      </c>
      <c r="G48" s="428">
        <v>727.19</v>
      </c>
      <c r="H48" s="428">
        <v>5943.19</v>
      </c>
      <c r="I48" s="428">
        <v>3442.06</v>
      </c>
      <c r="J48"/>
      <c r="K48" s="428">
        <v>1002.8</v>
      </c>
      <c r="L48" s="428">
        <v>0</v>
      </c>
      <c r="N48" s="428">
        <v>623.2</v>
      </c>
      <c r="O48" s="428">
        <v>2400</v>
      </c>
      <c r="P48"/>
      <c r="Q48"/>
      <c r="R48"/>
      <c r="S48"/>
      <c r="T48"/>
      <c r="U48"/>
      <c r="V48"/>
      <c r="W48"/>
      <c r="X48"/>
      <c r="Y48"/>
      <c r="Z48"/>
    </row>
    <row r="49" s="103" customFormat="1" ht="27" customHeight="1" spans="2:26">
      <c r="B49" s="404"/>
      <c r="C49" s="422" t="s">
        <v>68</v>
      </c>
      <c r="D49" s="452">
        <v>4890.32</v>
      </c>
      <c r="E49" s="453">
        <v>1</v>
      </c>
      <c r="F49" s="425">
        <v>1000</v>
      </c>
      <c r="G49" s="428">
        <v>0</v>
      </c>
      <c r="H49" s="428">
        <v>2434.22</v>
      </c>
      <c r="I49" s="428">
        <v>1300.3</v>
      </c>
      <c r="J49"/>
      <c r="K49" s="428">
        <v>0</v>
      </c>
      <c r="L49" s="428"/>
      <c r="N49" s="428">
        <v>155.8</v>
      </c>
      <c r="O49" s="428"/>
      <c r="P49"/>
      <c r="Q49"/>
      <c r="R49"/>
      <c r="S49"/>
      <c r="T49"/>
      <c r="U49"/>
      <c r="V49"/>
      <c r="W49"/>
      <c r="X49"/>
      <c r="Y49"/>
      <c r="Z49"/>
    </row>
    <row r="50" s="103" customFormat="1" ht="27" customHeight="1" spans="2:26">
      <c r="B50" s="404"/>
      <c r="C50" s="422" t="s">
        <v>69</v>
      </c>
      <c r="D50" s="452">
        <v>8254.66</v>
      </c>
      <c r="E50" s="453">
        <v>2</v>
      </c>
      <c r="F50" s="425">
        <v>5565.46</v>
      </c>
      <c r="G50" s="428">
        <v>40</v>
      </c>
      <c r="H50" s="428">
        <v>1587.26</v>
      </c>
      <c r="I50" s="428">
        <v>794.54</v>
      </c>
      <c r="J50"/>
      <c r="K50" s="428">
        <v>0</v>
      </c>
      <c r="L50" s="428">
        <v>0</v>
      </c>
      <c r="N50" s="428">
        <v>267.4</v>
      </c>
      <c r="O50" s="428">
        <v>600</v>
      </c>
      <c r="P50"/>
      <c r="Q50"/>
      <c r="R50"/>
      <c r="S50"/>
      <c r="T50"/>
      <c r="U50"/>
      <c r="V50"/>
      <c r="W50"/>
      <c r="X50"/>
      <c r="Y50"/>
      <c r="Z50"/>
    </row>
    <row r="51" s="103" customFormat="1" ht="27" customHeight="1" spans="2:26">
      <c r="B51" s="429" t="s">
        <v>70</v>
      </c>
      <c r="C51" s="430" t="s">
        <v>71</v>
      </c>
      <c r="D51" s="454">
        <v>173588.35</v>
      </c>
      <c r="E51" s="455">
        <v>13</v>
      </c>
      <c r="F51" s="433">
        <v>123035.97</v>
      </c>
      <c r="G51" s="437">
        <v>6715.85</v>
      </c>
      <c r="H51" s="437">
        <v>26745.42</v>
      </c>
      <c r="I51" s="437">
        <v>14880.3</v>
      </c>
      <c r="J51" s="436"/>
      <c r="K51" s="437">
        <v>1260.86</v>
      </c>
      <c r="L51" s="437">
        <v>-21629.54</v>
      </c>
      <c r="N51" s="437">
        <v>2210.81</v>
      </c>
      <c r="O51" s="437">
        <v>16250</v>
      </c>
      <c r="P51"/>
      <c r="Q51"/>
      <c r="R51"/>
      <c r="S51"/>
      <c r="T51"/>
      <c r="U51"/>
      <c r="V51"/>
      <c r="W51"/>
      <c r="X51"/>
      <c r="Y51"/>
      <c r="Z51"/>
    </row>
    <row r="52" s="103" customFormat="1" ht="27" customHeight="1" spans="2:26">
      <c r="B52" s="404"/>
      <c r="C52" s="422" t="s">
        <v>72</v>
      </c>
      <c r="D52" s="452">
        <v>325465.93</v>
      </c>
      <c r="E52" s="453">
        <v>26</v>
      </c>
      <c r="F52" s="425">
        <v>244214.05</v>
      </c>
      <c r="G52" s="428">
        <v>10110.64</v>
      </c>
      <c r="H52" s="428">
        <v>44478.18</v>
      </c>
      <c r="I52" s="428">
        <v>23845.7</v>
      </c>
      <c r="J52"/>
      <c r="K52" s="428">
        <v>33470.97</v>
      </c>
      <c r="L52" s="428">
        <v>448.42</v>
      </c>
      <c r="N52" s="428">
        <v>2817.36</v>
      </c>
      <c r="O52" s="428">
        <v>31250</v>
      </c>
      <c r="P52"/>
      <c r="Q52"/>
      <c r="R52"/>
      <c r="S52"/>
      <c r="T52"/>
      <c r="U52"/>
      <c r="V52"/>
      <c r="W52"/>
      <c r="X52"/>
      <c r="Y52"/>
      <c r="Z52"/>
    </row>
    <row r="53" s="103" customFormat="1" ht="27" customHeight="1" spans="2:26">
      <c r="B53" s="404"/>
      <c r="C53" s="422" t="s">
        <v>73</v>
      </c>
      <c r="D53" s="452">
        <v>92884.43</v>
      </c>
      <c r="E53" s="453">
        <v>19</v>
      </c>
      <c r="F53" s="425">
        <v>73649.76</v>
      </c>
      <c r="G53" s="428">
        <v>496.15</v>
      </c>
      <c r="H53" s="428">
        <v>12537.32</v>
      </c>
      <c r="I53" s="428">
        <v>5733.8</v>
      </c>
      <c r="J53"/>
      <c r="K53" s="428">
        <v>3895</v>
      </c>
      <c r="L53" s="428">
        <v>-2815.29</v>
      </c>
      <c r="N53" s="428">
        <v>467.4</v>
      </c>
      <c r="O53" s="428">
        <v>17500</v>
      </c>
      <c r="P53"/>
      <c r="Q53"/>
      <c r="R53"/>
      <c r="S53"/>
      <c r="T53"/>
      <c r="U53"/>
      <c r="V53"/>
      <c r="W53"/>
      <c r="X53"/>
      <c r="Y53"/>
      <c r="Z53"/>
    </row>
    <row r="54" s="103" customFormat="1" ht="27" customHeight="1" spans="2:26">
      <c r="B54" s="404"/>
      <c r="C54" s="422" t="s">
        <v>74</v>
      </c>
      <c r="D54" s="452">
        <v>260000</v>
      </c>
      <c r="E54" s="453">
        <v>22</v>
      </c>
      <c r="F54" s="425">
        <v>260000</v>
      </c>
      <c r="G54" s="428"/>
      <c r="H54" s="428">
        <v>0</v>
      </c>
      <c r="I54" s="428"/>
      <c r="J54"/>
      <c r="K54" s="428">
        <v>0</v>
      </c>
      <c r="L54" s="428"/>
      <c r="N54" s="428"/>
      <c r="O54" s="428">
        <v>27500</v>
      </c>
      <c r="P54"/>
      <c r="Q54"/>
      <c r="R54"/>
      <c r="S54"/>
      <c r="T54"/>
      <c r="U54"/>
      <c r="V54"/>
      <c r="W54"/>
      <c r="X54"/>
      <c r="Y54"/>
      <c r="Z54"/>
    </row>
    <row r="55" s="103" customFormat="1" ht="27" customHeight="1" spans="2:26">
      <c r="B55" s="404"/>
      <c r="C55" s="422" t="s">
        <v>75</v>
      </c>
      <c r="D55" s="452">
        <v>3899.27</v>
      </c>
      <c r="E55" s="453">
        <v>1</v>
      </c>
      <c r="F55" s="425">
        <v>0</v>
      </c>
      <c r="G55" s="428">
        <v>0</v>
      </c>
      <c r="H55" s="428">
        <v>2443.17</v>
      </c>
      <c r="I55" s="428">
        <v>1300.3</v>
      </c>
      <c r="J55"/>
      <c r="K55" s="428">
        <v>-445.2</v>
      </c>
      <c r="L55" s="428">
        <v>0</v>
      </c>
      <c r="N55" s="428">
        <v>155.8</v>
      </c>
      <c r="O55" s="428">
        <v>1250</v>
      </c>
      <c r="P55"/>
      <c r="Q55"/>
      <c r="R55"/>
      <c r="S55"/>
      <c r="T55"/>
      <c r="U55"/>
      <c r="V55"/>
      <c r="W55"/>
      <c r="X55"/>
      <c r="Y55"/>
      <c r="Z55"/>
    </row>
    <row r="56" s="103" customFormat="1" ht="27" customHeight="1" spans="2:26">
      <c r="B56" s="404"/>
      <c r="C56" s="422" t="s">
        <v>76</v>
      </c>
      <c r="D56" s="452">
        <v>15172.45</v>
      </c>
      <c r="E56" s="453">
        <v>2</v>
      </c>
      <c r="F56" s="425">
        <v>13855.46</v>
      </c>
      <c r="G56" s="428">
        <v>1144.54</v>
      </c>
      <c r="H56" s="428">
        <v>0</v>
      </c>
      <c r="I56" s="428">
        <v>0</v>
      </c>
      <c r="J56"/>
      <c r="K56" s="428">
        <v>0</v>
      </c>
      <c r="L56" s="428">
        <v>0</v>
      </c>
      <c r="N56" s="428">
        <v>172.45</v>
      </c>
      <c r="O56" s="428">
        <v>1250</v>
      </c>
      <c r="P56"/>
      <c r="Q56"/>
      <c r="R56"/>
      <c r="S56"/>
      <c r="T56"/>
      <c r="U56"/>
      <c r="V56"/>
      <c r="W56"/>
      <c r="X56"/>
      <c r="Y56"/>
      <c r="Z56"/>
    </row>
    <row r="57" s="103" customFormat="1" ht="27" customHeight="1" spans="2:26">
      <c r="B57" s="404"/>
      <c r="C57" s="422" t="s">
        <v>77</v>
      </c>
      <c r="D57" s="452">
        <v>9590.02</v>
      </c>
      <c r="E57" s="453">
        <v>1</v>
      </c>
      <c r="F57" s="425">
        <v>5699.7</v>
      </c>
      <c r="G57" s="428">
        <v>0</v>
      </c>
      <c r="H57" s="428">
        <v>2434.22</v>
      </c>
      <c r="I57" s="428">
        <v>1300.3</v>
      </c>
      <c r="J57"/>
      <c r="K57" s="428">
        <v>0</v>
      </c>
      <c r="L57" s="428">
        <v>0</v>
      </c>
      <c r="N57" s="428">
        <v>155.8</v>
      </c>
      <c r="O57" s="428">
        <v>1250</v>
      </c>
      <c r="P57"/>
      <c r="Q57"/>
      <c r="R57"/>
      <c r="S57"/>
      <c r="T57"/>
      <c r="U57"/>
      <c r="V57"/>
      <c r="W57"/>
      <c r="X57"/>
      <c r="Y57"/>
      <c r="Z57"/>
    </row>
    <row r="58" s="103" customFormat="1" ht="27" customHeight="1" spans="2:26">
      <c r="B58" s="404"/>
      <c r="C58" s="422" t="s">
        <v>78</v>
      </c>
      <c r="D58" s="452">
        <v>35605.69</v>
      </c>
      <c r="E58" s="453">
        <v>2</v>
      </c>
      <c r="F58" s="425">
        <v>30348.71</v>
      </c>
      <c r="G58" s="428">
        <v>1728.66</v>
      </c>
      <c r="H58" s="428">
        <v>2253.22</v>
      </c>
      <c r="I58" s="428">
        <v>1119.3</v>
      </c>
      <c r="J58"/>
      <c r="K58" s="428">
        <v>0</v>
      </c>
      <c r="L58" s="428">
        <v>0</v>
      </c>
      <c r="N58" s="428">
        <v>155.8</v>
      </c>
      <c r="O58" s="428">
        <v>1250</v>
      </c>
      <c r="P58"/>
      <c r="Q58"/>
      <c r="R58"/>
      <c r="S58"/>
      <c r="T58"/>
      <c r="U58"/>
      <c r="V58"/>
      <c r="W58"/>
      <c r="X58"/>
      <c r="Y58"/>
      <c r="Z58"/>
    </row>
    <row r="59" s="103" customFormat="1" ht="27" customHeight="1" spans="2:26">
      <c r="B59" s="456"/>
      <c r="C59" s="457" t="s">
        <v>79</v>
      </c>
      <c r="D59" s="458">
        <v>28067.36</v>
      </c>
      <c r="E59" s="459">
        <v>3</v>
      </c>
      <c r="F59" s="425">
        <v>26118.8</v>
      </c>
      <c r="G59" s="428">
        <v>1948.56</v>
      </c>
      <c r="H59" s="428">
        <v>0</v>
      </c>
      <c r="I59" s="428">
        <v>0</v>
      </c>
      <c r="J59"/>
      <c r="K59" s="428">
        <v>0</v>
      </c>
      <c r="L59" s="428">
        <v>0</v>
      </c>
      <c r="N59" s="428"/>
      <c r="O59" s="428"/>
      <c r="P59"/>
      <c r="Q59"/>
      <c r="R59"/>
      <c r="S59"/>
      <c r="T59"/>
      <c r="U59"/>
      <c r="V59"/>
      <c r="W59"/>
      <c r="X59"/>
      <c r="Y59"/>
      <c r="Z59"/>
    </row>
    <row r="60" ht="27" customHeight="1" spans="2:26">
      <c r="B60" s="460"/>
      <c r="C60" s="461" t="s">
        <v>80</v>
      </c>
      <c r="D60" s="462">
        <f t="shared" ref="D60:I60" si="1">SUM(D38:D59)</f>
        <v>1646505.89</v>
      </c>
      <c r="E60" s="462">
        <f t="shared" si="1"/>
        <v>150</v>
      </c>
      <c r="F60" s="462">
        <f t="shared" si="1"/>
        <v>1276349.61</v>
      </c>
      <c r="G60" s="462">
        <f t="shared" si="1"/>
        <v>35396.51</v>
      </c>
      <c r="H60" s="462">
        <f t="shared" si="1"/>
        <v>211592.29</v>
      </c>
      <c r="I60" s="462">
        <f t="shared" si="1"/>
        <v>111571.42</v>
      </c>
      <c r="K60" s="462">
        <f>SUM(K38:K59)</f>
        <v>42176.5</v>
      </c>
      <c r="L60" s="463">
        <f>SUM(L38:L59)</f>
        <v>-17927.45</v>
      </c>
      <c r="N60" s="462">
        <f>SUM(N38:N59)</f>
        <v>11596.06</v>
      </c>
      <c r="O60" s="462">
        <f>SUM(O38:O59)</f>
        <v>123600</v>
      </c>
      <c r="P60"/>
      <c r="Q60"/>
      <c r="R60"/>
      <c r="S60"/>
      <c r="T60"/>
      <c r="U60"/>
      <c r="V60"/>
      <c r="W60"/>
      <c r="X60"/>
      <c r="Y60"/>
      <c r="Z60"/>
    </row>
    <row r="61" spans="2:26">
      <c r="D61" s="464">
        <f t="shared" ref="D61:L61" si="2">D31-D60</f>
        <v>0</v>
      </c>
      <c r="E61" s="464">
        <f t="shared" si="2"/>
        <v>0</v>
      </c>
      <c r="F61" s="464">
        <f t="shared" si="2"/>
        <v>0</v>
      </c>
      <c r="G61" s="464">
        <f t="shared" si="2"/>
        <v>0</v>
      </c>
      <c r="H61" s="464">
        <f t="shared" si="2"/>
        <v>0</v>
      </c>
      <c r="I61" s="464">
        <f t="shared" si="2"/>
        <v>0</v>
      </c>
      <c r="J61" s="464">
        <f t="shared" si="2"/>
        <v>0</v>
      </c>
      <c r="K61" s="464">
        <f t="shared" si="2"/>
        <v>0</v>
      </c>
      <c r="L61" s="464">
        <f t="shared" si="2"/>
        <v>0</v>
      </c>
      <c r="N61" s="464">
        <f>N31-N60</f>
        <v>0</v>
      </c>
      <c r="O61" s="464">
        <f>O31-O60</f>
        <v>0</v>
      </c>
      <c r="T61" s="103"/>
      <c r="U61" s="103"/>
      <c r="V61" s="420"/>
      <c r="W61" s="103"/>
      <c r="Y61" s="420"/>
    </row>
    <row r="62" spans="2:26">
      <c r="D62" s="464">
        <f>D60-薪酬明细!K163</f>
        <v>0</v>
      </c>
      <c r="E62" s="465"/>
      <c r="F62" s="464">
        <f>F60-薪酬明细!L163</f>
        <v>0</v>
      </c>
      <c r="G62" s="464">
        <f>G60-薪酬明细!AY163</f>
        <v>0</v>
      </c>
      <c r="H62" s="464">
        <f>H60-薪酬明细!BL161</f>
        <v>0</v>
      </c>
      <c r="I62" s="464">
        <f>I60-薪酬明细!AM163</f>
        <v>0</v>
      </c>
      <c r="K62" s="464">
        <f>K60-薪酬明细!BS161</f>
        <v>0</v>
      </c>
      <c r="L62" s="464">
        <f>L60-薪酬明细!Q161</f>
        <v>0</v>
      </c>
      <c r="N62" s="464">
        <f>N60-薪酬明细!S163</f>
        <v>0</v>
      </c>
      <c r="O62" s="464">
        <f>O60-薪酬明细!BT161</f>
        <v>0</v>
      </c>
      <c r="T62" s="103"/>
      <c r="U62" s="103"/>
      <c r="V62" s="420"/>
      <c r="W62" s="103"/>
      <c r="Y62" s="420"/>
    </row>
    <row r="63" spans="2:26">
      <c r="D63" s="465"/>
      <c r="E63" s="465"/>
      <c r="F63" s="465"/>
      <c r="G63" s="465"/>
      <c r="H63" s="465"/>
      <c r="I63" s="465"/>
      <c r="K63" s="465"/>
      <c r="L63" s="465"/>
      <c r="N63" s="465"/>
      <c r="O63" s="465"/>
    </row>
    <row r="64" spans="2:26">
      <c r="D64" s="395"/>
      <c r="E64" s="395"/>
      <c r="F64" s="395"/>
      <c r="G64" s="395"/>
      <c r="H64" s="395"/>
      <c r="I64" s="395"/>
      <c r="J64" s="9"/>
      <c r="K64" s="395"/>
      <c r="L64" s="395"/>
      <c r="N64" s="395"/>
      <c r="O64" s="395"/>
    </row>
    <row r="65" spans="10:10">
      <c r="J65" s="147"/>
    </row>
    <row r="66" spans="10:10">
      <c r="J66" s="147"/>
    </row>
  </sheetData>
  <printOptions horizontalCentered="1"/>
  <pageMargins left="0.30625" right="0.30625" top="0.35625" bottom="0.35625" header="0.3" footer="0.3"/>
  <pageSetup paperSize="9" scale="46" orientation="portrait"/>
  <headerFooter>
    <oddFooter>&amp;R&amp;"Heiti SC Light,常规"&amp;K000000&amp;D&amp;F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008000"/>
    <pageSetUpPr fitToPage="1"/>
  </sheetPr>
  <dimension ref="A1:CD171"/>
  <sheetViews>
    <sheetView showGridLines="0" tabSelected="1" zoomScale="90" zoomScaleNormal="90" workbookViewId="0">
      <pane xSplit="9" ySplit="9" topLeftCell="J10" activePane="bottomRight" state="frozen"/>
      <selection/>
      <selection pane="topRight"/>
      <selection pane="bottomLeft"/>
      <selection pane="bottomRight" activeCell="K47" sqref="K47"/>
    </sheetView>
  </sheetViews>
  <sheetFormatPr defaultColWidth="10.6666666666667" defaultRowHeight="17.6"/>
  <cols>
    <col min="1" max="1" width="20.7" style="245" customWidth="1"/>
    <col min="2" max="2" width="24.6666666666667" style="245" customWidth="1"/>
    <col min="3" max="3" width="14.5416666666667" style="246" customWidth="1"/>
    <col min="4" max="4" width="9.06666666666667" style="246" customWidth="1"/>
    <col min="5" max="5" width="13.3666666666667" style="246" customWidth="1"/>
    <col min="6" max="6" width="10.8333333333333" style="246" customWidth="1"/>
    <col min="7" max="10" width="15.8333333333333" style="246" customWidth="1"/>
    <col min="11" max="11" width="16.6666666666667" style="247" customWidth="1"/>
    <col min="12" max="12" width="16.6666666666667" style="246" customWidth="1"/>
    <col min="13" max="13" width="3.6" customWidth="1"/>
    <col min="14" max="14" width="9.83333333333333" style="246" customWidth="1"/>
    <col min="15" max="15" width="17.1833333333333" style="246" customWidth="1"/>
    <col min="16" max="17" width="14.3333333333333" style="246" customWidth="1"/>
    <col min="18" max="18" width="16.7166666666667" style="246" customWidth="1"/>
    <col min="19" max="20" width="14.3333333333333" style="246" customWidth="1"/>
    <col min="21" max="28" width="16.5" style="246" customWidth="1"/>
    <col min="29" max="29" width="17.1666666666667" style="246" customWidth="1"/>
    <col min="30" max="30" width="8" style="248" customWidth="1"/>
    <col min="31" max="38" width="14.8333333333333" style="246" customWidth="1"/>
    <col min="39" max="39" width="16.5" style="246" customWidth="1"/>
    <col min="40" max="41" width="14.8333333333333" style="246" customWidth="1"/>
    <col min="42" max="42" width="14.8333333333333" style="249" customWidth="1"/>
    <col min="43" max="44" width="14.8333333333333" style="246" customWidth="1"/>
    <col min="45" max="45" width="17.1666666666667" style="246" customWidth="1"/>
    <col min="46" max="46" width="1.24166666666667" style="248" customWidth="1"/>
    <col min="47" max="47" width="16.3333333333333" style="246" customWidth="1"/>
    <col min="48" max="48" width="16.8333333333333" style="246" customWidth="1"/>
    <col min="49" max="50" width="14.8333333333333" style="246" customWidth="1"/>
    <col min="51" max="51" width="15.6666666666667" style="246" customWidth="1"/>
    <col min="52" max="53" width="14.8333333333333" style="246" customWidth="1"/>
    <col min="54" max="54" width="17" style="246" customWidth="1"/>
    <col min="55" max="55" width="14.8333333333333" style="246" customWidth="1"/>
    <col min="56" max="56" width="15.6666666666667" style="246" customWidth="1"/>
    <col min="57" max="57" width="14.8333333333333" style="249" customWidth="1"/>
    <col min="58" max="62" width="14.8333333333333" style="250" customWidth="1"/>
    <col min="63" max="63" width="14.8333333333333" style="246" customWidth="1"/>
    <col min="64" max="64" width="14.6666666666667" style="246" customWidth="1"/>
    <col min="65" max="65" width="2.5" style="248" customWidth="1"/>
    <col min="66" max="69" width="14.8333333333333" style="246" customWidth="1"/>
    <col min="70" max="73" width="14.6666666666667" style="246" customWidth="1"/>
    <col min="74" max="74" width="12.9666666666667" style="246" customWidth="1"/>
    <col min="75" max="75" width="23" style="246" customWidth="1"/>
    <col min="76" max="78" width="12.075" style="250" customWidth="1"/>
    <col min="79" max="80" width="19.3083333333333" style="250" customWidth="1"/>
    <col min="81" max="81" width="11.5916666666667" style="250" customWidth="1"/>
  </cols>
  <sheetData>
    <row r="1" s="237" customFormat="1" ht="34.25" customHeight="1" spans="1:82">
      <c r="A1"/>
      <c r="B1" s="251" t="s">
        <v>81</v>
      </c>
      <c r="C1" s="251"/>
      <c r="D1" s="251"/>
      <c r="E1" s="251"/>
      <c r="F1" s="252" t="s">
        <v>82</v>
      </c>
      <c r="K1" s="253" t="s">
        <v>83</v>
      </c>
      <c r="L1" s="254"/>
      <c r="M1"/>
      <c r="N1" s="255" t="s">
        <v>84</v>
      </c>
      <c r="O1" s="256" t="s">
        <v>85</v>
      </c>
      <c r="P1" s="256" t="s">
        <v>86</v>
      </c>
      <c r="Q1" s="257"/>
      <c r="R1" s="257"/>
      <c r="S1" s="257"/>
      <c r="AB1" s="256" t="s">
        <v>87</v>
      </c>
      <c r="AC1" s="256" t="s">
        <v>88</v>
      </c>
      <c r="AD1" s="258"/>
      <c r="AE1" s="259" t="s">
        <v>89</v>
      </c>
      <c r="AF1" s="259"/>
      <c r="AG1" s="259"/>
      <c r="AI1" s="260" t="s">
        <v>90</v>
      </c>
      <c r="AJ1" s="260"/>
      <c r="AK1" s="260"/>
      <c r="AN1" s="260" t="s">
        <v>91</v>
      </c>
      <c r="AO1" s="260"/>
      <c r="AP1" s="260"/>
      <c r="AR1" s="261"/>
      <c r="BF1" s="261"/>
      <c r="BM1" s="254"/>
      <c r="BN1" s="262" t="s">
        <v>92</v>
      </c>
      <c r="BO1" s="262"/>
      <c r="BP1" s="262"/>
      <c r="BQ1" s="263"/>
      <c r="BX1" s="264"/>
      <c r="BY1" s="264"/>
      <c r="BZ1" s="264"/>
      <c r="CA1" s="264"/>
      <c r="CB1" s="264"/>
      <c r="CC1" s="264"/>
      <c r="CD1"/>
    </row>
    <row r="2" s="238" customFormat="1" ht="20" customHeight="1" spans="1:82">
      <c r="A2"/>
      <c r="B2" s="467" t="s">
        <v>93</v>
      </c>
      <c r="C2" s="263" t="s">
        <v>94</v>
      </c>
      <c r="D2" s="263"/>
      <c r="E2" s="263"/>
      <c r="F2" s="263"/>
      <c r="G2" s="263"/>
      <c r="H2" s="263"/>
      <c r="I2" s="263"/>
      <c r="J2" s="263"/>
      <c r="K2" s="265" t="s">
        <v>95</v>
      </c>
      <c r="L2" s="257" t="s">
        <v>94</v>
      </c>
      <c r="M2"/>
      <c r="N2" s="255" t="s">
        <v>96</v>
      </c>
      <c r="O2" s="266" t="s">
        <v>97</v>
      </c>
      <c r="P2" s="267" t="s">
        <v>98</v>
      </c>
      <c r="Q2" s="268"/>
      <c r="R2" s="269"/>
      <c r="S2" s="269"/>
      <c r="AB2" s="266" t="s">
        <v>99</v>
      </c>
      <c r="AC2" s="267" t="s">
        <v>100</v>
      </c>
      <c r="AD2" s="258"/>
      <c r="AE2" s="468" t="s">
        <v>101</v>
      </c>
      <c r="AF2" s="270"/>
      <c r="AG2" s="270"/>
      <c r="AI2" s="238" t="s">
        <v>102</v>
      </c>
      <c r="AN2" s="238" t="s">
        <v>103</v>
      </c>
      <c r="AO2" s="238" t="s">
        <v>104</v>
      </c>
      <c r="AP2" s="271" t="s">
        <v>105</v>
      </c>
      <c r="AR2" s="272"/>
      <c r="BF2" s="272"/>
      <c r="BM2" s="254"/>
      <c r="BN2" s="273" t="s">
        <v>106</v>
      </c>
      <c r="BO2" s="273"/>
      <c r="BP2" s="273"/>
      <c r="BQ2" s="273"/>
      <c r="BX2" s="258"/>
      <c r="BY2" s="258"/>
      <c r="BZ2" s="258"/>
      <c r="CA2" s="258"/>
      <c r="CB2" s="258"/>
      <c r="CC2" s="258"/>
      <c r="CD2"/>
    </row>
    <row r="3" s="238" customFormat="1" ht="20" customHeight="1" spans="1:82">
      <c r="A3"/>
      <c r="B3" s="469" t="s">
        <v>107</v>
      </c>
      <c r="C3" s="275" t="s">
        <v>108</v>
      </c>
      <c r="D3" s="274"/>
      <c r="E3" s="274"/>
      <c r="F3" s="275" t="s">
        <v>109</v>
      </c>
      <c r="G3" s="275"/>
      <c r="H3" s="275"/>
      <c r="I3" s="275"/>
      <c r="J3" s="275"/>
      <c r="K3" s="470" t="s">
        <v>110</v>
      </c>
      <c r="L3" s="275" t="s">
        <v>108</v>
      </c>
      <c r="M3"/>
      <c r="N3" s="255" t="s">
        <v>111</v>
      </c>
      <c r="O3" s="267" t="s">
        <v>112</v>
      </c>
      <c r="P3" s="267" t="s">
        <v>113</v>
      </c>
      <c r="Q3" s="266"/>
      <c r="R3" s="266"/>
      <c r="S3" s="266"/>
      <c r="AB3" s="267" t="s">
        <v>114</v>
      </c>
      <c r="AC3" s="267" t="s">
        <v>115</v>
      </c>
      <c r="AD3" s="258"/>
      <c r="AE3" s="471" t="s">
        <v>116</v>
      </c>
      <c r="AF3" s="277"/>
      <c r="AG3" s="277"/>
      <c r="AI3" s="238" t="s">
        <v>117</v>
      </c>
      <c r="AN3" s="238" t="s">
        <v>103</v>
      </c>
      <c r="AO3" s="238" t="s">
        <v>118</v>
      </c>
      <c r="AP3" s="271" t="s">
        <v>105</v>
      </c>
      <c r="AR3" s="272"/>
      <c r="AX3" s="278"/>
      <c r="AY3" s="279">
        <f>AY4-AY5</f>
        <v>0</v>
      </c>
      <c r="AZ3" s="278"/>
      <c r="BA3" s="278"/>
      <c r="BB3" s="278"/>
      <c r="BF3" s="272"/>
      <c r="BM3" s="254"/>
      <c r="BN3" s="272" t="s">
        <v>119</v>
      </c>
      <c r="BO3" s="272"/>
      <c r="BP3" s="272"/>
      <c r="BQ3" s="272"/>
      <c r="BX3" s="258"/>
      <c r="BY3" s="258"/>
      <c r="BZ3" s="258"/>
      <c r="CA3" s="258"/>
      <c r="CB3" s="258"/>
      <c r="CC3" s="258"/>
      <c r="CD3"/>
    </row>
    <row r="4" s="238" customFormat="1" ht="20" customHeight="1" spans="1:82">
      <c r="A4"/>
      <c r="B4" s="469" t="s">
        <v>120</v>
      </c>
      <c r="C4" s="275" t="s">
        <v>121</v>
      </c>
      <c r="D4" s="274"/>
      <c r="E4" s="274"/>
      <c r="F4" s="275" t="s">
        <v>122</v>
      </c>
      <c r="G4" s="275"/>
      <c r="H4" s="275"/>
      <c r="I4" s="275"/>
      <c r="J4" s="275"/>
      <c r="K4" s="280" t="s">
        <v>123</v>
      </c>
      <c r="L4" s="281" t="s">
        <v>121</v>
      </c>
      <c r="M4"/>
      <c r="N4" s="255" t="s">
        <v>124</v>
      </c>
      <c r="O4" s="267" t="s">
        <v>125</v>
      </c>
      <c r="P4" s="282" t="s">
        <v>126</v>
      </c>
      <c r="Q4" s="266"/>
      <c r="R4" s="266"/>
      <c r="S4" s="266"/>
      <c r="AB4" s="267" t="s">
        <v>127</v>
      </c>
      <c r="AC4" s="267" t="s">
        <v>128</v>
      </c>
      <c r="AD4" s="258"/>
      <c r="AE4" s="471" t="s">
        <v>129</v>
      </c>
      <c r="AF4" s="277"/>
      <c r="AG4" s="277"/>
      <c r="AI4" s="238" t="s">
        <v>130</v>
      </c>
      <c r="AN4" s="238" t="s">
        <v>103</v>
      </c>
      <c r="AO4" s="238" t="s">
        <v>131</v>
      </c>
      <c r="AP4" s="271" t="s">
        <v>105</v>
      </c>
      <c r="AR4" s="272"/>
      <c r="AY4" s="283">
        <v>35396.51</v>
      </c>
      <c r="AZ4" s="278"/>
      <c r="BC4" s="278"/>
      <c r="BD4" s="278"/>
      <c r="BF4" s="272"/>
      <c r="BL4" s="278"/>
      <c r="BM4" s="254"/>
      <c r="BN4" s="272" t="s">
        <v>132</v>
      </c>
      <c r="BO4" s="272"/>
      <c r="BP4" s="272"/>
      <c r="BQ4" s="272"/>
      <c r="BR4" s="278"/>
      <c r="BS4" s="278"/>
      <c r="BT4" s="278"/>
      <c r="BU4" s="278"/>
      <c r="BX4" s="258"/>
      <c r="BY4" s="258"/>
      <c r="BZ4" s="258"/>
      <c r="CA4" s="258"/>
      <c r="CB4" s="258"/>
      <c r="CC4" s="258"/>
      <c r="CD4"/>
    </row>
    <row r="5" s="238" customFormat="1" ht="20" customHeight="1" spans="1:82">
      <c r="A5"/>
      <c r="B5" s="469" t="s">
        <v>133</v>
      </c>
      <c r="C5" s="284" t="s">
        <v>134</v>
      </c>
      <c r="D5" s="274"/>
      <c r="E5" s="274"/>
      <c r="F5" s="285" t="s">
        <v>135</v>
      </c>
      <c r="G5" s="285"/>
      <c r="H5" s="285"/>
      <c r="I5" s="285"/>
      <c r="J5" s="285"/>
      <c r="K5" s="278"/>
      <c r="M5"/>
      <c r="N5" s="255" t="s">
        <v>136</v>
      </c>
      <c r="O5" s="286" t="s">
        <v>137</v>
      </c>
      <c r="P5" s="286" t="s">
        <v>138</v>
      </c>
      <c r="Q5" s="287"/>
      <c r="R5" s="287"/>
      <c r="S5" s="287"/>
      <c r="AB5" s="286" t="s">
        <v>139</v>
      </c>
      <c r="AC5" s="286" t="s">
        <v>140</v>
      </c>
      <c r="AD5" s="258"/>
      <c r="AE5" s="471" t="s">
        <v>141</v>
      </c>
      <c r="AF5" s="277"/>
      <c r="AG5" s="277"/>
      <c r="AI5" s="238" t="s">
        <v>142</v>
      </c>
      <c r="AN5" s="238" t="s">
        <v>103</v>
      </c>
      <c r="AO5" s="238" t="s">
        <v>143</v>
      </c>
      <c r="AP5" s="271" t="s">
        <v>105</v>
      </c>
      <c r="AR5" s="272"/>
      <c r="AY5" s="278">
        <f>AY161</f>
        <v>35396.51</v>
      </c>
      <c r="AZ5" s="278"/>
      <c r="BC5" s="278"/>
      <c r="BD5" s="278"/>
      <c r="BE5" s="278"/>
      <c r="BF5" s="278"/>
      <c r="BG5" s="278"/>
      <c r="BH5" s="278"/>
      <c r="BI5" s="278"/>
      <c r="BL5" s="278"/>
      <c r="BM5" s="254"/>
      <c r="BN5" s="272" t="s">
        <v>144</v>
      </c>
      <c r="BO5" s="272"/>
      <c r="BP5" s="272"/>
      <c r="BQ5" s="272"/>
      <c r="BR5" s="278"/>
      <c r="BS5" s="278"/>
      <c r="BT5" s="278"/>
      <c r="BU5" s="278"/>
      <c r="BX5" s="258"/>
      <c r="BY5" s="258"/>
      <c r="BZ5" s="258"/>
      <c r="CA5" s="258"/>
      <c r="CB5" s="258"/>
      <c r="CC5" s="258"/>
      <c r="CD5"/>
    </row>
    <row r="6" s="239" customFormat="1" ht="22" customHeight="1" spans="1:82">
      <c r="A6" s="186"/>
      <c r="B6" s="472" t="s">
        <v>145</v>
      </c>
      <c r="C6" s="289" t="s">
        <v>146</v>
      </c>
      <c r="D6" s="290"/>
      <c r="E6" s="288"/>
      <c r="F6" s="289" t="s">
        <v>147</v>
      </c>
      <c r="G6" s="288"/>
      <c r="H6" s="288"/>
      <c r="I6" s="288"/>
      <c r="J6" s="288"/>
      <c r="K6" s="291"/>
      <c r="L6" s="292"/>
      <c r="M6" s="186"/>
      <c r="N6" s="293"/>
      <c r="O6" s="293"/>
      <c r="P6" s="293"/>
      <c r="Q6" s="293"/>
      <c r="R6" s="293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4"/>
      <c r="AE6" s="473" t="s">
        <v>148</v>
      </c>
      <c r="AF6" s="295"/>
      <c r="AG6" s="295"/>
      <c r="AH6" s="293"/>
      <c r="AI6" s="296"/>
      <c r="AJ6" s="297"/>
      <c r="AK6" s="296"/>
      <c r="AL6" s="293"/>
      <c r="AM6" s="293"/>
      <c r="AN6" s="296" t="s">
        <v>103</v>
      </c>
      <c r="AO6" s="296" t="s">
        <v>149</v>
      </c>
      <c r="AP6" s="298" t="s">
        <v>108</v>
      </c>
      <c r="AQ6" s="293"/>
      <c r="AR6" s="299"/>
      <c r="AS6" s="293"/>
      <c r="AT6" s="294"/>
      <c r="AU6" s="293"/>
      <c r="AV6" s="293"/>
      <c r="AW6" s="293"/>
      <c r="AX6" s="293"/>
      <c r="AY6" s="300"/>
      <c r="AZ6" s="292"/>
      <c r="BA6" s="301"/>
      <c r="BB6" s="301"/>
      <c r="BC6" s="301"/>
      <c r="BD6" s="300"/>
      <c r="BE6" s="292"/>
      <c r="BF6" s="292"/>
      <c r="BG6" s="292"/>
      <c r="BH6" s="292"/>
      <c r="BI6" s="292"/>
      <c r="BJ6" s="302"/>
      <c r="BK6" s="293"/>
      <c r="BL6" s="293"/>
      <c r="BM6" s="303"/>
      <c r="BN6" s="296" t="s">
        <v>150</v>
      </c>
      <c r="BO6" s="296"/>
      <c r="BP6" s="297"/>
      <c r="BQ6" s="296"/>
      <c r="BR6" s="293"/>
      <c r="BS6" s="293"/>
      <c r="BT6" s="293"/>
      <c r="BU6" s="293"/>
      <c r="BV6" s="293"/>
      <c r="BW6" s="293"/>
      <c r="BX6" s="302"/>
      <c r="BY6" s="302"/>
      <c r="BZ6" s="302"/>
      <c r="CA6" s="302"/>
      <c r="CB6" s="302"/>
      <c r="CC6" s="302"/>
      <c r="CD6"/>
    </row>
    <row r="7" s="240" customFormat="1" ht="10.25" customHeight="1" spans="1:82">
      <c r="A7"/>
      <c r="B7" s="304"/>
      <c r="C7" s="305"/>
      <c r="D7" s="305"/>
      <c r="E7" s="305"/>
      <c r="F7" s="305"/>
      <c r="G7" s="305"/>
      <c r="H7" s="305"/>
      <c r="I7" s="305"/>
      <c r="J7" s="305"/>
      <c r="K7" s="306"/>
      <c r="L7" s="305"/>
      <c r="M7"/>
      <c r="N7" s="305"/>
      <c r="O7" s="305"/>
      <c r="P7" s="305"/>
      <c r="Q7" s="305"/>
      <c r="R7" s="305"/>
      <c r="S7" s="305"/>
      <c r="T7" s="305"/>
      <c r="U7" s="305"/>
      <c r="V7" s="305"/>
      <c r="W7" s="305"/>
      <c r="X7" s="305"/>
      <c r="Y7" s="305"/>
      <c r="Z7" s="305"/>
      <c r="AA7" s="305"/>
      <c r="AB7" s="305"/>
      <c r="AC7" s="305"/>
      <c r="AD7" s="254"/>
      <c r="AE7" s="307"/>
      <c r="AF7" s="307"/>
      <c r="AG7" s="305"/>
      <c r="AH7" s="305"/>
      <c r="AI7" s="305"/>
      <c r="AJ7" s="305"/>
      <c r="AK7" s="305"/>
      <c r="AL7" s="305"/>
      <c r="AM7" s="305"/>
      <c r="AN7" s="305"/>
      <c r="AO7" s="305"/>
      <c r="AP7" s="305"/>
      <c r="AQ7" s="305"/>
      <c r="AR7" s="305"/>
      <c r="AS7" s="305"/>
      <c r="AT7" s="254"/>
      <c r="AU7" s="305"/>
      <c r="AV7" s="305"/>
      <c r="AW7" s="305"/>
      <c r="AX7" s="237"/>
      <c r="AY7" s="305"/>
      <c r="AZ7" s="305"/>
      <c r="BA7" s="305"/>
      <c r="BB7" s="305"/>
      <c r="BC7" s="305"/>
      <c r="BD7" s="305"/>
      <c r="BE7" s="305"/>
      <c r="BF7" s="305"/>
      <c r="BG7" s="305"/>
      <c r="BH7" s="305"/>
      <c r="BI7" s="305"/>
      <c r="BJ7" s="305"/>
      <c r="BK7" s="305"/>
      <c r="BL7" s="305"/>
      <c r="BM7" s="254"/>
      <c r="BN7" s="237"/>
      <c r="BO7" s="237"/>
      <c r="BP7" s="305"/>
      <c r="BQ7" s="305"/>
      <c r="BR7" s="305"/>
      <c r="BS7" s="305"/>
      <c r="BT7" s="305"/>
      <c r="BU7" s="305"/>
      <c r="BV7" s="305"/>
      <c r="BW7" s="305"/>
      <c r="BX7" s="305"/>
      <c r="BY7" s="305"/>
      <c r="BZ7" s="305"/>
      <c r="CA7" s="305"/>
      <c r="CB7" s="305"/>
      <c r="CC7" s="305"/>
    </row>
    <row r="8" s="241" customFormat="1" ht="25.25" customHeight="1" spans="1:82">
      <c r="A8" s="308"/>
      <c r="B8" s="308"/>
      <c r="C8" s="308"/>
      <c r="D8" s="308"/>
      <c r="E8" s="308"/>
      <c r="F8" s="308"/>
      <c r="G8" s="308"/>
      <c r="H8" s="308"/>
      <c r="I8" s="308"/>
      <c r="J8" s="308"/>
      <c r="K8" s="309" t="s">
        <v>151</v>
      </c>
      <c r="L8" s="310" t="s">
        <v>152</v>
      </c>
      <c r="M8"/>
      <c r="N8" s="308"/>
      <c r="O8" s="308" t="s">
        <v>84</v>
      </c>
      <c r="P8" s="308" t="s">
        <v>153</v>
      </c>
      <c r="Q8" s="308" t="s">
        <v>96</v>
      </c>
      <c r="R8" s="308" t="s">
        <v>154</v>
      </c>
      <c r="S8" s="308" t="s">
        <v>155</v>
      </c>
      <c r="T8" s="308" t="s">
        <v>136</v>
      </c>
      <c r="U8" s="311" t="s">
        <v>156</v>
      </c>
      <c r="V8" s="308" t="s">
        <v>157</v>
      </c>
      <c r="W8" s="308"/>
      <c r="X8" s="308"/>
      <c r="Y8" s="308"/>
      <c r="Z8" s="308"/>
      <c r="AA8" s="308"/>
      <c r="AB8" s="308"/>
      <c r="AC8" s="311" t="s">
        <v>158</v>
      </c>
      <c r="AD8" s="312"/>
      <c r="AE8" s="308"/>
      <c r="AF8" s="308"/>
      <c r="AG8" s="308"/>
      <c r="AH8" s="308" t="s">
        <v>159</v>
      </c>
      <c r="AI8" s="308" t="s">
        <v>160</v>
      </c>
      <c r="AJ8" s="308" t="s">
        <v>161</v>
      </c>
      <c r="AK8" s="308" t="s">
        <v>162</v>
      </c>
      <c r="AL8" s="308" t="s">
        <v>163</v>
      </c>
      <c r="AM8" s="311" t="s">
        <v>164</v>
      </c>
      <c r="AN8" s="308"/>
      <c r="AO8" s="308"/>
      <c r="AP8" s="308"/>
      <c r="AQ8" s="308"/>
      <c r="AR8" s="308"/>
      <c r="AS8" s="308" t="s">
        <v>165</v>
      </c>
      <c r="AT8" s="312"/>
      <c r="AU8" s="313"/>
      <c r="AV8" s="308"/>
      <c r="AW8" s="308"/>
      <c r="AX8" s="308" t="s">
        <v>166</v>
      </c>
      <c r="AY8" s="311" t="s">
        <v>6</v>
      </c>
      <c r="AZ8" s="241" t="s">
        <v>167</v>
      </c>
      <c r="BA8" s="241" t="s">
        <v>168</v>
      </c>
      <c r="BB8" s="241" t="s">
        <v>169</v>
      </c>
      <c r="BC8" s="241" t="s">
        <v>170</v>
      </c>
      <c r="BD8" s="310" t="s">
        <v>171</v>
      </c>
      <c r="BE8" s="308" t="s">
        <v>172</v>
      </c>
      <c r="BF8" s="308" t="s">
        <v>173</v>
      </c>
      <c r="BG8" s="308" t="s">
        <v>174</v>
      </c>
      <c r="BH8" s="308" t="s">
        <v>175</v>
      </c>
      <c r="BI8" s="308" t="s">
        <v>176</v>
      </c>
      <c r="BJ8" s="308" t="s">
        <v>177</v>
      </c>
      <c r="BK8" s="308" t="s">
        <v>178</v>
      </c>
      <c r="BL8" s="308" t="s">
        <v>179</v>
      </c>
      <c r="BM8" s="254"/>
      <c r="BN8" s="308" t="s">
        <v>9</v>
      </c>
      <c r="BO8" s="308" t="s">
        <v>180</v>
      </c>
      <c r="BP8" s="308" t="s">
        <v>181</v>
      </c>
      <c r="BQ8" s="308" t="s">
        <v>182</v>
      </c>
      <c r="BR8" s="311" t="s">
        <v>183</v>
      </c>
      <c r="BS8" s="311"/>
      <c r="BT8" s="308"/>
      <c r="BU8" s="308"/>
      <c r="BV8" s="308"/>
      <c r="BX8" s="314"/>
      <c r="BY8" s="314"/>
      <c r="BZ8" s="314"/>
      <c r="CA8" s="314"/>
      <c r="CB8" s="314"/>
      <c r="CC8" s="314"/>
    </row>
    <row r="9" s="242" customFormat="1" ht="38" customHeight="1" spans="1:82">
      <c r="A9" s="315" t="s">
        <v>184</v>
      </c>
      <c r="B9" s="315" t="s">
        <v>185</v>
      </c>
      <c r="C9" s="316" t="s">
        <v>55</v>
      </c>
      <c r="D9" s="316" t="s">
        <v>186</v>
      </c>
      <c r="E9" s="317" t="s">
        <v>187</v>
      </c>
      <c r="F9" s="317" t="s">
        <v>188</v>
      </c>
      <c r="G9" s="318" t="s">
        <v>189</v>
      </c>
      <c r="H9" s="319" t="s">
        <v>190</v>
      </c>
      <c r="I9" s="318" t="s">
        <v>191</v>
      </c>
      <c r="J9" s="318" t="s">
        <v>192</v>
      </c>
      <c r="K9" s="320" t="s">
        <v>14</v>
      </c>
      <c r="L9" s="321" t="s">
        <v>193</v>
      </c>
      <c r="M9">
        <v>1</v>
      </c>
      <c r="N9" s="322" t="s">
        <v>194</v>
      </c>
      <c r="O9" s="323" t="s">
        <v>195</v>
      </c>
      <c r="P9" s="323" t="s">
        <v>196</v>
      </c>
      <c r="Q9" s="324" t="s">
        <v>197</v>
      </c>
      <c r="R9" s="325" t="s">
        <v>198</v>
      </c>
      <c r="S9" s="325" t="s">
        <v>199</v>
      </c>
      <c r="T9" s="326" t="s">
        <v>200</v>
      </c>
      <c r="U9" s="327" t="s">
        <v>201</v>
      </c>
      <c r="V9" s="328" t="s">
        <v>202</v>
      </c>
      <c r="W9" s="329" t="s">
        <v>203</v>
      </c>
      <c r="X9" s="329" t="s">
        <v>204</v>
      </c>
      <c r="Y9" s="330" t="s">
        <v>205</v>
      </c>
      <c r="Z9" s="331" t="s">
        <v>206</v>
      </c>
      <c r="AA9" s="332" t="s">
        <v>207</v>
      </c>
      <c r="AB9" s="332" t="s">
        <v>208</v>
      </c>
      <c r="AC9" s="327" t="s">
        <v>209</v>
      </c>
      <c r="AD9" s="312">
        <v>0</v>
      </c>
      <c r="AE9" s="333" t="s">
        <v>210</v>
      </c>
      <c r="AF9" s="333" t="s">
        <v>211</v>
      </c>
      <c r="AG9" s="333" t="s">
        <v>212</v>
      </c>
      <c r="AH9" s="333" t="s">
        <v>213</v>
      </c>
      <c r="AI9" s="334" t="s">
        <v>214</v>
      </c>
      <c r="AJ9" s="335" t="s">
        <v>215</v>
      </c>
      <c r="AK9" s="318" t="s">
        <v>216</v>
      </c>
      <c r="AL9" s="334" t="s">
        <v>217</v>
      </c>
      <c r="AM9" s="327" t="s">
        <v>218</v>
      </c>
      <c r="AN9" s="336" t="s">
        <v>219</v>
      </c>
      <c r="AO9" s="318" t="s">
        <v>220</v>
      </c>
      <c r="AP9" s="318" t="s">
        <v>221</v>
      </c>
      <c r="AQ9" s="318" t="s">
        <v>222</v>
      </c>
      <c r="AR9" s="318" t="s">
        <v>223</v>
      </c>
      <c r="AS9" s="318" t="s">
        <v>224</v>
      </c>
      <c r="AT9" s="254">
        <v>1</v>
      </c>
      <c r="AU9" s="318" t="s">
        <v>225</v>
      </c>
      <c r="AV9" s="318" t="s">
        <v>226</v>
      </c>
      <c r="AW9" s="337" t="s">
        <v>227</v>
      </c>
      <c r="AX9" s="337" t="s">
        <v>228</v>
      </c>
      <c r="AY9" s="338" t="s">
        <v>229</v>
      </c>
      <c r="AZ9" s="339" t="s">
        <v>230</v>
      </c>
      <c r="BA9" s="319" t="s">
        <v>231</v>
      </c>
      <c r="BB9" s="318" t="s">
        <v>232</v>
      </c>
      <c r="BC9" s="334" t="s">
        <v>233</v>
      </c>
      <c r="BD9" s="338" t="s">
        <v>15</v>
      </c>
      <c r="BE9" s="340" t="s">
        <v>234</v>
      </c>
      <c r="BF9" s="334" t="s">
        <v>214</v>
      </c>
      <c r="BG9" s="334" t="s">
        <v>235</v>
      </c>
      <c r="BH9" s="318" t="s">
        <v>236</v>
      </c>
      <c r="BI9" s="318" t="s">
        <v>237</v>
      </c>
      <c r="BJ9" s="318" t="s">
        <v>216</v>
      </c>
      <c r="BK9" s="334" t="s">
        <v>217</v>
      </c>
      <c r="BL9" s="327" t="s">
        <v>238</v>
      </c>
      <c r="BM9" s="254">
        <v>2</v>
      </c>
      <c r="BN9" s="318" t="s">
        <v>239</v>
      </c>
      <c r="BO9" s="318" t="s">
        <v>144</v>
      </c>
      <c r="BP9" s="318" t="s">
        <v>240</v>
      </c>
      <c r="BQ9" s="318" t="s">
        <v>241</v>
      </c>
      <c r="BR9" s="327" t="s">
        <v>242</v>
      </c>
      <c r="BS9" s="327" t="s">
        <v>243</v>
      </c>
      <c r="BT9" s="332" t="s">
        <v>22</v>
      </c>
      <c r="BU9" s="332" t="s">
        <v>244</v>
      </c>
      <c r="BV9" s="318" t="s">
        <v>245</v>
      </c>
      <c r="BW9" s="341" t="s">
        <v>246</v>
      </c>
      <c r="BX9" s="341" t="s">
        <v>245</v>
      </c>
      <c r="BY9" s="341" t="s">
        <v>247</v>
      </c>
      <c r="BZ9" s="341" t="s">
        <v>248</v>
      </c>
      <c r="CA9" s="341" t="s">
        <v>249</v>
      </c>
      <c r="CB9" s="341" t="s">
        <v>184</v>
      </c>
      <c r="CC9" s="341" t="s">
        <v>250</v>
      </c>
      <c r="CD9" s="342" t="s">
        <v>251</v>
      </c>
    </row>
    <row r="10" s="243" customFormat="1" ht="23" hidden="1" customHeight="1" spans="1:82">
      <c r="A10" s="343" t="str">
        <f t="shared" ref="A10:A15" si="0">C10&amp;I10</f>
        <v>北京点才孟庆芳</v>
      </c>
      <c r="B10" s="343" t="s">
        <v>34</v>
      </c>
      <c r="C10" s="343" t="s">
        <v>66</v>
      </c>
      <c r="D10" s="343" t="s">
        <v>252</v>
      </c>
      <c r="E10" s="344" t="s">
        <v>253</v>
      </c>
      <c r="F10" s="343" t="s">
        <v>254</v>
      </c>
      <c r="G10" s="343" t="s">
        <v>255</v>
      </c>
      <c r="H10" s="343" t="s">
        <v>256</v>
      </c>
      <c r="I10" s="343" t="s">
        <v>256</v>
      </c>
      <c r="J10" s="343" t="s">
        <v>257</v>
      </c>
      <c r="K10" s="345">
        <f t="shared" ref="K10:K15" si="1">AC10+BL10</f>
        <v>1600</v>
      </c>
      <c r="L10" s="346">
        <f t="shared" ref="L10:L15" si="2">AC10-AM10-AX10-AY10+SUM(AZ10:BA10)</f>
        <v>1600</v>
      </c>
      <c r="M10"/>
      <c r="N10" s="347">
        <v>6</v>
      </c>
      <c r="O10" s="348">
        <v>1600</v>
      </c>
      <c r="P10" s="348"/>
      <c r="Q10" s="348">
        <f>VLOOKUP(I10,考勤调整记录!I:W,15,0)</f>
        <v>0</v>
      </c>
      <c r="R10" s="348"/>
      <c r="S10" s="348"/>
      <c r="T10" s="348"/>
      <c r="U10" s="349">
        <f t="shared" ref="U10:U15" si="3">SUM(O10:T10)</f>
        <v>1600</v>
      </c>
      <c r="V10" s="350"/>
      <c r="W10" s="350"/>
      <c r="X10" s="350"/>
      <c r="Y10" s="350"/>
      <c r="Z10" s="350"/>
      <c r="AA10" s="350"/>
      <c r="AB10" s="350"/>
      <c r="AC10" s="349">
        <f t="shared" ref="AC10:AC15" si="4">SUM(O10:T10)+SUM(V10:AB10)</f>
        <v>1600</v>
      </c>
      <c r="AD10" s="351"/>
      <c r="AE10" s="352">
        <v>202606</v>
      </c>
      <c r="AF10" s="348">
        <f>VLOOKUP(BW10,'HR|社保明细'!C:F,4,0)</f>
        <v>0</v>
      </c>
      <c r="AG10" s="348">
        <f>VLOOKUP($BW10,'HR|社保明细'!$C:G,5,0)</f>
        <v>0</v>
      </c>
      <c r="AH10" s="348">
        <f>VLOOKUP($BW10,'HR|社保明细'!$C:H,6,0)</f>
        <v>0</v>
      </c>
      <c r="AI10" s="348">
        <f>VLOOKUP($BW10,'HR|社保明细'!$C:I,7,0)</f>
        <v>0</v>
      </c>
      <c r="AJ10" s="348">
        <f>VLOOKUP($BW10,'HR|社保明细'!$C:J,8,0)</f>
        <v>0</v>
      </c>
      <c r="AK10" s="348">
        <f>VLOOKUP($BW10,'HR|社保明细'!$C:K,9,0)</f>
        <v>0</v>
      </c>
      <c r="AL10" s="353">
        <f>VLOOKUP($BW10,'HR|社保明细'!$C:L,10,0)</f>
        <v>0</v>
      </c>
      <c r="AM10" s="349">
        <f t="shared" ref="AM10:AM15" si="5">SUM(AH10:AL10)</f>
        <v>0</v>
      </c>
      <c r="AN10" s="348"/>
      <c r="AO10" s="348"/>
      <c r="AP10" s="348"/>
      <c r="AQ10" s="348"/>
      <c r="AR10" s="348"/>
      <c r="AS10" s="348">
        <f>AC10-AM10-SUM(AN10:AR10)</f>
        <v>1600</v>
      </c>
      <c r="AT10" s="354"/>
      <c r="AU10" s="355">
        <f>VLOOKUP(BW10,hr.个税累计数据!C:DS,121,0)</f>
        <v>9600</v>
      </c>
      <c r="AV10" s="348">
        <f>IF(AU10-5000*N10-VLOOKUP(A10,hr.个税累计数据!C:DT,122,0)-VLOOKUP(A10,hr.个税累计数据!C:DU,123,0)&gt;0,AU10-5000*N10-VLOOKUP(A10,hr.个税累计数据!C:DT,122,0)-VLOOKUP(A10,hr.个税累计数据!C:DU,123,0),0)</f>
        <v>0</v>
      </c>
      <c r="AW10" s="348">
        <f>VLOOKUP(BW10,hr.个税累计数据!C:DV,124,0)</f>
        <v>0</v>
      </c>
      <c r="AX10" s="348"/>
      <c r="AY10" s="349">
        <f>IF(ROUND(MAX(AV10*{0.03,0.1,0.2,0.25,0.3,0.35,0.45}-{0,210,1410,2660,4410,7160,15160}*12)-AW10,2)&lt;=0,0,ROUND(MAX(AV10*{0.03,0.1,0.2,0.25,0.3,0.35,0.45}-{0,210,1410,2660,4410,7160,15160}*12)-AW10,2))</f>
        <v>0</v>
      </c>
      <c r="AZ10" s="348">
        <f t="shared" ref="AZ10:AZ15" si="6">-S10</f>
        <v>0</v>
      </c>
      <c r="BA10" s="348"/>
      <c r="BB10" s="348">
        <f t="shared" ref="BB10:BB15" si="7">AC10-AM10-AY10-AX10+SUM(AZ10:BA10)</f>
        <v>1600</v>
      </c>
      <c r="BC10" s="353"/>
      <c r="BD10" s="349">
        <f t="shared" ref="BD10:BD15" si="8">AC10-AM10-AX10-AY10+SUM(AZ10:BA10)</f>
        <v>1600</v>
      </c>
      <c r="BE10" s="356">
        <f>VLOOKUP($BW10,'HR|社保明细'!C:T,11,0)</f>
        <v>0</v>
      </c>
      <c r="BF10" s="348">
        <f>VLOOKUP($BW10,'HR|社保明细'!$C:U,12,0)</f>
        <v>0</v>
      </c>
      <c r="BG10" s="348">
        <f>VLOOKUP($BW10,'HR|社保明细'!$C:V,13,0)</f>
        <v>0</v>
      </c>
      <c r="BH10" s="348">
        <f>VLOOKUP($BW10,'HR|社保明细'!$C:W,14,0)</f>
        <v>0</v>
      </c>
      <c r="BI10" s="348">
        <f>VLOOKUP($BW10,'HR|社保明细'!$C:X,15,0)</f>
        <v>0</v>
      </c>
      <c r="BJ10" s="348">
        <f>VLOOKUP($BW10,'HR|社保明细'!$C:Y,16,0)</f>
        <v>0</v>
      </c>
      <c r="BK10" s="353">
        <f>VLOOKUP($BW10,'HR|社保明细'!$C:Z,17,0)</f>
        <v>0</v>
      </c>
      <c r="BL10" s="349">
        <f t="shared" ref="BL10:BL15" si="9">SUM(BE10:BK10)</f>
        <v>0</v>
      </c>
      <c r="BM10" s="354"/>
      <c r="BN10" s="350"/>
      <c r="BO10" s="350"/>
      <c r="BP10" s="350"/>
      <c r="BQ10" s="350"/>
      <c r="BR10" s="349">
        <f t="shared" ref="BR10:BR15" si="10">SUM(BN10:BQ10)</f>
        <v>0</v>
      </c>
      <c r="BS10" s="349">
        <f t="shared" ref="BS10:BS15" si="11">SUM(V10:AB10)</f>
        <v>0</v>
      </c>
      <c r="BT10" s="357"/>
      <c r="BU10" s="357"/>
      <c r="BV10" s="358"/>
      <c r="BW10" s="359" t="str">
        <f t="shared" ref="BW10:BW15" si="12">C10&amp;I10</f>
        <v>北京点才孟庆芳</v>
      </c>
      <c r="BX10" s="360" t="s">
        <v>258</v>
      </c>
      <c r="BY10" s="360" t="s">
        <v>259</v>
      </c>
      <c r="BZ10" s="360"/>
      <c r="CA10" s="360" t="str">
        <f>VLOOKUP(A10,hr.个税累计数据!C:C,1,0)</f>
        <v>北京点才孟庆芳</v>
      </c>
      <c r="CB10" s="360" t="s">
        <v>260</v>
      </c>
      <c r="CC10" s="360"/>
      <c r="CD10" s="243" t="b">
        <f t="shared" ref="CD10:CD15" si="13">H10=I10</f>
        <v>1</v>
      </c>
    </row>
    <row r="11" s="243" customFormat="1" ht="23" hidden="1" customHeight="1" spans="1:82">
      <c r="A11" s="343" t="str">
        <f t="shared" si="0"/>
        <v>北京点才尚庆军</v>
      </c>
      <c r="B11" s="343" t="s">
        <v>37</v>
      </c>
      <c r="C11" s="343" t="s">
        <v>66</v>
      </c>
      <c r="D11" s="343" t="s">
        <v>252</v>
      </c>
      <c r="E11" s="344" t="s">
        <v>261</v>
      </c>
      <c r="F11" s="343" t="s">
        <v>262</v>
      </c>
      <c r="G11" s="343" t="s">
        <v>263</v>
      </c>
      <c r="H11" s="343" t="s">
        <v>264</v>
      </c>
      <c r="I11" s="343" t="s">
        <v>264</v>
      </c>
      <c r="J11" s="343" t="s">
        <v>265</v>
      </c>
      <c r="K11" s="345">
        <f t="shared" si="1"/>
        <v>5512.27</v>
      </c>
      <c r="L11" s="346">
        <f t="shared" si="2"/>
        <v>2540</v>
      </c>
      <c r="M11"/>
      <c r="N11" s="347">
        <v>6</v>
      </c>
      <c r="O11" s="348">
        <f>3199.21+167.4-71.6</f>
        <v>3295.01</v>
      </c>
      <c r="P11" s="348"/>
      <c r="Q11" s="348"/>
      <c r="R11" s="348"/>
      <c r="S11" s="348"/>
      <c r="T11" s="348"/>
      <c r="U11" s="349">
        <f t="shared" si="3"/>
        <v>3295.01</v>
      </c>
      <c r="V11" s="350"/>
      <c r="W11" s="350"/>
      <c r="X11" s="350"/>
      <c r="Y11" s="350"/>
      <c r="Z11" s="350"/>
      <c r="AA11" s="350"/>
      <c r="AB11" s="350"/>
      <c r="AC11" s="349">
        <f t="shared" si="4"/>
        <v>3295.01</v>
      </c>
      <c r="AD11" s="351"/>
      <c r="AE11" s="352">
        <v>202606</v>
      </c>
      <c r="AF11" s="348">
        <f>VLOOKUP(BW11,'HR|社保明细'!C:F,4,0)</f>
        <v>7162</v>
      </c>
      <c r="AG11" s="348">
        <f>VLOOKUP($BW11,'HR|社保明细'!$C:G,5,0)</f>
        <v>2540</v>
      </c>
      <c r="AH11" s="348">
        <f>VLOOKUP($BW11,'HR|社保明细'!$C:H,6,0)</f>
        <v>572.96</v>
      </c>
      <c r="AI11" s="348">
        <f>VLOOKUP($BW11,'HR|社保明细'!$C:I,7,0)</f>
        <v>146.24</v>
      </c>
      <c r="AJ11" s="348">
        <f>VLOOKUP($BW11,'HR|社保明细'!$C:J,8,0)</f>
        <v>35.81</v>
      </c>
      <c r="AK11" s="348">
        <f>VLOOKUP($BW11,'HR|社保明细'!$C:K,9,0)</f>
        <v>0</v>
      </c>
      <c r="AL11" s="353">
        <f>VLOOKUP($BW11,'HR|社保明细'!$C:L,10,0)</f>
        <v>0</v>
      </c>
      <c r="AM11" s="349">
        <f t="shared" si="5"/>
        <v>755.01</v>
      </c>
      <c r="AN11" s="348"/>
      <c r="AO11" s="348"/>
      <c r="AP11" s="348"/>
      <c r="AQ11" s="348"/>
      <c r="AR11" s="348"/>
      <c r="AS11" s="348">
        <f>AC11-AM11-SUM(AN11:AR11)</f>
        <v>2540</v>
      </c>
      <c r="AT11" s="354"/>
      <c r="AU11" s="355">
        <f>VLOOKUP(BW11,hr.个税累计数据!C:DS,121,0)</f>
        <v>19770.06</v>
      </c>
      <c r="AV11" s="348">
        <f>IF(AU11-5000*N11-VLOOKUP(A11,hr.个税累计数据!C:DT,122,0)-VLOOKUP(A11,hr.个税累计数据!C:DU,123,0)&gt;0,AU11-5000*N11-VLOOKUP(A11,hr.个税累计数据!C:DT,122,0)-VLOOKUP(A11,hr.个税累计数据!C:DU,123,0),0)</f>
        <v>0</v>
      </c>
      <c r="AW11" s="348">
        <f>VLOOKUP(BW11,hr.个税累计数据!C:DV,124,0)</f>
        <v>0</v>
      </c>
      <c r="AX11" s="348"/>
      <c r="AY11" s="349">
        <f>IF(ROUND(MAX(AV11*{0.03,0.1,0.2,0.25,0.3,0.35,0.45}-{0,210,1410,2660,4410,7160,15160}*12)-AW11,2)&lt;=0,0,ROUND(MAX(AV11*{0.03,0.1,0.2,0.25,0.3,0.35,0.45}-{0,210,1410,2660,4410,7160,15160}*12)-AW11,2))</f>
        <v>0</v>
      </c>
      <c r="AZ11" s="348">
        <f t="shared" si="6"/>
        <v>0</v>
      </c>
      <c r="BA11" s="348"/>
      <c r="BB11" s="348">
        <f t="shared" si="7"/>
        <v>2540</v>
      </c>
      <c r="BC11" s="353"/>
      <c r="BD11" s="349">
        <f t="shared" si="8"/>
        <v>2540</v>
      </c>
      <c r="BE11" s="356">
        <f>VLOOKUP($BW11,'HR|社保明细'!C:T,11,0)</f>
        <v>1145.92</v>
      </c>
      <c r="BF11" s="348">
        <f>VLOOKUP($BW11,'HR|社保明细'!$C:U,12,0)</f>
        <v>644.58</v>
      </c>
      <c r="BG11" s="348">
        <f>VLOOKUP($BW11,'HR|社保明细'!$C:V,13,0)</f>
        <v>35.81</v>
      </c>
      <c r="BH11" s="348">
        <f>VLOOKUP($BW11,'HR|社保明细'!$C:W,14,0)</f>
        <v>28.65</v>
      </c>
      <c r="BI11" s="348">
        <f>VLOOKUP($BW11,'HR|社保明细'!$C:X,15,0)</f>
        <v>57.3</v>
      </c>
      <c r="BJ11" s="348">
        <f>VLOOKUP($BW11,'HR|社保明细'!$C:Y,16,0)</f>
        <v>305</v>
      </c>
      <c r="BK11" s="353">
        <f>VLOOKUP($BW11,'HR|社保明细'!$C:Z,17,0)</f>
        <v>0</v>
      </c>
      <c r="BL11" s="349">
        <f t="shared" si="9"/>
        <v>2217.26</v>
      </c>
      <c r="BM11" s="354"/>
      <c r="BN11" s="350"/>
      <c r="BO11" s="350"/>
      <c r="BP11" s="350"/>
      <c r="BQ11" s="350"/>
      <c r="BR11" s="349">
        <f t="shared" si="10"/>
        <v>0</v>
      </c>
      <c r="BS11" s="349">
        <f t="shared" si="11"/>
        <v>0</v>
      </c>
      <c r="BT11" s="357"/>
      <c r="BU11" s="357"/>
      <c r="BV11" s="358"/>
      <c r="BW11" s="359" t="str">
        <f t="shared" si="12"/>
        <v>北京点才尚庆军</v>
      </c>
      <c r="BX11" s="360"/>
      <c r="BY11" s="360" t="s">
        <v>259</v>
      </c>
      <c r="BZ11" s="360"/>
      <c r="CA11" s="360" t="str">
        <f>VLOOKUP(A11,hr.个税累计数据!C:C,1,0)</f>
        <v>北京点才尚庆军</v>
      </c>
      <c r="CB11" s="360" t="s">
        <v>266</v>
      </c>
      <c r="CC11" s="360"/>
      <c r="CD11" s="243" t="b">
        <f t="shared" si="13"/>
        <v>1</v>
      </c>
    </row>
    <row r="12" s="243" customFormat="1" ht="23" customHeight="1" spans="1:82">
      <c r="A12" s="343" t="str">
        <f t="shared" si="0"/>
        <v>北京点才王倩</v>
      </c>
      <c r="B12" s="343" t="s">
        <v>31</v>
      </c>
      <c r="C12" s="343" t="s">
        <v>66</v>
      </c>
      <c r="D12" s="343" t="s">
        <v>267</v>
      </c>
      <c r="E12" s="344" t="s">
        <v>268</v>
      </c>
      <c r="F12" s="343" t="s">
        <v>134</v>
      </c>
      <c r="G12" s="343" t="s">
        <v>269</v>
      </c>
      <c r="H12" s="343" t="s">
        <v>270</v>
      </c>
      <c r="I12" s="343" t="s">
        <v>270</v>
      </c>
      <c r="J12" s="343" t="s">
        <v>271</v>
      </c>
      <c r="K12" s="345">
        <f t="shared" si="1"/>
        <v>1000</v>
      </c>
      <c r="L12" s="346">
        <f t="shared" si="2"/>
        <v>960</v>
      </c>
      <c r="M12"/>
      <c r="N12" s="347">
        <v>6</v>
      </c>
      <c r="O12" s="348">
        <v>1000</v>
      </c>
      <c r="P12" s="348"/>
      <c r="Q12" s="348"/>
      <c r="R12" s="348"/>
      <c r="S12" s="348"/>
      <c r="T12" s="348"/>
      <c r="U12" s="349">
        <f t="shared" si="3"/>
        <v>1000</v>
      </c>
      <c r="V12" s="350"/>
      <c r="W12" s="350"/>
      <c r="X12" s="350"/>
      <c r="Y12" s="350"/>
      <c r="Z12" s="350"/>
      <c r="AA12" s="350"/>
      <c r="AB12" s="350"/>
      <c r="AC12" s="349">
        <f t="shared" si="4"/>
        <v>1000</v>
      </c>
      <c r="AD12" s="351"/>
      <c r="AE12" s="352">
        <v>202606</v>
      </c>
      <c r="AF12" s="348">
        <f>VLOOKUP(BW12,'HR|社保明细'!C:F,4,0)</f>
        <v>0</v>
      </c>
      <c r="AG12" s="348">
        <f>VLOOKUP($BW12,'HR|社保明细'!$C:G,5,0)</f>
        <v>0</v>
      </c>
      <c r="AH12" s="348">
        <f>VLOOKUP($BW12,'HR|社保明细'!$C:H,6,0)</f>
        <v>0</v>
      </c>
      <c r="AI12" s="348">
        <f>VLOOKUP($BW12,'HR|社保明细'!$C:I,7,0)</f>
        <v>0</v>
      </c>
      <c r="AJ12" s="348">
        <f>VLOOKUP($BW12,'HR|社保明细'!$C:J,8,0)</f>
        <v>0</v>
      </c>
      <c r="AK12" s="348">
        <f>VLOOKUP($BW12,'HR|社保明细'!$C:K,9,0)</f>
        <v>0</v>
      </c>
      <c r="AL12" s="353">
        <f>VLOOKUP($BW12,'HR|社保明细'!$C:L,10,0)</f>
        <v>0</v>
      </c>
      <c r="AM12" s="349">
        <f t="shared" si="5"/>
        <v>0</v>
      </c>
      <c r="AN12" s="348"/>
      <c r="AO12" s="348"/>
      <c r="AP12" s="348"/>
      <c r="AQ12" s="348"/>
      <c r="AR12" s="348"/>
      <c r="AS12" s="348">
        <v>1000</v>
      </c>
      <c r="AT12" s="354"/>
      <c r="AU12" s="355">
        <f>VLOOKUP(BW12,hr.个税累计数据!C:DS,121,0)</f>
        <v>6000</v>
      </c>
      <c r="AV12" s="348">
        <f>IF(AU12-5000*N12-VLOOKUP(A12,hr.个税累计数据!C:DT,122,0)-VLOOKUP(A12,hr.个税累计数据!C:DU,123,0)&gt;0,AU12-5000*N12-VLOOKUP(A12,hr.个税累计数据!C:DT,122,0)-VLOOKUP(A12,hr.个税累计数据!C:DU,123,0),0)</f>
        <v>0</v>
      </c>
      <c r="AW12" s="348">
        <f>VLOOKUP(BW12,hr.个税累计数据!C:DV,124,0)</f>
        <v>200</v>
      </c>
      <c r="AX12" s="348"/>
      <c r="AY12" s="349">
        <f>IF(D12="国内不计税",0,IF(D12="正常计税",ROUND(MAX(AS12*{0.03,0.1,0.2,0.25,0.3,0.35,0.45}-{0,210,1410,2660,4410,7160,15160},0),2),IF(D12="外籍人",ROUND(MAX(AS12*{0.03,0.1,0.2,0.25,0.3,0.35,0.45}-{0,210,1410,2660,4410,7160,15160},0),2),ROUND(MAX((AS12-IF(AS12&lt;4000,800,AS12*0.2))*10%*{2,3,4}-1000*{0,2,7},0),2))))</f>
        <v>40</v>
      </c>
      <c r="AZ12" s="348">
        <f t="shared" si="6"/>
        <v>0</v>
      </c>
      <c r="BA12" s="348"/>
      <c r="BB12" s="348">
        <f t="shared" si="7"/>
        <v>960</v>
      </c>
      <c r="BC12" s="353"/>
      <c r="BD12" s="349">
        <f t="shared" si="8"/>
        <v>960</v>
      </c>
      <c r="BE12" s="356">
        <f>VLOOKUP($BW12,'HR|社保明细'!C:T,11,0)</f>
        <v>0</v>
      </c>
      <c r="BF12" s="348">
        <f>VLOOKUP($BW12,'HR|社保明细'!$C:U,12,0)</f>
        <v>0</v>
      </c>
      <c r="BG12" s="348">
        <f>VLOOKUP($BW12,'HR|社保明细'!$C:V,13,0)</f>
        <v>0</v>
      </c>
      <c r="BH12" s="348">
        <f>VLOOKUP($BW12,'HR|社保明细'!$C:W,14,0)</f>
        <v>0</v>
      </c>
      <c r="BI12" s="348">
        <f>VLOOKUP($BW12,'HR|社保明细'!$C:X,15,0)</f>
        <v>0</v>
      </c>
      <c r="BJ12" s="348">
        <f>VLOOKUP($BW12,'HR|社保明细'!$C:Y,16,0)</f>
        <v>0</v>
      </c>
      <c r="BK12" s="353">
        <f>VLOOKUP($BW12,'HR|社保明细'!$C:Z,17,0)</f>
        <v>0</v>
      </c>
      <c r="BL12" s="349">
        <f t="shared" si="9"/>
        <v>0</v>
      </c>
      <c r="BM12" s="354"/>
      <c r="BN12" s="350"/>
      <c r="BO12" s="350"/>
      <c r="BP12" s="350"/>
      <c r="BQ12" s="350"/>
      <c r="BR12" s="349">
        <f t="shared" si="10"/>
        <v>0</v>
      </c>
      <c r="BS12" s="349">
        <f t="shared" si="11"/>
        <v>0</v>
      </c>
      <c r="BT12" s="357"/>
      <c r="BU12" s="357"/>
      <c r="BV12" s="358"/>
      <c r="BW12" s="359" t="str">
        <f t="shared" si="12"/>
        <v>北京点才王倩</v>
      </c>
      <c r="BX12" s="360" t="s">
        <v>258</v>
      </c>
      <c r="BY12" s="360" t="s">
        <v>259</v>
      </c>
      <c r="BZ12" s="360"/>
      <c r="CA12" s="360" t="str">
        <f>VLOOKUP(A12,hr.个税累计数据!C:C,1,0)</f>
        <v>北京点才王倩</v>
      </c>
      <c r="CB12" s="360" t="s">
        <v>272</v>
      </c>
      <c r="CC12" s="360"/>
      <c r="CD12" s="243" t="b">
        <f t="shared" si="13"/>
        <v>1</v>
      </c>
    </row>
    <row r="13" s="243" customFormat="1" ht="23" hidden="1" customHeight="1" spans="1:82">
      <c r="A13" s="343" t="str">
        <f t="shared" si="0"/>
        <v>北京点才杨崴</v>
      </c>
      <c r="B13" s="343" t="s">
        <v>34</v>
      </c>
      <c r="C13" s="343" t="s">
        <v>66</v>
      </c>
      <c r="D13" s="343" t="s">
        <v>252</v>
      </c>
      <c r="E13" s="344" t="s">
        <v>253</v>
      </c>
      <c r="F13" s="343" t="s">
        <v>121</v>
      </c>
      <c r="G13" s="343" t="s">
        <v>255</v>
      </c>
      <c r="H13" s="343" t="s">
        <v>254</v>
      </c>
      <c r="I13" s="343" t="s">
        <v>254</v>
      </c>
      <c r="J13" s="343" t="s">
        <v>257</v>
      </c>
      <c r="K13" s="345">
        <f t="shared" si="1"/>
        <v>11019.66</v>
      </c>
      <c r="L13" s="346">
        <f t="shared" si="2"/>
        <v>6404.99</v>
      </c>
      <c r="M13"/>
      <c r="N13" s="347">
        <v>6</v>
      </c>
      <c r="O13" s="348">
        <v>8000</v>
      </c>
      <c r="P13" s="348"/>
      <c r="Q13" s="348">
        <f>VLOOKUP(I13,考勤调整记录!I:W,15,0)</f>
        <v>0</v>
      </c>
      <c r="R13" s="348"/>
      <c r="S13" s="348">
        <v>267.4</v>
      </c>
      <c r="T13" s="348"/>
      <c r="U13" s="349">
        <f t="shared" si="3"/>
        <v>8267.4</v>
      </c>
      <c r="V13" s="350"/>
      <c r="W13" s="350"/>
      <c r="X13" s="350"/>
      <c r="Y13" s="350"/>
      <c r="Z13" s="350"/>
      <c r="AA13" s="350"/>
      <c r="AB13" s="350"/>
      <c r="AC13" s="349">
        <f t="shared" si="4"/>
        <v>8267.4</v>
      </c>
      <c r="AD13" s="351"/>
      <c r="AE13" s="352">
        <v>202606</v>
      </c>
      <c r="AF13" s="348">
        <f>VLOOKUP(BW13,'HR|社保明细'!C:F,4,0)</f>
        <v>7162</v>
      </c>
      <c r="AG13" s="348">
        <f>VLOOKUP($BW13,'HR|社保明细'!$C:G,5,0)</f>
        <v>7000</v>
      </c>
      <c r="AH13" s="348">
        <f>VLOOKUP($BW13,'HR|社保明细'!$C:H,6,0)</f>
        <v>572.96</v>
      </c>
      <c r="AI13" s="348">
        <f>VLOOKUP($BW13,'HR|社保明细'!$C:I,7,0)</f>
        <v>146.24</v>
      </c>
      <c r="AJ13" s="348">
        <f>VLOOKUP($BW13,'HR|社保明细'!$C:J,8,0)</f>
        <v>35.81</v>
      </c>
      <c r="AK13" s="348">
        <f>VLOOKUP($BW13,'HR|社保明细'!$C:K,9,0)</f>
        <v>840</v>
      </c>
      <c r="AL13" s="353">
        <f>VLOOKUP($BW13,'HR|社保明细'!$C:L,10,0)</f>
        <v>0</v>
      </c>
      <c r="AM13" s="349">
        <f t="shared" si="5"/>
        <v>1595.01</v>
      </c>
      <c r="AN13" s="348"/>
      <c r="AO13" s="348"/>
      <c r="AP13" s="348"/>
      <c r="AQ13" s="348"/>
      <c r="AR13" s="348"/>
      <c r="AS13" s="348">
        <f>AC13-AM13-SUM(AN13:AR13)</f>
        <v>6672.39</v>
      </c>
      <c r="AT13" s="354"/>
      <c r="AU13" s="355">
        <f>VLOOKUP(BW13,hr.个税累计数据!C:DS,121,0)</f>
        <v>48849.15</v>
      </c>
      <c r="AV13" s="348">
        <f>IF(AU13-5000*N13-VLOOKUP(A13,hr.个税累计数据!C:DT,122,0)-VLOOKUP(A13,hr.个税累计数据!C:DU,123,0)&gt;0,AU13-5000*N13-VLOOKUP(A13,hr.个税累计数据!C:DT,122,0)-VLOOKUP(A13,hr.个税累计数据!C:DU,123,0),0)</f>
        <v>0</v>
      </c>
      <c r="AW13" s="348">
        <f>VLOOKUP(BW13,hr.个税累计数据!C:DV,124,0)</f>
        <v>0</v>
      </c>
      <c r="AX13" s="348"/>
      <c r="AY13" s="349">
        <f>IF(ROUND(MAX(AV13*{0.03,0.1,0.2,0.25,0.3,0.35,0.45}-{0,210,1410,2660,4410,7160,15160}*12)-AW13,2)&lt;=0,0,ROUND(MAX(AV13*{0.03,0.1,0.2,0.25,0.3,0.35,0.45}-{0,210,1410,2660,4410,7160,15160}*12)-AW13,2))</f>
        <v>0</v>
      </c>
      <c r="AZ13" s="348">
        <f t="shared" si="6"/>
        <v>-267.4</v>
      </c>
      <c r="BA13" s="348"/>
      <c r="BB13" s="348">
        <f t="shared" si="7"/>
        <v>6404.99</v>
      </c>
      <c r="BC13" s="353"/>
      <c r="BD13" s="349">
        <f t="shared" si="8"/>
        <v>6404.99</v>
      </c>
      <c r="BE13" s="356">
        <f>VLOOKUP($BW13,'HR|社保明细'!C:T,11,0)</f>
        <v>1145.92</v>
      </c>
      <c r="BF13" s="348">
        <f>VLOOKUP($BW13,'HR|社保明细'!$C:U,12,0)</f>
        <v>644.58</v>
      </c>
      <c r="BG13" s="348">
        <f>VLOOKUP($BW13,'HR|社保明细'!$C:V,13,0)</f>
        <v>35.81</v>
      </c>
      <c r="BH13" s="348">
        <f>VLOOKUP($BW13,'HR|社保明细'!$C:W,14,0)</f>
        <v>28.65</v>
      </c>
      <c r="BI13" s="348">
        <f>VLOOKUP($BW13,'HR|社保明细'!$C:X,15,0)</f>
        <v>57.3</v>
      </c>
      <c r="BJ13" s="348">
        <f>VLOOKUP($BW13,'HR|社保明细'!$C:Y,16,0)</f>
        <v>840</v>
      </c>
      <c r="BK13" s="353">
        <f>VLOOKUP($BW13,'HR|社保明细'!$C:Z,17,0)</f>
        <v>0</v>
      </c>
      <c r="BL13" s="349">
        <f t="shared" si="9"/>
        <v>2752.26</v>
      </c>
      <c r="BM13" s="354"/>
      <c r="BN13" s="350"/>
      <c r="BO13" s="350"/>
      <c r="BP13" s="350"/>
      <c r="BQ13" s="350"/>
      <c r="BR13" s="349">
        <f t="shared" si="10"/>
        <v>0</v>
      </c>
      <c r="BS13" s="349">
        <f t="shared" si="11"/>
        <v>0</v>
      </c>
      <c r="BT13" s="357">
        <v>600</v>
      </c>
      <c r="BU13" s="357"/>
      <c r="BV13" s="358"/>
      <c r="BW13" s="359" t="str">
        <f t="shared" si="12"/>
        <v>北京点才杨崴</v>
      </c>
      <c r="BX13" s="360"/>
      <c r="BY13" s="360" t="s">
        <v>273</v>
      </c>
      <c r="BZ13" s="360" t="s">
        <v>274</v>
      </c>
      <c r="CA13" s="360" t="str">
        <f>VLOOKUP(A13,hr.个税累计数据!C:C,1,0)</f>
        <v>北京点才杨崴</v>
      </c>
      <c r="CB13" s="360" t="s">
        <v>275</v>
      </c>
      <c r="CC13" s="360" t="s">
        <v>273</v>
      </c>
      <c r="CD13" s="243" t="b">
        <f t="shared" si="13"/>
        <v>1</v>
      </c>
    </row>
    <row r="14" s="243" customFormat="1" ht="23" customHeight="1" spans="1:82">
      <c r="A14" s="343" t="str">
        <f t="shared" si="0"/>
        <v>开博人才王倩</v>
      </c>
      <c r="B14" s="343" t="s">
        <v>31</v>
      </c>
      <c r="C14" s="343" t="s">
        <v>64</v>
      </c>
      <c r="D14" s="343" t="s">
        <v>267</v>
      </c>
      <c r="E14" s="344" t="s">
        <v>268</v>
      </c>
      <c r="F14" s="343" t="s">
        <v>134</v>
      </c>
      <c r="G14" s="343" t="s">
        <v>269</v>
      </c>
      <c r="H14" s="343" t="s">
        <v>270</v>
      </c>
      <c r="I14" s="343" t="s">
        <v>270</v>
      </c>
      <c r="J14" s="343" t="s">
        <v>271</v>
      </c>
      <c r="K14" s="345">
        <f t="shared" si="1"/>
        <v>1000</v>
      </c>
      <c r="L14" s="346">
        <f t="shared" si="2"/>
        <v>960</v>
      </c>
      <c r="M14"/>
      <c r="N14" s="347">
        <v>6</v>
      </c>
      <c r="O14" s="348">
        <v>1000</v>
      </c>
      <c r="P14" s="348"/>
      <c r="Q14" s="348"/>
      <c r="R14" s="348"/>
      <c r="S14" s="348"/>
      <c r="T14" s="348"/>
      <c r="U14" s="349">
        <f t="shared" si="3"/>
        <v>1000</v>
      </c>
      <c r="V14" s="350"/>
      <c r="W14" s="350"/>
      <c r="X14" s="350"/>
      <c r="Y14" s="350"/>
      <c r="Z14" s="350"/>
      <c r="AA14" s="350"/>
      <c r="AB14" s="350"/>
      <c r="AC14" s="349">
        <f t="shared" si="4"/>
        <v>1000</v>
      </c>
      <c r="AD14" s="351"/>
      <c r="AE14" s="352">
        <v>202606</v>
      </c>
      <c r="AF14" s="348">
        <f>VLOOKUP(BW14,'HR|社保明细'!C:F,4,0)</f>
        <v>0</v>
      </c>
      <c r="AG14" s="348">
        <f>VLOOKUP($BW14,'HR|社保明细'!$C:G,5,0)</f>
        <v>0</v>
      </c>
      <c r="AH14" s="348">
        <f>VLOOKUP($BW14,'HR|社保明细'!$C:H,6,0)</f>
        <v>0</v>
      </c>
      <c r="AI14" s="348">
        <f>VLOOKUP($BW14,'HR|社保明细'!$C:I,7,0)</f>
        <v>0</v>
      </c>
      <c r="AJ14" s="348">
        <f>VLOOKUP($BW14,'HR|社保明细'!$C:J,8,0)</f>
        <v>0</v>
      </c>
      <c r="AK14" s="348">
        <f>VLOOKUP($BW14,'HR|社保明细'!$C:K,9,0)</f>
        <v>0</v>
      </c>
      <c r="AL14" s="353">
        <f>VLOOKUP($BW14,'HR|社保明细'!$C:L,10,0)</f>
        <v>0</v>
      </c>
      <c r="AM14" s="349">
        <f t="shared" si="5"/>
        <v>0</v>
      </c>
      <c r="AN14" s="348"/>
      <c r="AO14" s="348"/>
      <c r="AP14" s="348"/>
      <c r="AQ14" s="348"/>
      <c r="AR14" s="348"/>
      <c r="AS14" s="348">
        <v>1000</v>
      </c>
      <c r="AT14" s="354"/>
      <c r="AU14" s="355">
        <f>VLOOKUP(BW14,hr.个税累计数据!C:DS,121,0)</f>
        <v>6000</v>
      </c>
      <c r="AV14" s="348">
        <f>IF(AU14-5000*N14-VLOOKUP(A14,hr.个税累计数据!C:DT,122,0)-VLOOKUP(A14,hr.个税累计数据!C:DU,123,0)&gt;0,AU14-5000*N14-VLOOKUP(A14,hr.个税累计数据!C:DT,122,0)-VLOOKUP(A14,hr.个税累计数据!C:DU,123,0),0)</f>
        <v>0</v>
      </c>
      <c r="AW14" s="348">
        <f>VLOOKUP(BW14,hr.个税累计数据!C:DV,124,0)</f>
        <v>200</v>
      </c>
      <c r="AX14" s="348"/>
      <c r="AY14" s="349">
        <f>IF(D14="国内不计税",0,IF(D14="正常计税",ROUND(MAX(AS14*{0.03,0.1,0.2,0.25,0.3,0.35,0.45}-{0,210,1410,2660,4410,7160,15160},0),2),IF(D14="外籍人",ROUND(MAX(AS14*{0.03,0.1,0.2,0.25,0.3,0.35,0.45}-{0,210,1410,2660,4410,7160,15160},0),2),ROUND(MAX((AS14-IF(AS14&lt;4000,800,AS14*0.2))*10%*{2,3,4}-1000*{0,2,7},0),2))))</f>
        <v>40</v>
      </c>
      <c r="AZ14" s="348">
        <f t="shared" si="6"/>
        <v>0</v>
      </c>
      <c r="BA14" s="348"/>
      <c r="BB14" s="348">
        <f t="shared" si="7"/>
        <v>960</v>
      </c>
      <c r="BC14" s="353"/>
      <c r="BD14" s="349">
        <f t="shared" si="8"/>
        <v>960</v>
      </c>
      <c r="BE14" s="356">
        <f>VLOOKUP($BW14,'HR|社保明细'!C:T,11,0)</f>
        <v>0</v>
      </c>
      <c r="BF14" s="348">
        <f>VLOOKUP($BW14,'HR|社保明细'!$C:U,12,0)</f>
        <v>0</v>
      </c>
      <c r="BG14" s="348">
        <f>VLOOKUP($BW14,'HR|社保明细'!$C:V,13,0)</f>
        <v>0</v>
      </c>
      <c r="BH14" s="348">
        <f>VLOOKUP($BW14,'HR|社保明细'!$C:W,14,0)</f>
        <v>0</v>
      </c>
      <c r="BI14" s="348">
        <f>VLOOKUP($BW14,'HR|社保明细'!$C:X,15,0)</f>
        <v>0</v>
      </c>
      <c r="BJ14" s="348">
        <f>VLOOKUP($BW14,'HR|社保明细'!$C:Y,16,0)</f>
        <v>0</v>
      </c>
      <c r="BK14" s="353">
        <f>VLOOKUP($BW14,'HR|社保明细'!$C:Z,17,0)</f>
        <v>0</v>
      </c>
      <c r="BL14" s="349">
        <f t="shared" si="9"/>
        <v>0</v>
      </c>
      <c r="BM14" s="354"/>
      <c r="BN14" s="350"/>
      <c r="BO14" s="350"/>
      <c r="BP14" s="350"/>
      <c r="BQ14" s="350"/>
      <c r="BR14" s="349">
        <f t="shared" si="10"/>
        <v>0</v>
      </c>
      <c r="BS14" s="349">
        <f t="shared" si="11"/>
        <v>0</v>
      </c>
      <c r="BT14" s="357"/>
      <c r="BU14" s="357"/>
      <c r="BV14" s="358"/>
      <c r="BW14" s="359" t="str">
        <f t="shared" si="12"/>
        <v>开博人才王倩</v>
      </c>
      <c r="BX14" s="360" t="s">
        <v>258</v>
      </c>
      <c r="BY14" s="360" t="s">
        <v>259</v>
      </c>
      <c r="BZ14" s="360"/>
      <c r="CA14" s="360" t="str">
        <f>VLOOKUP(A14,hr.个税累计数据!C:C,1,0)</f>
        <v>开博人才王倩</v>
      </c>
      <c r="CB14" s="360" t="s">
        <v>276</v>
      </c>
      <c r="CC14" s="360"/>
      <c r="CD14" s="243" t="b">
        <f t="shared" si="13"/>
        <v>1</v>
      </c>
    </row>
    <row r="15" s="243" customFormat="1" ht="23" hidden="1" customHeight="1" spans="1:82">
      <c r="A15" s="343" t="str">
        <f t="shared" si="0"/>
        <v>开弈企业外包吴玉斌</v>
      </c>
      <c r="B15" s="343" t="s">
        <v>37</v>
      </c>
      <c r="C15" s="343" t="s">
        <v>62</v>
      </c>
      <c r="D15" s="343" t="s">
        <v>252</v>
      </c>
      <c r="E15" s="344" t="s">
        <v>261</v>
      </c>
      <c r="F15" s="343" t="s">
        <v>262</v>
      </c>
      <c r="G15" s="343" t="s">
        <v>263</v>
      </c>
      <c r="H15" s="343" t="s">
        <v>277</v>
      </c>
      <c r="I15" s="343" t="s">
        <v>277</v>
      </c>
      <c r="J15" s="343" t="s">
        <v>265</v>
      </c>
      <c r="K15" s="345">
        <f t="shared" si="1"/>
        <v>5449.47</v>
      </c>
      <c r="L15" s="346">
        <f t="shared" si="2"/>
        <v>2740</v>
      </c>
      <c r="M15"/>
      <c r="N15" s="347">
        <v>6</v>
      </c>
      <c r="O15" s="348">
        <f>3457.55+15.54-7.77+50+23.94-15.96</f>
        <v>3523.3</v>
      </c>
      <c r="P15" s="348"/>
      <c r="Q15" s="348"/>
      <c r="R15" s="348"/>
      <c r="S15" s="348"/>
      <c r="T15" s="348"/>
      <c r="U15" s="349">
        <f t="shared" si="3"/>
        <v>3523.3</v>
      </c>
      <c r="V15" s="350"/>
      <c r="W15" s="350"/>
      <c r="X15" s="350"/>
      <c r="Y15" s="350"/>
      <c r="Z15" s="350"/>
      <c r="AA15" s="350"/>
      <c r="AB15" s="350"/>
      <c r="AC15" s="349">
        <f t="shared" si="4"/>
        <v>3523.3</v>
      </c>
      <c r="AD15" s="351"/>
      <c r="AE15" s="352">
        <v>202606</v>
      </c>
      <c r="AF15" s="348">
        <f>VLOOKUP(BW15,'HR|社保明细'!C:F,4,0)</f>
        <v>7460</v>
      </c>
      <c r="AG15" s="348">
        <f>VLOOKUP($BW15,'HR|社保明细'!$C:G,5,0)</f>
        <v>0</v>
      </c>
      <c r="AH15" s="348">
        <f>VLOOKUP($BW15,'HR|社保明细'!$C:H,6,0)</f>
        <v>596.8</v>
      </c>
      <c r="AI15" s="348">
        <f>VLOOKUP($BW15,'HR|社保明细'!$C:I,7,0)</f>
        <v>149.2</v>
      </c>
      <c r="AJ15" s="348">
        <f>VLOOKUP($BW15,'HR|社保明细'!$C:J,8,0)</f>
        <v>37.3</v>
      </c>
      <c r="AK15" s="348">
        <f>VLOOKUP($BW15,'HR|社保明细'!$C:K,9,0)</f>
        <v>0</v>
      </c>
      <c r="AL15" s="353">
        <f>VLOOKUP($BW15,'HR|社保明细'!$C:L,10,0)</f>
        <v>0</v>
      </c>
      <c r="AM15" s="349">
        <f t="shared" si="5"/>
        <v>783.3</v>
      </c>
      <c r="AN15" s="348"/>
      <c r="AO15" s="348"/>
      <c r="AP15" s="348"/>
      <c r="AQ15" s="348"/>
      <c r="AR15" s="348"/>
      <c r="AS15" s="348">
        <f>AC15-AM15-SUM(AN15:AR15)</f>
        <v>2740</v>
      </c>
      <c r="AT15" s="354"/>
      <c r="AU15" s="355">
        <f>VLOOKUP(BW15,hr.个税累计数据!C:DS,121,0)</f>
        <v>21139.8</v>
      </c>
      <c r="AV15" s="348">
        <f>IF(AU15-5000*N15-VLOOKUP(A15,hr.个税累计数据!C:DT,122,0)-VLOOKUP(A15,hr.个税累计数据!C:DU,123,0)&gt;0,AU15-5000*N15-VLOOKUP(A15,hr.个税累计数据!C:DT,122,0)-VLOOKUP(A15,hr.个税累计数据!C:DU,123,0),0)</f>
        <v>0</v>
      </c>
      <c r="AW15" s="348">
        <f>VLOOKUP(BW15,hr.个税累计数据!C:DV,124,0)</f>
        <v>0</v>
      </c>
      <c r="AX15" s="348"/>
      <c r="AY15" s="349">
        <f>IF(ROUND(MAX(AV15*{0.03,0.1,0.2,0.25,0.3,0.35,0.45}-{0,210,1410,2660,4410,7160,15160}*12)-AW15,2)&lt;=0,0,ROUND(MAX(AV15*{0.03,0.1,0.2,0.25,0.3,0.35,0.45}-{0,210,1410,2660,4410,7160,15160}*12)-AW15,2))</f>
        <v>0</v>
      </c>
      <c r="AZ15" s="348">
        <f t="shared" si="6"/>
        <v>0</v>
      </c>
      <c r="BA15" s="348"/>
      <c r="BB15" s="348">
        <f t="shared" si="7"/>
        <v>2740</v>
      </c>
      <c r="BC15" s="353"/>
      <c r="BD15" s="349">
        <f t="shared" si="8"/>
        <v>2740</v>
      </c>
      <c r="BE15" s="356">
        <f>VLOOKUP($BW15,'HR|社保明细'!C:T,11,0)</f>
        <v>1193.6</v>
      </c>
      <c r="BF15" s="348">
        <f>VLOOKUP($BW15,'HR|社保明细'!$C:U,12,0)</f>
        <v>596.8</v>
      </c>
      <c r="BG15" s="348">
        <f>VLOOKUP($BW15,'HR|社保明细'!$C:V,13,0)</f>
        <v>37.3</v>
      </c>
      <c r="BH15" s="348">
        <f>VLOOKUP($BW15,'HR|社保明细'!$C:W,14,0)</f>
        <v>23.87</v>
      </c>
      <c r="BI15" s="348">
        <f>VLOOKUP($BW15,'HR|社保明细'!$C:X,15,0)</f>
        <v>74.6</v>
      </c>
      <c r="BJ15" s="348">
        <f>VLOOKUP($BW15,'HR|社保明细'!$C:Y,16,0)</f>
        <v>0</v>
      </c>
      <c r="BK15" s="353">
        <f>VLOOKUP($BW15,'HR|社保明细'!$C:Z,17,0)</f>
        <v>0</v>
      </c>
      <c r="BL15" s="349">
        <f t="shared" si="9"/>
        <v>1926.17</v>
      </c>
      <c r="BM15" s="354"/>
      <c r="BN15" s="350"/>
      <c r="BO15" s="350"/>
      <c r="BP15" s="350"/>
      <c r="BQ15" s="350"/>
      <c r="BR15" s="349">
        <f t="shared" si="10"/>
        <v>0</v>
      </c>
      <c r="BS15" s="349">
        <f t="shared" si="11"/>
        <v>0</v>
      </c>
      <c r="BT15" s="357"/>
      <c r="BU15" s="357"/>
      <c r="BV15" s="358"/>
      <c r="BW15" s="359" t="str">
        <f t="shared" si="12"/>
        <v>开弈企业外包吴玉斌</v>
      </c>
      <c r="BX15" s="360"/>
      <c r="BY15" s="360" t="s">
        <v>259</v>
      </c>
      <c r="BZ15" s="360"/>
      <c r="CA15" s="360" t="str">
        <f>VLOOKUP(A15,hr.个税累计数据!C:C,1,0)</f>
        <v>开弈企业外包吴玉斌</v>
      </c>
      <c r="CB15" s="360" t="s">
        <v>278</v>
      </c>
      <c r="CC15" s="360"/>
      <c r="CD15" s="243" t="b">
        <f t="shared" si="13"/>
        <v>1</v>
      </c>
    </row>
    <row r="16" s="243" customFormat="1" ht="23" customHeight="1" spans="1:82">
      <c r="A16" s="343" t="str">
        <f t="shared" ref="A16:A79" si="14">C16&amp;I16</f>
        <v>开弈企业外包王倩</v>
      </c>
      <c r="B16" s="343" t="s">
        <v>31</v>
      </c>
      <c r="C16" s="343" t="s">
        <v>62</v>
      </c>
      <c r="D16" s="343" t="s">
        <v>267</v>
      </c>
      <c r="E16" s="344" t="s">
        <v>268</v>
      </c>
      <c r="F16" s="343" t="s">
        <v>134</v>
      </c>
      <c r="G16" s="343" t="s">
        <v>269</v>
      </c>
      <c r="H16" s="343" t="s">
        <v>270</v>
      </c>
      <c r="I16" s="343" t="s">
        <v>270</v>
      </c>
      <c r="J16" s="343" t="s">
        <v>271</v>
      </c>
      <c r="K16" s="345">
        <f t="shared" ref="K16:K79" si="15">AC16+BL16</f>
        <v>1000</v>
      </c>
      <c r="L16" s="346">
        <f t="shared" ref="L16:L79" si="16">AC16-AM16-AX16-AY16+SUM(AZ16:BA16)</f>
        <v>960</v>
      </c>
      <c r="M16"/>
      <c r="N16" s="347">
        <v>6</v>
      </c>
      <c r="O16" s="348">
        <v>1000</v>
      </c>
      <c r="P16" s="348"/>
      <c r="Q16" s="348"/>
      <c r="R16" s="348"/>
      <c r="S16" s="348"/>
      <c r="T16" s="348"/>
      <c r="U16" s="349">
        <f t="shared" ref="U16:U72" si="17">SUM(O16:T16)</f>
        <v>1000</v>
      </c>
      <c r="V16" s="350"/>
      <c r="W16" s="350"/>
      <c r="X16" s="350"/>
      <c r="Y16" s="350"/>
      <c r="Z16" s="350"/>
      <c r="AA16" s="350"/>
      <c r="AB16" s="350"/>
      <c r="AC16" s="349">
        <f t="shared" ref="AC16:AC79" si="18">SUM(O16:T16)+SUM(V16:AB16)</f>
        <v>1000</v>
      </c>
      <c r="AD16" s="351"/>
      <c r="AE16" s="352">
        <v>202606</v>
      </c>
      <c r="AF16" s="348">
        <f>VLOOKUP(BW16,'HR|社保明细'!C:F,4,0)</f>
        <v>0</v>
      </c>
      <c r="AG16" s="348">
        <f>VLOOKUP($BW16,'HR|社保明细'!$C:G,5,0)</f>
        <v>0</v>
      </c>
      <c r="AH16" s="348">
        <f>VLOOKUP($BW16,'HR|社保明细'!$C:H,6,0)</f>
        <v>0</v>
      </c>
      <c r="AI16" s="348">
        <f>VLOOKUP($BW16,'HR|社保明细'!$C:I,7,0)</f>
        <v>0</v>
      </c>
      <c r="AJ16" s="348">
        <f>VLOOKUP($BW16,'HR|社保明细'!$C:J,8,0)</f>
        <v>0</v>
      </c>
      <c r="AK16" s="348">
        <f>VLOOKUP($BW16,'HR|社保明细'!$C:K,9,0)</f>
        <v>0</v>
      </c>
      <c r="AL16" s="353">
        <f>VLOOKUP($BW16,'HR|社保明细'!$C:L,10,0)</f>
        <v>0</v>
      </c>
      <c r="AM16" s="349">
        <f t="shared" ref="AM16:AM72" si="19">SUM(AH16:AL16)</f>
        <v>0</v>
      </c>
      <c r="AN16" s="348"/>
      <c r="AO16" s="348"/>
      <c r="AP16" s="348"/>
      <c r="AQ16" s="348"/>
      <c r="AR16" s="348"/>
      <c r="AS16" s="348">
        <v>1000</v>
      </c>
      <c r="AT16" s="354"/>
      <c r="AU16" s="355">
        <f>VLOOKUP(BW16,hr.个税累计数据!C:DS,121,0)</f>
        <v>6000</v>
      </c>
      <c r="AV16" s="348">
        <f>IF(AU16-5000*N16-VLOOKUP(A16,hr.个税累计数据!C:DT,122,0)-VLOOKUP(A16,hr.个税累计数据!C:DU,123,0)&gt;0,AU16-5000*N16-VLOOKUP(A16,hr.个税累计数据!C:DT,122,0)-VLOOKUP(A16,hr.个税累计数据!C:DU,123,0),0)</f>
        <v>0</v>
      </c>
      <c r="AW16" s="348">
        <f>VLOOKUP(BW16,hr.个税累计数据!C:DV,124,0)</f>
        <v>200</v>
      </c>
      <c r="AX16" s="348"/>
      <c r="AY16" s="349">
        <f>IF(D16="国内不计税",0,IF(D16="正常计税",ROUND(MAX(AS16*{0.03,0.1,0.2,0.25,0.3,0.35,0.45}-{0,210,1410,2660,4410,7160,15160},0),2),IF(D16="外籍人",ROUND(MAX(AS16*{0.03,0.1,0.2,0.25,0.3,0.35,0.45}-{0,210,1410,2660,4410,7160,15160},0),2),ROUND(MAX((AS16-IF(AS16&lt;4000,800,AS16*0.2))*10%*{2,3,4}-1000*{0,2,7},0),2))))</f>
        <v>40</v>
      </c>
      <c r="AZ16" s="348">
        <f t="shared" ref="AZ16:AZ79" si="20">-S16</f>
        <v>0</v>
      </c>
      <c r="BA16" s="348"/>
      <c r="BB16" s="348">
        <f t="shared" ref="BB16:BB79" si="21">AC16-AM16-AY16-AX16+SUM(AZ16:BA16)</f>
        <v>960</v>
      </c>
      <c r="BC16" s="353"/>
      <c r="BD16" s="349">
        <f t="shared" ref="BD16:BD79" si="22">AC16-AM16-AX16-AY16+SUM(AZ16:BA16)</f>
        <v>960</v>
      </c>
      <c r="BE16" s="356">
        <f>VLOOKUP($BW16,'HR|社保明细'!C:T,11,0)</f>
        <v>0</v>
      </c>
      <c r="BF16" s="348">
        <f>VLOOKUP($BW16,'HR|社保明细'!$C:U,12,0)</f>
        <v>0</v>
      </c>
      <c r="BG16" s="348">
        <f>VLOOKUP($BW16,'HR|社保明细'!$C:V,13,0)</f>
        <v>0</v>
      </c>
      <c r="BH16" s="348">
        <f>VLOOKUP($BW16,'HR|社保明细'!$C:W,14,0)</f>
        <v>0</v>
      </c>
      <c r="BI16" s="348">
        <f>VLOOKUP($BW16,'HR|社保明细'!$C:X,15,0)</f>
        <v>0</v>
      </c>
      <c r="BJ16" s="348">
        <f>VLOOKUP($BW16,'HR|社保明细'!$C:Y,16,0)</f>
        <v>0</v>
      </c>
      <c r="BK16" s="353">
        <f>VLOOKUP($BW16,'HR|社保明细'!$C:Z,17,0)</f>
        <v>0</v>
      </c>
      <c r="BL16" s="349">
        <f t="shared" ref="BL16:BL79" si="23">SUM(BE16:BK16)</f>
        <v>0</v>
      </c>
      <c r="BM16" s="354"/>
      <c r="BN16" s="350"/>
      <c r="BO16" s="350"/>
      <c r="BP16" s="350"/>
      <c r="BQ16" s="350"/>
      <c r="BR16" s="349">
        <f t="shared" ref="BR16:BR72" si="24">SUM(BN16:BQ16)</f>
        <v>0</v>
      </c>
      <c r="BS16" s="349">
        <f t="shared" ref="BS16:BS79" si="25">SUM(V16:AB16)</f>
        <v>0</v>
      </c>
      <c r="BT16" s="357"/>
      <c r="BU16" s="357"/>
      <c r="BV16" s="358"/>
      <c r="BW16" s="359" t="str">
        <f t="shared" ref="BW16:BW79" si="26">C16&amp;I16</f>
        <v>开弈企业外包王倩</v>
      </c>
      <c r="BX16" s="360" t="s">
        <v>258</v>
      </c>
      <c r="BY16" s="360" t="s">
        <v>259</v>
      </c>
      <c r="BZ16" s="360"/>
      <c r="CA16" s="360" t="str">
        <f>VLOOKUP(A16,hr.个税累计数据!C:C,1,0)</f>
        <v>开弈企业外包王倩</v>
      </c>
      <c r="CB16" s="360" t="s">
        <v>279</v>
      </c>
      <c r="CC16" s="360"/>
      <c r="CD16" s="243" t="b">
        <f t="shared" ref="CD16:CD79" si="27">H16=I16</f>
        <v>1</v>
      </c>
    </row>
    <row r="17" s="243" customFormat="1" ht="23" hidden="1" customHeight="1" spans="1:82">
      <c r="A17" s="343" t="str">
        <f t="shared" si="14"/>
        <v>靠普人力英成盛</v>
      </c>
      <c r="B17" s="343" t="s">
        <v>37</v>
      </c>
      <c r="C17" s="343" t="s">
        <v>63</v>
      </c>
      <c r="D17" s="343" t="s">
        <v>252</v>
      </c>
      <c r="E17" s="344" t="s">
        <v>261</v>
      </c>
      <c r="F17" s="343" t="s">
        <v>262</v>
      </c>
      <c r="G17" s="343" t="s">
        <v>263</v>
      </c>
      <c r="H17" s="343" t="s">
        <v>280</v>
      </c>
      <c r="I17" s="343" t="s">
        <v>280</v>
      </c>
      <c r="J17" s="343" t="s">
        <v>265</v>
      </c>
      <c r="K17" s="345">
        <f t="shared" si="15"/>
        <v>5449.47</v>
      </c>
      <c r="L17" s="346">
        <f t="shared" si="16"/>
        <v>2740</v>
      </c>
      <c r="M17"/>
      <c r="N17" s="347">
        <v>6</v>
      </c>
      <c r="O17" s="348">
        <f>3457.55+15.54-7.77+50+23.94-15.96</f>
        <v>3523.3</v>
      </c>
      <c r="P17" s="348"/>
      <c r="Q17" s="348"/>
      <c r="R17" s="348"/>
      <c r="S17" s="348"/>
      <c r="T17" s="348"/>
      <c r="U17" s="349">
        <f t="shared" si="17"/>
        <v>3523.3</v>
      </c>
      <c r="V17" s="350"/>
      <c r="W17" s="350"/>
      <c r="X17" s="350"/>
      <c r="Y17" s="350"/>
      <c r="Z17" s="350"/>
      <c r="AA17" s="350"/>
      <c r="AB17" s="350"/>
      <c r="AC17" s="349">
        <f t="shared" si="18"/>
        <v>3523.3</v>
      </c>
      <c r="AD17" s="351"/>
      <c r="AE17" s="352">
        <v>202606</v>
      </c>
      <c r="AF17" s="348">
        <f>VLOOKUP(BW17,'HR|社保明细'!C:F,4,0)</f>
        <v>7460</v>
      </c>
      <c r="AG17" s="348">
        <f>VLOOKUP($BW17,'HR|社保明细'!$C:G,5,0)</f>
        <v>0</v>
      </c>
      <c r="AH17" s="348">
        <f>VLOOKUP($BW17,'HR|社保明细'!$C:H,6,0)</f>
        <v>596.8</v>
      </c>
      <c r="AI17" s="348">
        <f>VLOOKUP($BW17,'HR|社保明细'!$C:I,7,0)</f>
        <v>149.2</v>
      </c>
      <c r="AJ17" s="348">
        <f>VLOOKUP($BW17,'HR|社保明细'!$C:J,8,0)</f>
        <v>37.3</v>
      </c>
      <c r="AK17" s="348">
        <f>VLOOKUP($BW17,'HR|社保明细'!$C:K,9,0)</f>
        <v>0</v>
      </c>
      <c r="AL17" s="353">
        <f>VLOOKUP($BW17,'HR|社保明细'!$C:L,10,0)</f>
        <v>0</v>
      </c>
      <c r="AM17" s="349">
        <f t="shared" si="19"/>
        <v>783.3</v>
      </c>
      <c r="AN17" s="348"/>
      <c r="AO17" s="348"/>
      <c r="AP17" s="348"/>
      <c r="AQ17" s="348"/>
      <c r="AR17" s="348"/>
      <c r="AS17" s="348">
        <f t="shared" ref="AS17:AS38" si="28">AC17-AM17-SUM(AN17:AR17)</f>
        <v>2740</v>
      </c>
      <c r="AT17" s="354"/>
      <c r="AU17" s="355">
        <f>VLOOKUP(BW17,hr.个税累计数据!C:DS,121,0)</f>
        <v>21139.8</v>
      </c>
      <c r="AV17" s="348">
        <f>IF(AU17-5000*N17-VLOOKUP(A17,hr.个税累计数据!C:DT,122,0)-VLOOKUP(A17,hr.个税累计数据!C:DU,123,0)&gt;0,AU17-5000*N17-VLOOKUP(A17,hr.个税累计数据!C:DT,122,0)-VLOOKUP(A17,hr.个税累计数据!C:DU,123,0),0)</f>
        <v>0</v>
      </c>
      <c r="AW17" s="348">
        <f>VLOOKUP(BW17,hr.个税累计数据!C:DV,124,0)</f>
        <v>0</v>
      </c>
      <c r="AX17" s="348"/>
      <c r="AY17" s="349">
        <f>IF(ROUND(MAX(AV17*{0.03,0.1,0.2,0.25,0.3,0.35,0.45}-{0,210,1410,2660,4410,7160,15160}*12)-AW17,2)&lt;=0,0,ROUND(MAX(AV17*{0.03,0.1,0.2,0.25,0.3,0.35,0.45}-{0,210,1410,2660,4410,7160,15160}*12)-AW17,2))</f>
        <v>0</v>
      </c>
      <c r="AZ17" s="348">
        <f t="shared" si="20"/>
        <v>0</v>
      </c>
      <c r="BA17" s="348"/>
      <c r="BB17" s="348">
        <f t="shared" si="21"/>
        <v>2740</v>
      </c>
      <c r="BC17" s="353"/>
      <c r="BD17" s="349">
        <f t="shared" si="22"/>
        <v>2740</v>
      </c>
      <c r="BE17" s="356">
        <f>VLOOKUP($BW17,'HR|社保明细'!C:T,11,0)</f>
        <v>1193.6</v>
      </c>
      <c r="BF17" s="348">
        <f>VLOOKUP($BW17,'HR|社保明细'!$C:U,12,0)</f>
        <v>596.8</v>
      </c>
      <c r="BG17" s="348">
        <f>VLOOKUP($BW17,'HR|社保明细'!$C:V,13,0)</f>
        <v>37.3</v>
      </c>
      <c r="BH17" s="348">
        <f>VLOOKUP($BW17,'HR|社保明细'!$C:W,14,0)</f>
        <v>23.87</v>
      </c>
      <c r="BI17" s="348">
        <f>VLOOKUP($BW17,'HR|社保明细'!$C:X,15,0)</f>
        <v>74.6</v>
      </c>
      <c r="BJ17" s="348">
        <f>VLOOKUP($BW17,'HR|社保明细'!$C:Y,16,0)</f>
        <v>0</v>
      </c>
      <c r="BK17" s="353">
        <f>VLOOKUP($BW17,'HR|社保明细'!$C:Z,17,0)</f>
        <v>0</v>
      </c>
      <c r="BL17" s="349">
        <f t="shared" si="23"/>
        <v>1926.17</v>
      </c>
      <c r="BM17" s="354"/>
      <c r="BN17" s="350"/>
      <c r="BO17" s="350"/>
      <c r="BP17" s="350"/>
      <c r="BQ17" s="350"/>
      <c r="BR17" s="349">
        <f t="shared" si="24"/>
        <v>0</v>
      </c>
      <c r="BS17" s="349">
        <f t="shared" si="25"/>
        <v>0</v>
      </c>
      <c r="BT17" s="357"/>
      <c r="BU17" s="357"/>
      <c r="BV17" s="358"/>
      <c r="BW17" s="359" t="str">
        <f t="shared" si="26"/>
        <v>靠普人力英成盛</v>
      </c>
      <c r="BX17" s="360"/>
      <c r="BY17" s="360" t="s">
        <v>259</v>
      </c>
      <c r="BZ17" s="360"/>
      <c r="CA17" s="360" t="str">
        <f>VLOOKUP(A17,hr.个税累计数据!C:C,1,0)</f>
        <v>靠普人力英成盛</v>
      </c>
      <c r="CB17" s="360" t="s">
        <v>281</v>
      </c>
      <c r="CC17" s="360"/>
      <c r="CD17" s="243" t="b">
        <f t="shared" si="27"/>
        <v>1</v>
      </c>
    </row>
    <row r="18" s="243" customFormat="1" ht="23" hidden="1" customHeight="1" spans="1:82">
      <c r="A18" s="343" t="str">
        <f t="shared" si="14"/>
        <v>开弈人力资源曹保兵</v>
      </c>
      <c r="B18" s="343" t="s">
        <v>37</v>
      </c>
      <c r="C18" s="343" t="s">
        <v>61</v>
      </c>
      <c r="D18" s="343" t="s">
        <v>252</v>
      </c>
      <c r="E18" s="344" t="s">
        <v>261</v>
      </c>
      <c r="F18" s="343" t="s">
        <v>262</v>
      </c>
      <c r="G18" s="343" t="s">
        <v>263</v>
      </c>
      <c r="H18" s="343" t="s">
        <v>282</v>
      </c>
      <c r="I18" s="343" t="s">
        <v>282</v>
      </c>
      <c r="J18" s="343" t="s">
        <v>265</v>
      </c>
      <c r="K18" s="345">
        <f t="shared" si="15"/>
        <v>5449.47</v>
      </c>
      <c r="L18" s="346">
        <f t="shared" si="16"/>
        <v>2740</v>
      </c>
      <c r="M18"/>
      <c r="N18" s="347">
        <v>6</v>
      </c>
      <c r="O18" s="348">
        <f>3457.55+15.54-7.77+50+23.94-15.96</f>
        <v>3523.3</v>
      </c>
      <c r="P18" s="348"/>
      <c r="Q18" s="348"/>
      <c r="R18" s="348"/>
      <c r="S18" s="348"/>
      <c r="T18" s="348"/>
      <c r="U18" s="349">
        <f t="shared" si="17"/>
        <v>3523.3</v>
      </c>
      <c r="V18" s="350"/>
      <c r="W18" s="350"/>
      <c r="X18" s="350"/>
      <c r="Y18" s="350"/>
      <c r="Z18" s="350"/>
      <c r="AA18" s="350"/>
      <c r="AB18" s="350"/>
      <c r="AC18" s="349">
        <f t="shared" si="18"/>
        <v>3523.3</v>
      </c>
      <c r="AD18" s="351"/>
      <c r="AE18" s="352">
        <v>202606</v>
      </c>
      <c r="AF18" s="348">
        <f>VLOOKUP(BW18,'HR|社保明细'!C:F,4,0)</f>
        <v>7460</v>
      </c>
      <c r="AG18" s="348">
        <f>VLOOKUP($BW18,'HR|社保明细'!$C:G,5,0)</f>
        <v>0</v>
      </c>
      <c r="AH18" s="348">
        <f>VLOOKUP($BW18,'HR|社保明细'!$C:H,6,0)</f>
        <v>596.8</v>
      </c>
      <c r="AI18" s="348">
        <f>VLOOKUP($BW18,'HR|社保明细'!$C:I,7,0)</f>
        <v>149.2</v>
      </c>
      <c r="AJ18" s="348">
        <f>VLOOKUP($BW18,'HR|社保明细'!$C:J,8,0)</f>
        <v>37.3</v>
      </c>
      <c r="AK18" s="348">
        <f>VLOOKUP($BW18,'HR|社保明细'!$C:K,9,0)</f>
        <v>0</v>
      </c>
      <c r="AL18" s="353">
        <f>VLOOKUP($BW18,'HR|社保明细'!$C:L,10,0)</f>
        <v>0</v>
      </c>
      <c r="AM18" s="349">
        <f t="shared" si="19"/>
        <v>783.3</v>
      </c>
      <c r="AN18" s="348"/>
      <c r="AO18" s="348"/>
      <c r="AP18" s="348"/>
      <c r="AQ18" s="348"/>
      <c r="AR18" s="348"/>
      <c r="AS18" s="348">
        <f t="shared" si="28"/>
        <v>2740</v>
      </c>
      <c r="AT18" s="354"/>
      <c r="AU18" s="355">
        <f>VLOOKUP(BW18,hr.个税累计数据!C:DS,121,0)</f>
        <v>21139.8</v>
      </c>
      <c r="AV18" s="348">
        <f>IF(AU18-5000*N18-VLOOKUP(A18,hr.个税累计数据!C:DT,122,0)-VLOOKUP(A18,hr.个税累计数据!C:DU,123,0)&gt;0,AU18-5000*N18-VLOOKUP(A18,hr.个税累计数据!C:DT,122,0)-VLOOKUP(A18,hr.个税累计数据!C:DU,123,0),0)</f>
        <v>0</v>
      </c>
      <c r="AW18" s="348">
        <f>VLOOKUP(BW18,hr.个税累计数据!C:DV,124,0)</f>
        <v>0</v>
      </c>
      <c r="AX18" s="348"/>
      <c r="AY18" s="349">
        <f>IF(ROUND(MAX(AV18*{0.03,0.1,0.2,0.25,0.3,0.35,0.45}-{0,210,1410,2660,4410,7160,15160}*12)-AW18,2)&lt;=0,0,ROUND(MAX(AV18*{0.03,0.1,0.2,0.25,0.3,0.35,0.45}-{0,210,1410,2660,4410,7160,15160}*12)-AW18,2))</f>
        <v>0</v>
      </c>
      <c r="AZ18" s="348">
        <f t="shared" si="20"/>
        <v>0</v>
      </c>
      <c r="BA18" s="348"/>
      <c r="BB18" s="348">
        <f t="shared" si="21"/>
        <v>2740</v>
      </c>
      <c r="BC18" s="353"/>
      <c r="BD18" s="349">
        <f t="shared" si="22"/>
        <v>2740</v>
      </c>
      <c r="BE18" s="356">
        <f>VLOOKUP($BW18,'HR|社保明细'!C:T,11,0)</f>
        <v>1193.6</v>
      </c>
      <c r="BF18" s="348">
        <f>VLOOKUP($BW18,'HR|社保明细'!$C:U,12,0)</f>
        <v>596.8</v>
      </c>
      <c r="BG18" s="348">
        <f>VLOOKUP($BW18,'HR|社保明细'!$C:V,13,0)</f>
        <v>37.3</v>
      </c>
      <c r="BH18" s="348">
        <f>VLOOKUP($BW18,'HR|社保明细'!$C:W,14,0)</f>
        <v>23.87</v>
      </c>
      <c r="BI18" s="348">
        <f>VLOOKUP($BW18,'HR|社保明细'!$C:X,15,0)</f>
        <v>74.6</v>
      </c>
      <c r="BJ18" s="348">
        <f>VLOOKUP($BW18,'HR|社保明细'!$C:Y,16,0)</f>
        <v>0</v>
      </c>
      <c r="BK18" s="353">
        <f>VLOOKUP($BW18,'HR|社保明细'!$C:Z,17,0)</f>
        <v>0</v>
      </c>
      <c r="BL18" s="349">
        <f t="shared" si="23"/>
        <v>1926.17</v>
      </c>
      <c r="BM18" s="354"/>
      <c r="BN18" s="350"/>
      <c r="BO18" s="350"/>
      <c r="BP18" s="350"/>
      <c r="BQ18" s="350"/>
      <c r="BR18" s="349">
        <f t="shared" si="24"/>
        <v>0</v>
      </c>
      <c r="BS18" s="349">
        <f t="shared" si="25"/>
        <v>0</v>
      </c>
      <c r="BT18" s="357"/>
      <c r="BU18" s="357"/>
      <c r="BV18" s="358"/>
      <c r="BW18" s="359" t="str">
        <f t="shared" si="26"/>
        <v>开弈人力资源曹保兵</v>
      </c>
      <c r="BX18" s="360"/>
      <c r="BY18" s="360" t="s">
        <v>259</v>
      </c>
      <c r="BZ18" s="360"/>
      <c r="CA18" s="360" t="str">
        <f>VLOOKUP(A18,hr.个税累计数据!C:C,1,0)</f>
        <v>开弈人力资源曹保兵</v>
      </c>
      <c r="CB18" s="360" t="s">
        <v>283</v>
      </c>
      <c r="CC18" s="360"/>
      <c r="CD18" s="243" t="b">
        <f t="shared" si="27"/>
        <v>1</v>
      </c>
    </row>
    <row r="19" s="243" customFormat="1" ht="23" hidden="1" customHeight="1" spans="1:82">
      <c r="A19" s="343" t="str">
        <f t="shared" si="14"/>
        <v>开弈人力资源陶桔林</v>
      </c>
      <c r="B19" s="343" t="s">
        <v>37</v>
      </c>
      <c r="C19" s="343" t="s">
        <v>61</v>
      </c>
      <c r="D19" s="343" t="s">
        <v>252</v>
      </c>
      <c r="E19" s="344" t="s">
        <v>261</v>
      </c>
      <c r="F19" s="343" t="s">
        <v>262</v>
      </c>
      <c r="G19" s="343" t="s">
        <v>263</v>
      </c>
      <c r="H19" s="343" t="s">
        <v>284</v>
      </c>
      <c r="I19" s="343" t="s">
        <v>284</v>
      </c>
      <c r="J19" s="343" t="s">
        <v>265</v>
      </c>
      <c r="K19" s="345">
        <f t="shared" si="15"/>
        <v>5825.47</v>
      </c>
      <c r="L19" s="346">
        <f t="shared" si="16"/>
        <v>2740</v>
      </c>
      <c r="M19"/>
      <c r="N19" s="347">
        <v>6</v>
      </c>
      <c r="O19" s="348">
        <f>3638.55+22.54-7.77+50+23.94-15.96</f>
        <v>3711.3</v>
      </c>
      <c r="P19" s="348"/>
      <c r="Q19" s="348"/>
      <c r="R19" s="348"/>
      <c r="S19" s="348"/>
      <c r="T19" s="348"/>
      <c r="U19" s="349">
        <f t="shared" si="17"/>
        <v>3711.3</v>
      </c>
      <c r="V19" s="350"/>
      <c r="W19" s="350"/>
      <c r="X19" s="350"/>
      <c r="Y19" s="350"/>
      <c r="Z19" s="350"/>
      <c r="AA19" s="350"/>
      <c r="AB19" s="350"/>
      <c r="AC19" s="349">
        <f t="shared" si="18"/>
        <v>3711.3</v>
      </c>
      <c r="AD19" s="351"/>
      <c r="AE19" s="352">
        <v>202606</v>
      </c>
      <c r="AF19" s="348">
        <f>VLOOKUP(BW19,'HR|社保明细'!C:F,4,0)</f>
        <v>7460</v>
      </c>
      <c r="AG19" s="348">
        <f>VLOOKUP($BW19,'HR|社保明细'!$C:G,5,0)</f>
        <v>2690</v>
      </c>
      <c r="AH19" s="348">
        <f>VLOOKUP($BW19,'HR|社保明细'!$C:H,6,0)</f>
        <v>596.8</v>
      </c>
      <c r="AI19" s="348">
        <f>VLOOKUP($BW19,'HR|社保明细'!$C:I,7,0)</f>
        <v>149.2</v>
      </c>
      <c r="AJ19" s="348">
        <f>VLOOKUP($BW19,'HR|社保明细'!$C:J,8,0)</f>
        <v>37.3</v>
      </c>
      <c r="AK19" s="348">
        <f>VLOOKUP($BW19,'HR|社保明细'!$C:K,9,0)</f>
        <v>188</v>
      </c>
      <c r="AL19" s="353">
        <f>VLOOKUP($BW19,'HR|社保明细'!$C:L,10,0)</f>
        <v>0</v>
      </c>
      <c r="AM19" s="349">
        <f t="shared" si="19"/>
        <v>971.3</v>
      </c>
      <c r="AN19" s="348"/>
      <c r="AO19" s="348"/>
      <c r="AP19" s="348"/>
      <c r="AQ19" s="348"/>
      <c r="AR19" s="348"/>
      <c r="AS19" s="348">
        <f t="shared" si="28"/>
        <v>2740</v>
      </c>
      <c r="AT19" s="354"/>
      <c r="AU19" s="355">
        <f>VLOOKUP(BW19,hr.个税累计数据!C:DS,121,0)</f>
        <v>22267.8</v>
      </c>
      <c r="AV19" s="348">
        <f>IF(AU19-5000*N19-VLOOKUP(A19,hr.个税累计数据!C:DT,122,0)-VLOOKUP(A19,hr.个税累计数据!C:DU,123,0)&gt;0,AU19-5000*N19-VLOOKUP(A19,hr.个税累计数据!C:DT,122,0)-VLOOKUP(A19,hr.个税累计数据!C:DU,123,0),0)</f>
        <v>0</v>
      </c>
      <c r="AW19" s="348">
        <f>VLOOKUP(BW19,hr.个税累计数据!C:DV,124,0)</f>
        <v>0</v>
      </c>
      <c r="AX19" s="348"/>
      <c r="AY19" s="349">
        <f>IF(ROUND(MAX(AV19*{0.03,0.1,0.2,0.25,0.3,0.35,0.45}-{0,210,1410,2660,4410,7160,15160}*12)-AW19,2)&lt;=0,0,ROUND(MAX(AV19*{0.03,0.1,0.2,0.25,0.3,0.35,0.45}-{0,210,1410,2660,4410,7160,15160}*12)-AW19,2))</f>
        <v>0</v>
      </c>
      <c r="AZ19" s="348">
        <f t="shared" si="20"/>
        <v>0</v>
      </c>
      <c r="BA19" s="348"/>
      <c r="BB19" s="348">
        <f t="shared" si="21"/>
        <v>2740</v>
      </c>
      <c r="BC19" s="353"/>
      <c r="BD19" s="349">
        <f t="shared" si="22"/>
        <v>2740</v>
      </c>
      <c r="BE19" s="356">
        <f>VLOOKUP($BW19,'HR|社保明细'!C:T,11,0)</f>
        <v>1193.6</v>
      </c>
      <c r="BF19" s="348">
        <f>VLOOKUP($BW19,'HR|社保明细'!$C:U,12,0)</f>
        <v>596.8</v>
      </c>
      <c r="BG19" s="348">
        <f>VLOOKUP($BW19,'HR|社保明细'!$C:V,13,0)</f>
        <v>37.3</v>
      </c>
      <c r="BH19" s="348">
        <f>VLOOKUP($BW19,'HR|社保明细'!$C:W,14,0)</f>
        <v>23.87</v>
      </c>
      <c r="BI19" s="348">
        <f>VLOOKUP($BW19,'HR|社保明细'!$C:X,15,0)</f>
        <v>74.6</v>
      </c>
      <c r="BJ19" s="348">
        <f>VLOOKUP($BW19,'HR|社保明细'!$C:Y,16,0)</f>
        <v>188</v>
      </c>
      <c r="BK19" s="353">
        <f>VLOOKUP($BW19,'HR|社保明细'!$C:Z,17,0)</f>
        <v>0</v>
      </c>
      <c r="BL19" s="349">
        <f t="shared" si="23"/>
        <v>2114.17</v>
      </c>
      <c r="BM19" s="354"/>
      <c r="BN19" s="350"/>
      <c r="BO19" s="350"/>
      <c r="BP19" s="350"/>
      <c r="BQ19" s="350"/>
      <c r="BR19" s="349">
        <f t="shared" si="24"/>
        <v>0</v>
      </c>
      <c r="BS19" s="349">
        <f t="shared" si="25"/>
        <v>0</v>
      </c>
      <c r="BT19" s="357"/>
      <c r="BU19" s="357"/>
      <c r="BV19" s="358"/>
      <c r="BW19" s="359" t="str">
        <f t="shared" si="26"/>
        <v>开弈人力资源陶桔林</v>
      </c>
      <c r="BX19" s="360"/>
      <c r="BY19" s="360" t="s">
        <v>259</v>
      </c>
      <c r="BZ19" s="360"/>
      <c r="CA19" s="360" t="str">
        <f>VLOOKUP(A19,hr.个税累计数据!C:C,1,0)</f>
        <v>开弈人力资源陶桔林</v>
      </c>
      <c r="CB19" s="360" t="s">
        <v>285</v>
      </c>
      <c r="CC19" s="360"/>
      <c r="CD19" s="243" t="b">
        <f t="shared" si="27"/>
        <v>1</v>
      </c>
    </row>
    <row r="20" s="243" customFormat="1" ht="23" hidden="1" customHeight="1" spans="1:82">
      <c r="A20" s="343" t="str">
        <f t="shared" si="14"/>
        <v>开弈人力资源李晓晓</v>
      </c>
      <c r="B20" s="343" t="s">
        <v>37</v>
      </c>
      <c r="C20" s="343" t="s">
        <v>61</v>
      </c>
      <c r="D20" s="343" t="s">
        <v>252</v>
      </c>
      <c r="E20" s="344" t="s">
        <v>261</v>
      </c>
      <c r="F20" s="343" t="s">
        <v>262</v>
      </c>
      <c r="G20" s="343" t="s">
        <v>263</v>
      </c>
      <c r="H20" s="343" t="s">
        <v>286</v>
      </c>
      <c r="I20" s="343" t="s">
        <v>286</v>
      </c>
      <c r="J20" s="343" t="s">
        <v>265</v>
      </c>
      <c r="K20" s="345">
        <f t="shared" si="15"/>
        <v>5449.47</v>
      </c>
      <c r="L20" s="346">
        <f t="shared" si="16"/>
        <v>2740</v>
      </c>
      <c r="M20"/>
      <c r="N20" s="347">
        <v>6</v>
      </c>
      <c r="O20" s="348">
        <f>3457.55+15.54-7.77+50+23.94-15.96</f>
        <v>3523.3</v>
      </c>
      <c r="P20" s="348"/>
      <c r="Q20" s="348"/>
      <c r="R20" s="348"/>
      <c r="S20" s="348"/>
      <c r="T20" s="348"/>
      <c r="U20" s="349">
        <f t="shared" si="17"/>
        <v>3523.3</v>
      </c>
      <c r="V20" s="350"/>
      <c r="W20" s="350"/>
      <c r="X20" s="350"/>
      <c r="Y20" s="350"/>
      <c r="Z20" s="350"/>
      <c r="AA20" s="350"/>
      <c r="AB20" s="350"/>
      <c r="AC20" s="349">
        <f t="shared" si="18"/>
        <v>3523.3</v>
      </c>
      <c r="AD20" s="351"/>
      <c r="AE20" s="352">
        <v>202606</v>
      </c>
      <c r="AF20" s="348">
        <f>VLOOKUP(BW20,'HR|社保明细'!C:F,4,0)</f>
        <v>7460</v>
      </c>
      <c r="AG20" s="348">
        <f>VLOOKUP($BW20,'HR|社保明细'!$C:G,5,0)</f>
        <v>0</v>
      </c>
      <c r="AH20" s="348">
        <f>VLOOKUP($BW20,'HR|社保明细'!$C:H,6,0)</f>
        <v>596.8</v>
      </c>
      <c r="AI20" s="348">
        <f>VLOOKUP($BW20,'HR|社保明细'!$C:I,7,0)</f>
        <v>149.2</v>
      </c>
      <c r="AJ20" s="348">
        <f>VLOOKUP($BW20,'HR|社保明细'!$C:J,8,0)</f>
        <v>37.3</v>
      </c>
      <c r="AK20" s="348">
        <f>VLOOKUP($BW20,'HR|社保明细'!$C:K,9,0)</f>
        <v>0</v>
      </c>
      <c r="AL20" s="353">
        <f>VLOOKUP($BW20,'HR|社保明细'!$C:L,10,0)</f>
        <v>0</v>
      </c>
      <c r="AM20" s="349">
        <f t="shared" si="19"/>
        <v>783.3</v>
      </c>
      <c r="AN20" s="348"/>
      <c r="AO20" s="348"/>
      <c r="AP20" s="348"/>
      <c r="AQ20" s="348"/>
      <c r="AR20" s="348"/>
      <c r="AS20" s="348">
        <f t="shared" si="28"/>
        <v>2740</v>
      </c>
      <c r="AT20" s="354"/>
      <c r="AU20" s="355">
        <f>VLOOKUP(BW20,hr.个税累计数据!C:DS,121,0)</f>
        <v>21139.8</v>
      </c>
      <c r="AV20" s="348">
        <f>IF(AU20-5000*N20-VLOOKUP(A20,hr.个税累计数据!C:DT,122,0)-VLOOKUP(A20,hr.个税累计数据!C:DU,123,0)&gt;0,AU20-5000*N20-VLOOKUP(A20,hr.个税累计数据!C:DT,122,0)-VLOOKUP(A20,hr.个税累计数据!C:DU,123,0),0)</f>
        <v>0</v>
      </c>
      <c r="AW20" s="348">
        <f>VLOOKUP(BW20,hr.个税累计数据!C:DV,124,0)</f>
        <v>0</v>
      </c>
      <c r="AX20" s="348"/>
      <c r="AY20" s="349">
        <f>IF(ROUND(MAX(AV20*{0.03,0.1,0.2,0.25,0.3,0.35,0.45}-{0,210,1410,2660,4410,7160,15160}*12)-AW20,2)&lt;=0,0,ROUND(MAX(AV20*{0.03,0.1,0.2,0.25,0.3,0.35,0.45}-{0,210,1410,2660,4410,7160,15160}*12)-AW20,2))</f>
        <v>0</v>
      </c>
      <c r="AZ20" s="348">
        <f t="shared" si="20"/>
        <v>0</v>
      </c>
      <c r="BA20" s="348"/>
      <c r="BB20" s="348">
        <f t="shared" si="21"/>
        <v>2740</v>
      </c>
      <c r="BC20" s="353"/>
      <c r="BD20" s="349">
        <f t="shared" si="22"/>
        <v>2740</v>
      </c>
      <c r="BE20" s="356">
        <f>VLOOKUP($BW20,'HR|社保明细'!C:T,11,0)</f>
        <v>1193.6</v>
      </c>
      <c r="BF20" s="348">
        <f>VLOOKUP($BW20,'HR|社保明细'!$C:U,12,0)</f>
        <v>596.8</v>
      </c>
      <c r="BG20" s="348">
        <f>VLOOKUP($BW20,'HR|社保明细'!$C:V,13,0)</f>
        <v>37.3</v>
      </c>
      <c r="BH20" s="348">
        <f>VLOOKUP($BW20,'HR|社保明细'!$C:W,14,0)</f>
        <v>23.87</v>
      </c>
      <c r="BI20" s="348">
        <f>VLOOKUP($BW20,'HR|社保明细'!$C:X,15,0)</f>
        <v>74.6</v>
      </c>
      <c r="BJ20" s="348">
        <f>VLOOKUP($BW20,'HR|社保明细'!$C:Y,16,0)</f>
        <v>0</v>
      </c>
      <c r="BK20" s="353">
        <f>VLOOKUP($BW20,'HR|社保明细'!$C:Z,17,0)</f>
        <v>0</v>
      </c>
      <c r="BL20" s="349">
        <f t="shared" si="23"/>
        <v>1926.17</v>
      </c>
      <c r="BM20" s="354"/>
      <c r="BN20" s="350"/>
      <c r="BO20" s="350"/>
      <c r="BP20" s="350"/>
      <c r="BQ20" s="350"/>
      <c r="BR20" s="349">
        <f t="shared" si="24"/>
        <v>0</v>
      </c>
      <c r="BS20" s="349">
        <f t="shared" si="25"/>
        <v>0</v>
      </c>
      <c r="BT20" s="357"/>
      <c r="BU20" s="357"/>
      <c r="BV20" s="358"/>
      <c r="BW20" s="359" t="str">
        <f t="shared" si="26"/>
        <v>开弈人力资源李晓晓</v>
      </c>
      <c r="BX20" s="360"/>
      <c r="BY20" s="360" t="s">
        <v>259</v>
      </c>
      <c r="BZ20" s="360"/>
      <c r="CA20" s="360" t="str">
        <f>VLOOKUP(A20,hr.个税累计数据!C:C,1,0)</f>
        <v>开弈人力资源李晓晓</v>
      </c>
      <c r="CB20" s="360" t="s">
        <v>287</v>
      </c>
      <c r="CC20" s="360"/>
      <c r="CD20" s="243" t="b">
        <f t="shared" si="27"/>
        <v>1</v>
      </c>
    </row>
    <row r="21" s="243" customFormat="1" ht="23" hidden="1" customHeight="1" spans="1:82">
      <c r="A21" s="343" t="str">
        <f t="shared" si="14"/>
        <v>开弈人力资源闫秀文</v>
      </c>
      <c r="B21" s="343" t="s">
        <v>37</v>
      </c>
      <c r="C21" s="343" t="s">
        <v>61</v>
      </c>
      <c r="D21" s="343" t="s">
        <v>252</v>
      </c>
      <c r="E21" s="344" t="s">
        <v>261</v>
      </c>
      <c r="F21" s="343" t="s">
        <v>262</v>
      </c>
      <c r="G21" s="343" t="s">
        <v>263</v>
      </c>
      <c r="H21" s="343" t="s">
        <v>288</v>
      </c>
      <c r="I21" s="343" t="s">
        <v>288</v>
      </c>
      <c r="J21" s="343" t="s">
        <v>265</v>
      </c>
      <c r="K21" s="345">
        <f t="shared" si="15"/>
        <v>5449.47</v>
      </c>
      <c r="L21" s="346">
        <f t="shared" si="16"/>
        <v>2740</v>
      </c>
      <c r="M21"/>
      <c r="N21" s="347">
        <v>6</v>
      </c>
      <c r="O21" s="348">
        <f>3457.55+15.54-7.77+50+23.94-15.96</f>
        <v>3523.3</v>
      </c>
      <c r="P21" s="348"/>
      <c r="Q21" s="348"/>
      <c r="R21" s="348"/>
      <c r="S21" s="348"/>
      <c r="T21" s="348"/>
      <c r="U21" s="349">
        <f t="shared" si="17"/>
        <v>3523.3</v>
      </c>
      <c r="V21" s="350"/>
      <c r="W21" s="350"/>
      <c r="X21" s="350"/>
      <c r="Y21" s="350"/>
      <c r="Z21" s="350"/>
      <c r="AA21" s="350"/>
      <c r="AB21" s="350"/>
      <c r="AC21" s="349">
        <f t="shared" si="18"/>
        <v>3523.3</v>
      </c>
      <c r="AD21" s="351"/>
      <c r="AE21" s="352">
        <v>202606</v>
      </c>
      <c r="AF21" s="348">
        <f>VLOOKUP(BW21,'HR|社保明细'!C:F,4,0)</f>
        <v>7460</v>
      </c>
      <c r="AG21" s="348">
        <f>VLOOKUP($BW21,'HR|社保明细'!$C:G,5,0)</f>
        <v>0</v>
      </c>
      <c r="AH21" s="348">
        <f>VLOOKUP($BW21,'HR|社保明细'!$C:H,6,0)</f>
        <v>596.8</v>
      </c>
      <c r="AI21" s="348">
        <f>VLOOKUP($BW21,'HR|社保明细'!$C:I,7,0)</f>
        <v>149.2</v>
      </c>
      <c r="AJ21" s="348">
        <f>VLOOKUP($BW21,'HR|社保明细'!$C:J,8,0)</f>
        <v>37.3</v>
      </c>
      <c r="AK21" s="348">
        <f>VLOOKUP($BW21,'HR|社保明细'!$C:K,9,0)</f>
        <v>0</v>
      </c>
      <c r="AL21" s="353">
        <f>VLOOKUP($BW21,'HR|社保明细'!$C:L,10,0)</f>
        <v>0</v>
      </c>
      <c r="AM21" s="349">
        <f t="shared" si="19"/>
        <v>783.3</v>
      </c>
      <c r="AN21" s="348"/>
      <c r="AO21" s="348"/>
      <c r="AP21" s="348"/>
      <c r="AQ21" s="348"/>
      <c r="AR21" s="348"/>
      <c r="AS21" s="348">
        <f t="shared" si="28"/>
        <v>2740</v>
      </c>
      <c r="AT21" s="354"/>
      <c r="AU21" s="355">
        <f>VLOOKUP(BW21,hr.个税累计数据!C:DS,121,0)</f>
        <v>21139.8</v>
      </c>
      <c r="AV21" s="348">
        <f>IF(AU21-5000*N21-VLOOKUP(A21,hr.个税累计数据!C:DT,122,0)-VLOOKUP(A21,hr.个税累计数据!C:DU,123,0)&gt;0,AU21-5000*N21-VLOOKUP(A21,hr.个税累计数据!C:DT,122,0)-VLOOKUP(A21,hr.个税累计数据!C:DU,123,0),0)</f>
        <v>0</v>
      </c>
      <c r="AW21" s="348">
        <f>VLOOKUP(BW21,hr.个税累计数据!C:DV,124,0)</f>
        <v>0</v>
      </c>
      <c r="AX21" s="348"/>
      <c r="AY21" s="349">
        <f>IF(ROUND(MAX(AV21*{0.03,0.1,0.2,0.25,0.3,0.35,0.45}-{0,210,1410,2660,4410,7160,15160}*12)-AW21,2)&lt;=0,0,ROUND(MAX(AV21*{0.03,0.1,0.2,0.25,0.3,0.35,0.45}-{0,210,1410,2660,4410,7160,15160}*12)-AW21,2))</f>
        <v>0</v>
      </c>
      <c r="AZ21" s="348">
        <f t="shared" si="20"/>
        <v>0</v>
      </c>
      <c r="BA21" s="348"/>
      <c r="BB21" s="348">
        <f t="shared" si="21"/>
        <v>2740</v>
      </c>
      <c r="BC21" s="353"/>
      <c r="BD21" s="349">
        <f t="shared" si="22"/>
        <v>2740</v>
      </c>
      <c r="BE21" s="356">
        <f>VLOOKUP($BW21,'HR|社保明细'!C:T,11,0)</f>
        <v>1193.6</v>
      </c>
      <c r="BF21" s="348">
        <f>VLOOKUP($BW21,'HR|社保明细'!$C:U,12,0)</f>
        <v>596.8</v>
      </c>
      <c r="BG21" s="348">
        <f>VLOOKUP($BW21,'HR|社保明细'!$C:V,13,0)</f>
        <v>37.3</v>
      </c>
      <c r="BH21" s="348">
        <f>VLOOKUP($BW21,'HR|社保明细'!$C:W,14,0)</f>
        <v>23.87</v>
      </c>
      <c r="BI21" s="348">
        <f>VLOOKUP($BW21,'HR|社保明细'!$C:X,15,0)</f>
        <v>74.6</v>
      </c>
      <c r="BJ21" s="348">
        <f>VLOOKUP($BW21,'HR|社保明细'!$C:Y,16,0)</f>
        <v>0</v>
      </c>
      <c r="BK21" s="353">
        <f>VLOOKUP($BW21,'HR|社保明细'!$C:Z,17,0)</f>
        <v>0</v>
      </c>
      <c r="BL21" s="349">
        <f t="shared" si="23"/>
        <v>1926.17</v>
      </c>
      <c r="BM21" s="354"/>
      <c r="BN21" s="350"/>
      <c r="BO21" s="350"/>
      <c r="BP21" s="350"/>
      <c r="BQ21" s="350"/>
      <c r="BR21" s="349">
        <f t="shared" si="24"/>
        <v>0</v>
      </c>
      <c r="BS21" s="349">
        <f t="shared" si="25"/>
        <v>0</v>
      </c>
      <c r="BT21" s="357"/>
      <c r="BU21" s="357"/>
      <c r="BV21" s="358"/>
      <c r="BW21" s="359" t="str">
        <f t="shared" si="26"/>
        <v>开弈人力资源闫秀文</v>
      </c>
      <c r="BX21" s="360"/>
      <c r="BY21" s="360" t="s">
        <v>259</v>
      </c>
      <c r="BZ21" s="360"/>
      <c r="CA21" s="360" t="str">
        <f>VLOOKUP(A21,hr.个税累计数据!C:C,1,0)</f>
        <v>开弈人力资源闫秀文</v>
      </c>
      <c r="CB21" s="360" t="s">
        <v>289</v>
      </c>
      <c r="CC21" s="360"/>
      <c r="CD21" s="243" t="b">
        <f t="shared" si="27"/>
        <v>1</v>
      </c>
    </row>
    <row r="22" s="243" customFormat="1" ht="23" hidden="1" customHeight="1" spans="1:82">
      <c r="A22" s="343" t="str">
        <f t="shared" si="14"/>
        <v>开弈人力资源施宏宇</v>
      </c>
      <c r="B22" s="343" t="s">
        <v>37</v>
      </c>
      <c r="C22" s="343" t="s">
        <v>61</v>
      </c>
      <c r="D22" s="343" t="s">
        <v>252</v>
      </c>
      <c r="E22" s="344" t="s">
        <v>261</v>
      </c>
      <c r="F22" s="343" t="s">
        <v>262</v>
      </c>
      <c r="G22" s="343" t="s">
        <v>263</v>
      </c>
      <c r="H22" s="343" t="s">
        <v>290</v>
      </c>
      <c r="I22" s="343" t="s">
        <v>290</v>
      </c>
      <c r="J22" s="343" t="s">
        <v>265</v>
      </c>
      <c r="K22" s="345">
        <f t="shared" si="15"/>
        <v>5825.47</v>
      </c>
      <c r="L22" s="346">
        <f t="shared" si="16"/>
        <v>2740</v>
      </c>
      <c r="M22"/>
      <c r="N22" s="347">
        <v>6</v>
      </c>
      <c r="O22" s="348">
        <f>3638.55+22.54-7.77+50+23.94-15.96</f>
        <v>3711.3</v>
      </c>
      <c r="P22" s="348"/>
      <c r="Q22" s="348"/>
      <c r="R22" s="348"/>
      <c r="S22" s="348"/>
      <c r="T22" s="348"/>
      <c r="U22" s="349">
        <f t="shared" si="17"/>
        <v>3711.3</v>
      </c>
      <c r="V22" s="350"/>
      <c r="W22" s="350"/>
      <c r="X22" s="350"/>
      <c r="Y22" s="350"/>
      <c r="Z22" s="350"/>
      <c r="AA22" s="350"/>
      <c r="AB22" s="350"/>
      <c r="AC22" s="349">
        <f t="shared" si="18"/>
        <v>3711.3</v>
      </c>
      <c r="AD22" s="351"/>
      <c r="AE22" s="352">
        <v>202606</v>
      </c>
      <c r="AF22" s="348">
        <f>VLOOKUP(BW22,'HR|社保明细'!C:F,4,0)</f>
        <v>7460</v>
      </c>
      <c r="AG22" s="348">
        <f>VLOOKUP($BW22,'HR|社保明细'!$C:G,5,0)</f>
        <v>2690</v>
      </c>
      <c r="AH22" s="348">
        <f>VLOOKUP($BW22,'HR|社保明细'!$C:H,6,0)</f>
        <v>596.8</v>
      </c>
      <c r="AI22" s="348">
        <f>VLOOKUP($BW22,'HR|社保明细'!$C:I,7,0)</f>
        <v>149.2</v>
      </c>
      <c r="AJ22" s="348">
        <f>VLOOKUP($BW22,'HR|社保明细'!$C:J,8,0)</f>
        <v>37.3</v>
      </c>
      <c r="AK22" s="348">
        <f>VLOOKUP($BW22,'HR|社保明细'!$C:K,9,0)</f>
        <v>188</v>
      </c>
      <c r="AL22" s="353">
        <f>VLOOKUP($BW22,'HR|社保明细'!$C:L,10,0)</f>
        <v>0</v>
      </c>
      <c r="AM22" s="349">
        <f t="shared" si="19"/>
        <v>971.3</v>
      </c>
      <c r="AN22" s="348"/>
      <c r="AO22" s="348"/>
      <c r="AP22" s="348"/>
      <c r="AQ22" s="348"/>
      <c r="AR22" s="348"/>
      <c r="AS22" s="348">
        <f t="shared" si="28"/>
        <v>2740</v>
      </c>
      <c r="AT22" s="354"/>
      <c r="AU22" s="355">
        <f>VLOOKUP(BW22,hr.个税累计数据!C:DS,121,0)</f>
        <v>22267.8</v>
      </c>
      <c r="AV22" s="348">
        <f>IF(AU22-5000*N22-VLOOKUP(A22,hr.个税累计数据!C:DT,122,0)-VLOOKUP(A22,hr.个税累计数据!C:DU,123,0)&gt;0,AU22-5000*N22-VLOOKUP(A22,hr.个税累计数据!C:DT,122,0)-VLOOKUP(A22,hr.个税累计数据!C:DU,123,0),0)</f>
        <v>0</v>
      </c>
      <c r="AW22" s="348">
        <f>VLOOKUP(BW22,hr.个税累计数据!C:DV,124,0)</f>
        <v>0</v>
      </c>
      <c r="AX22" s="348"/>
      <c r="AY22" s="349">
        <f>IF(ROUND(MAX(AV22*{0.03,0.1,0.2,0.25,0.3,0.35,0.45}-{0,210,1410,2660,4410,7160,15160}*12)-AW22,2)&lt;=0,0,ROUND(MAX(AV22*{0.03,0.1,0.2,0.25,0.3,0.35,0.45}-{0,210,1410,2660,4410,7160,15160}*12)-AW22,2))</f>
        <v>0</v>
      </c>
      <c r="AZ22" s="348">
        <f t="shared" si="20"/>
        <v>0</v>
      </c>
      <c r="BA22" s="348"/>
      <c r="BB22" s="348">
        <f t="shared" si="21"/>
        <v>2740</v>
      </c>
      <c r="BC22" s="353"/>
      <c r="BD22" s="349">
        <f t="shared" si="22"/>
        <v>2740</v>
      </c>
      <c r="BE22" s="356">
        <f>VLOOKUP($BW22,'HR|社保明细'!C:T,11,0)</f>
        <v>1193.6</v>
      </c>
      <c r="BF22" s="348">
        <f>VLOOKUP($BW22,'HR|社保明细'!$C:U,12,0)</f>
        <v>596.8</v>
      </c>
      <c r="BG22" s="348">
        <f>VLOOKUP($BW22,'HR|社保明细'!$C:V,13,0)</f>
        <v>37.3</v>
      </c>
      <c r="BH22" s="348">
        <f>VLOOKUP($BW22,'HR|社保明细'!$C:W,14,0)</f>
        <v>23.87</v>
      </c>
      <c r="BI22" s="348">
        <f>VLOOKUP($BW22,'HR|社保明细'!$C:X,15,0)</f>
        <v>74.6</v>
      </c>
      <c r="BJ22" s="348">
        <f>VLOOKUP($BW22,'HR|社保明细'!$C:Y,16,0)</f>
        <v>188</v>
      </c>
      <c r="BK22" s="353">
        <f>VLOOKUP($BW22,'HR|社保明细'!$C:Z,17,0)</f>
        <v>0</v>
      </c>
      <c r="BL22" s="349">
        <f t="shared" si="23"/>
        <v>2114.17</v>
      </c>
      <c r="BM22" s="354"/>
      <c r="BN22" s="350"/>
      <c r="BO22" s="350"/>
      <c r="BP22" s="350"/>
      <c r="BQ22" s="350"/>
      <c r="BR22" s="349">
        <f t="shared" si="24"/>
        <v>0</v>
      </c>
      <c r="BS22" s="349">
        <f t="shared" si="25"/>
        <v>0</v>
      </c>
      <c r="BT22" s="357"/>
      <c r="BU22" s="357"/>
      <c r="BV22" s="358"/>
      <c r="BW22" s="359" t="str">
        <f t="shared" si="26"/>
        <v>开弈人力资源施宏宇</v>
      </c>
      <c r="BX22" s="360"/>
      <c r="BY22" s="360" t="s">
        <v>259</v>
      </c>
      <c r="BZ22" s="360"/>
      <c r="CA22" s="360" t="str">
        <f>VLOOKUP(A22,hr.个税累计数据!C:C,1,0)</f>
        <v>开弈人力资源施宏宇</v>
      </c>
      <c r="CB22" s="360" t="s">
        <v>291</v>
      </c>
      <c r="CC22" s="360"/>
      <c r="CD22" s="243" t="b">
        <f t="shared" si="27"/>
        <v>1</v>
      </c>
    </row>
    <row r="23" s="243" customFormat="1" ht="23" hidden="1" customHeight="1" spans="1:82">
      <c r="A23" s="343" t="str">
        <f t="shared" si="14"/>
        <v>开弈人力资源孙文丽</v>
      </c>
      <c r="B23" s="343" t="s">
        <v>37</v>
      </c>
      <c r="C23" s="343" t="s">
        <v>61</v>
      </c>
      <c r="D23" s="343" t="s">
        <v>252</v>
      </c>
      <c r="E23" s="344" t="s">
        <v>261</v>
      </c>
      <c r="F23" s="343" t="s">
        <v>262</v>
      </c>
      <c r="G23" s="343" t="s">
        <v>263</v>
      </c>
      <c r="H23" s="343" t="s">
        <v>292</v>
      </c>
      <c r="I23" s="343" t="s">
        <v>292</v>
      </c>
      <c r="J23" s="343" t="s">
        <v>265</v>
      </c>
      <c r="K23" s="345">
        <f t="shared" si="15"/>
        <v>5449.47</v>
      </c>
      <c r="L23" s="346">
        <f t="shared" si="16"/>
        <v>2740</v>
      </c>
      <c r="M23"/>
      <c r="N23" s="347">
        <v>6</v>
      </c>
      <c r="O23" s="348">
        <f>3457.55+15.54-7.77+50+23.94-15.96</f>
        <v>3523.3</v>
      </c>
      <c r="P23" s="348"/>
      <c r="Q23" s="348"/>
      <c r="R23" s="348"/>
      <c r="S23" s="348"/>
      <c r="T23" s="348"/>
      <c r="U23" s="349">
        <f t="shared" si="17"/>
        <v>3523.3</v>
      </c>
      <c r="V23" s="350"/>
      <c r="W23" s="350"/>
      <c r="X23" s="350"/>
      <c r="Y23" s="350"/>
      <c r="Z23" s="350"/>
      <c r="AA23" s="350"/>
      <c r="AB23" s="350"/>
      <c r="AC23" s="349">
        <f t="shared" si="18"/>
        <v>3523.3</v>
      </c>
      <c r="AD23" s="351"/>
      <c r="AE23" s="352">
        <v>202606</v>
      </c>
      <c r="AF23" s="348">
        <f>VLOOKUP(BW23,'HR|社保明细'!C:F,4,0)</f>
        <v>7460</v>
      </c>
      <c r="AG23" s="348">
        <f>VLOOKUP($BW23,'HR|社保明细'!$C:G,5,0)</f>
        <v>0</v>
      </c>
      <c r="AH23" s="348">
        <f>VLOOKUP($BW23,'HR|社保明细'!$C:H,6,0)</f>
        <v>596.8</v>
      </c>
      <c r="AI23" s="348">
        <f>VLOOKUP($BW23,'HR|社保明细'!$C:I,7,0)</f>
        <v>149.2</v>
      </c>
      <c r="AJ23" s="348">
        <f>VLOOKUP($BW23,'HR|社保明细'!$C:J,8,0)</f>
        <v>37.3</v>
      </c>
      <c r="AK23" s="348">
        <f>VLOOKUP($BW23,'HR|社保明细'!$C:K,9,0)</f>
        <v>0</v>
      </c>
      <c r="AL23" s="353">
        <f>VLOOKUP($BW23,'HR|社保明细'!$C:L,10,0)</f>
        <v>0</v>
      </c>
      <c r="AM23" s="349">
        <f t="shared" si="19"/>
        <v>783.3</v>
      </c>
      <c r="AN23" s="348"/>
      <c r="AO23" s="348"/>
      <c r="AP23" s="348"/>
      <c r="AQ23" s="348"/>
      <c r="AR23" s="348"/>
      <c r="AS23" s="348">
        <f t="shared" si="28"/>
        <v>2740</v>
      </c>
      <c r="AT23" s="354"/>
      <c r="AU23" s="355">
        <f>VLOOKUP(BW23,hr.个税累计数据!C:DS,121,0)</f>
        <v>21139.8</v>
      </c>
      <c r="AV23" s="348">
        <f>IF(AU23-5000*N23-VLOOKUP(A23,hr.个税累计数据!C:DT,122,0)-VLOOKUP(A23,hr.个税累计数据!C:DU,123,0)&gt;0,AU23-5000*N23-VLOOKUP(A23,hr.个税累计数据!C:DT,122,0)-VLOOKUP(A23,hr.个税累计数据!C:DU,123,0),0)</f>
        <v>0</v>
      </c>
      <c r="AW23" s="348">
        <f>VLOOKUP(BW23,hr.个税累计数据!C:DV,124,0)</f>
        <v>0</v>
      </c>
      <c r="AX23" s="348"/>
      <c r="AY23" s="349">
        <f>IF(ROUND(MAX(AV23*{0.03,0.1,0.2,0.25,0.3,0.35,0.45}-{0,210,1410,2660,4410,7160,15160}*12)-AW23,2)&lt;=0,0,ROUND(MAX(AV23*{0.03,0.1,0.2,0.25,0.3,0.35,0.45}-{0,210,1410,2660,4410,7160,15160}*12)-AW23,2))</f>
        <v>0</v>
      </c>
      <c r="AZ23" s="348">
        <f t="shared" si="20"/>
        <v>0</v>
      </c>
      <c r="BA23" s="348"/>
      <c r="BB23" s="348">
        <f t="shared" si="21"/>
        <v>2740</v>
      </c>
      <c r="BC23" s="353"/>
      <c r="BD23" s="349">
        <f t="shared" si="22"/>
        <v>2740</v>
      </c>
      <c r="BE23" s="356">
        <f>VLOOKUP($BW23,'HR|社保明细'!C:T,11,0)</f>
        <v>1193.6</v>
      </c>
      <c r="BF23" s="348">
        <f>VLOOKUP($BW23,'HR|社保明细'!$C:U,12,0)</f>
        <v>596.8</v>
      </c>
      <c r="BG23" s="348">
        <f>VLOOKUP($BW23,'HR|社保明细'!$C:V,13,0)</f>
        <v>37.3</v>
      </c>
      <c r="BH23" s="348">
        <f>VLOOKUP($BW23,'HR|社保明细'!$C:W,14,0)</f>
        <v>23.87</v>
      </c>
      <c r="BI23" s="348">
        <f>VLOOKUP($BW23,'HR|社保明细'!$C:X,15,0)</f>
        <v>74.6</v>
      </c>
      <c r="BJ23" s="348">
        <f>VLOOKUP($BW23,'HR|社保明细'!$C:Y,16,0)</f>
        <v>0</v>
      </c>
      <c r="BK23" s="353">
        <f>VLOOKUP($BW23,'HR|社保明细'!$C:Z,17,0)</f>
        <v>0</v>
      </c>
      <c r="BL23" s="349">
        <f t="shared" si="23"/>
        <v>1926.17</v>
      </c>
      <c r="BM23" s="354"/>
      <c r="BN23" s="350"/>
      <c r="BO23" s="350"/>
      <c r="BP23" s="350"/>
      <c r="BQ23" s="350"/>
      <c r="BR23" s="349">
        <f t="shared" si="24"/>
        <v>0</v>
      </c>
      <c r="BS23" s="349">
        <f t="shared" si="25"/>
        <v>0</v>
      </c>
      <c r="BT23" s="357"/>
      <c r="BU23" s="357"/>
      <c r="BV23" s="358"/>
      <c r="BW23" s="359" t="str">
        <f t="shared" si="26"/>
        <v>开弈人力资源孙文丽</v>
      </c>
      <c r="BX23" s="360"/>
      <c r="BY23" s="360" t="s">
        <v>259</v>
      </c>
      <c r="BZ23" s="360"/>
      <c r="CA23" s="360" t="str">
        <f>VLOOKUP(A23,hr.个税累计数据!C:C,1,0)</f>
        <v>开弈人力资源孙文丽</v>
      </c>
      <c r="CB23" s="360" t="s">
        <v>293</v>
      </c>
      <c r="CC23" s="360"/>
      <c r="CD23" s="243" t="b">
        <f t="shared" si="27"/>
        <v>1</v>
      </c>
    </row>
    <row r="24" s="243" customFormat="1" ht="23" hidden="1" customHeight="1" spans="1:82">
      <c r="A24" s="343" t="str">
        <f t="shared" si="14"/>
        <v>开弈人才谢宁</v>
      </c>
      <c r="B24" s="343" t="s">
        <v>37</v>
      </c>
      <c r="C24" s="343" t="s">
        <v>60</v>
      </c>
      <c r="D24" s="343" t="s">
        <v>252</v>
      </c>
      <c r="E24" s="344" t="s">
        <v>261</v>
      </c>
      <c r="F24" s="343" t="s">
        <v>262</v>
      </c>
      <c r="G24" s="343" t="s">
        <v>263</v>
      </c>
      <c r="H24" s="343" t="s">
        <v>294</v>
      </c>
      <c r="I24" s="343" t="s">
        <v>294</v>
      </c>
      <c r="J24" s="343" t="s">
        <v>265</v>
      </c>
      <c r="K24" s="345">
        <f t="shared" si="15"/>
        <v>5449.47</v>
      </c>
      <c r="L24" s="346">
        <f t="shared" si="16"/>
        <v>2740</v>
      </c>
      <c r="M24"/>
      <c r="N24" s="347">
        <v>6</v>
      </c>
      <c r="O24" s="348">
        <f>3457.55+15.54-7.77+50+23.94-15.96</f>
        <v>3523.3</v>
      </c>
      <c r="P24" s="348"/>
      <c r="Q24" s="348"/>
      <c r="R24" s="348"/>
      <c r="S24" s="348"/>
      <c r="T24" s="348"/>
      <c r="U24" s="349">
        <f t="shared" si="17"/>
        <v>3523.3</v>
      </c>
      <c r="V24" s="350"/>
      <c r="W24" s="350"/>
      <c r="X24" s="350"/>
      <c r="Y24" s="350"/>
      <c r="Z24" s="350"/>
      <c r="AA24" s="350"/>
      <c r="AB24" s="350"/>
      <c r="AC24" s="349">
        <f t="shared" si="18"/>
        <v>3523.3</v>
      </c>
      <c r="AD24" s="351"/>
      <c r="AE24" s="352">
        <v>202606</v>
      </c>
      <c r="AF24" s="348">
        <f>VLOOKUP(BW24,'HR|社保明细'!C:F,4,0)</f>
        <v>7460</v>
      </c>
      <c r="AG24" s="348">
        <f>VLOOKUP($BW24,'HR|社保明细'!$C:G,5,0)</f>
        <v>0</v>
      </c>
      <c r="AH24" s="348">
        <f>VLOOKUP($BW24,'HR|社保明细'!$C:H,6,0)</f>
        <v>596.8</v>
      </c>
      <c r="AI24" s="348">
        <f>VLOOKUP($BW24,'HR|社保明细'!$C:I,7,0)</f>
        <v>149.2</v>
      </c>
      <c r="AJ24" s="348">
        <f>VLOOKUP($BW24,'HR|社保明细'!$C:J,8,0)</f>
        <v>37.3</v>
      </c>
      <c r="AK24" s="348">
        <f>VLOOKUP($BW24,'HR|社保明细'!$C:K,9,0)</f>
        <v>0</v>
      </c>
      <c r="AL24" s="353">
        <f>VLOOKUP($BW24,'HR|社保明细'!$C:L,10,0)</f>
        <v>0</v>
      </c>
      <c r="AM24" s="349">
        <f t="shared" si="19"/>
        <v>783.3</v>
      </c>
      <c r="AN24" s="348"/>
      <c r="AO24" s="348"/>
      <c r="AP24" s="348"/>
      <c r="AQ24" s="348"/>
      <c r="AR24" s="348"/>
      <c r="AS24" s="348">
        <f t="shared" si="28"/>
        <v>2740</v>
      </c>
      <c r="AT24" s="354"/>
      <c r="AU24" s="355">
        <f>VLOOKUP(BW24,hr.个税累计数据!C:DS,121,0)</f>
        <v>21139.8</v>
      </c>
      <c r="AV24" s="348">
        <f>IF(AU24-5000*N24-VLOOKUP(A24,hr.个税累计数据!C:DT,122,0)-VLOOKUP(A24,hr.个税累计数据!C:DU,123,0)&gt;0,AU24-5000*N24-VLOOKUP(A24,hr.个税累计数据!C:DT,122,0)-VLOOKUP(A24,hr.个税累计数据!C:DU,123,0),0)</f>
        <v>0</v>
      </c>
      <c r="AW24" s="348">
        <f>VLOOKUP(BW24,hr.个税累计数据!C:DV,124,0)</f>
        <v>0</v>
      </c>
      <c r="AX24" s="348"/>
      <c r="AY24" s="349">
        <f>IF(ROUND(MAX(AV24*{0.03,0.1,0.2,0.25,0.3,0.35,0.45}-{0,210,1410,2660,4410,7160,15160}*12)-AW24,2)&lt;=0,0,ROUND(MAX(AV24*{0.03,0.1,0.2,0.25,0.3,0.35,0.45}-{0,210,1410,2660,4410,7160,15160}*12)-AW24,2))</f>
        <v>0</v>
      </c>
      <c r="AZ24" s="348">
        <f t="shared" si="20"/>
        <v>0</v>
      </c>
      <c r="BA24" s="348"/>
      <c r="BB24" s="348">
        <f t="shared" si="21"/>
        <v>2740</v>
      </c>
      <c r="BC24" s="353"/>
      <c r="BD24" s="349">
        <f t="shared" si="22"/>
        <v>2740</v>
      </c>
      <c r="BE24" s="356">
        <f>VLOOKUP($BW24,'HR|社保明细'!C:T,11,0)</f>
        <v>1193.6</v>
      </c>
      <c r="BF24" s="348">
        <f>VLOOKUP($BW24,'HR|社保明细'!$C:U,12,0)</f>
        <v>596.8</v>
      </c>
      <c r="BG24" s="348">
        <f>VLOOKUP($BW24,'HR|社保明细'!$C:V,13,0)</f>
        <v>37.3</v>
      </c>
      <c r="BH24" s="348">
        <f>VLOOKUP($BW24,'HR|社保明细'!$C:W,14,0)</f>
        <v>23.87</v>
      </c>
      <c r="BI24" s="348">
        <f>VLOOKUP($BW24,'HR|社保明细'!$C:X,15,0)</f>
        <v>74.6</v>
      </c>
      <c r="BJ24" s="348">
        <f>VLOOKUP($BW24,'HR|社保明细'!$C:Y,16,0)</f>
        <v>0</v>
      </c>
      <c r="BK24" s="353">
        <f>VLOOKUP($BW24,'HR|社保明细'!$C:Z,17,0)</f>
        <v>0</v>
      </c>
      <c r="BL24" s="349">
        <f t="shared" si="23"/>
        <v>1926.17</v>
      </c>
      <c r="BM24" s="354"/>
      <c r="BN24" s="350"/>
      <c r="BO24" s="350"/>
      <c r="BP24" s="350"/>
      <c r="BQ24" s="350"/>
      <c r="BR24" s="349">
        <f t="shared" si="24"/>
        <v>0</v>
      </c>
      <c r="BS24" s="349">
        <f t="shared" si="25"/>
        <v>0</v>
      </c>
      <c r="BT24" s="357"/>
      <c r="BU24" s="357"/>
      <c r="BV24" s="358"/>
      <c r="BW24" s="359" t="str">
        <f t="shared" si="26"/>
        <v>开弈人才谢宁</v>
      </c>
      <c r="BX24" s="360"/>
      <c r="BY24" s="360" t="s">
        <v>273</v>
      </c>
      <c r="BZ24" s="360"/>
      <c r="CA24" s="360" t="str">
        <f>VLOOKUP(A24,hr.个税累计数据!C:C,1,0)</f>
        <v>开弈人才谢宁</v>
      </c>
      <c r="CB24" s="360" t="s">
        <v>295</v>
      </c>
      <c r="CC24" s="360"/>
      <c r="CD24" s="243" t="b">
        <f t="shared" si="27"/>
        <v>1</v>
      </c>
    </row>
    <row r="25" s="243" customFormat="1" ht="23" hidden="1" customHeight="1" spans="1:82">
      <c r="A25" s="343" t="str">
        <f t="shared" si="14"/>
        <v>开弈人才徐峰</v>
      </c>
      <c r="B25" s="343" t="s">
        <v>36</v>
      </c>
      <c r="C25" s="343" t="s">
        <v>60</v>
      </c>
      <c r="D25" s="343" t="s">
        <v>252</v>
      </c>
      <c r="E25" s="344" t="s">
        <v>296</v>
      </c>
      <c r="F25" s="343" t="s">
        <v>121</v>
      </c>
      <c r="G25" s="343" t="s">
        <v>297</v>
      </c>
      <c r="H25" s="343" t="s">
        <v>298</v>
      </c>
      <c r="I25" s="343" t="s">
        <v>298</v>
      </c>
      <c r="J25" s="343" t="s">
        <v>271</v>
      </c>
      <c r="K25" s="345">
        <f t="shared" si="15"/>
        <v>4519.83</v>
      </c>
      <c r="L25" s="346">
        <f t="shared" si="16"/>
        <v>0</v>
      </c>
      <c r="M25"/>
      <c r="N25" s="347">
        <v>6</v>
      </c>
      <c r="O25" s="348">
        <f>1425.55+29.54-14.77+23.94-15.96</f>
        <v>1448.3</v>
      </c>
      <c r="P25" s="348"/>
      <c r="Q25" s="348">
        <f>VLOOKUP(I25,考勤调整记录!I:W,15,0)</f>
        <v>0</v>
      </c>
      <c r="R25" s="348"/>
      <c r="S25" s="348">
        <v>480.36</v>
      </c>
      <c r="T25" s="348"/>
      <c r="U25" s="349">
        <f t="shared" si="17"/>
        <v>1928.66</v>
      </c>
      <c r="V25" s="350"/>
      <c r="W25" s="350"/>
      <c r="X25" s="350"/>
      <c r="Y25" s="350"/>
      <c r="Z25" s="350"/>
      <c r="AA25" s="350"/>
      <c r="AB25" s="350"/>
      <c r="AC25" s="349">
        <f t="shared" si="18"/>
        <v>1928.66</v>
      </c>
      <c r="AD25" s="351"/>
      <c r="AE25" s="352">
        <v>202606</v>
      </c>
      <c r="AF25" s="348">
        <f>VLOOKUP(BW25,'HR|社保明细'!C:F,4,0)</f>
        <v>7460</v>
      </c>
      <c r="AG25" s="348">
        <f>VLOOKUP($BW25,'HR|社保明细'!$C:G,5,0)</f>
        <v>7384</v>
      </c>
      <c r="AH25" s="348">
        <f>VLOOKUP($BW25,'HR|社保明细'!$C:H,6,0)</f>
        <v>596.8</v>
      </c>
      <c r="AI25" s="348">
        <f>VLOOKUP($BW25,'HR|社保明细'!$C:I,7,0)</f>
        <v>149.2</v>
      </c>
      <c r="AJ25" s="348">
        <f>VLOOKUP($BW25,'HR|社保明细'!$C:J,8,0)</f>
        <v>37.3</v>
      </c>
      <c r="AK25" s="348">
        <f>VLOOKUP($BW25,'HR|社保明细'!$C:K,9,0)</f>
        <v>517</v>
      </c>
      <c r="AL25" s="353">
        <f>VLOOKUP($BW25,'HR|社保明细'!$C:L,10,0)</f>
        <v>148</v>
      </c>
      <c r="AM25" s="349">
        <f t="shared" si="19"/>
        <v>1448.3</v>
      </c>
      <c r="AN25" s="348"/>
      <c r="AO25" s="348"/>
      <c r="AP25" s="348"/>
      <c r="AQ25" s="348">
        <v>3000</v>
      </c>
      <c r="AR25" s="348"/>
      <c r="AS25" s="348">
        <f t="shared" si="28"/>
        <v>-2519.64</v>
      </c>
      <c r="AT25" s="354"/>
      <c r="AU25" s="355">
        <f>VLOOKUP(BW25,hr.个税累计数据!C:DS,121,0)</f>
        <v>11336.52</v>
      </c>
      <c r="AV25" s="348">
        <f>IF(AU25-5000*N25-VLOOKUP(A25,hr.个税累计数据!C:DT,122,0)-VLOOKUP(A25,hr.个税累计数据!C:DU,123,0)&gt;0,AU25-5000*N25-VLOOKUP(A25,hr.个税累计数据!C:DT,122,0)-VLOOKUP(A25,hr.个税累计数据!C:DU,123,0),0)</f>
        <v>0</v>
      </c>
      <c r="AW25" s="348">
        <f>VLOOKUP(BW25,hr.个税累计数据!C:DV,124,0)</f>
        <v>0</v>
      </c>
      <c r="AX25" s="348"/>
      <c r="AY25" s="349">
        <f>IF(ROUND(MAX(AV25*{0.03,0.1,0.2,0.25,0.3,0.35,0.45}-{0,210,1410,2660,4410,7160,15160}*12)-AW25,2)&lt;=0,0,ROUND(MAX(AV25*{0.03,0.1,0.2,0.25,0.3,0.35,0.45}-{0,210,1410,2660,4410,7160,15160}*12)-AW25,2))</f>
        <v>0</v>
      </c>
      <c r="AZ25" s="348">
        <f t="shared" si="20"/>
        <v>-480.36</v>
      </c>
      <c r="BA25" s="348"/>
      <c r="BB25" s="348">
        <f t="shared" si="21"/>
        <v>0</v>
      </c>
      <c r="BC25" s="353"/>
      <c r="BD25" s="349">
        <f t="shared" si="22"/>
        <v>0</v>
      </c>
      <c r="BE25" s="356">
        <f>VLOOKUP($BW25,'HR|社保明细'!C:T,11,0)</f>
        <v>1193.6</v>
      </c>
      <c r="BF25" s="348">
        <f>VLOOKUP($BW25,'HR|社保明细'!$C:U,12,0)</f>
        <v>596.8</v>
      </c>
      <c r="BG25" s="348">
        <f>VLOOKUP($BW25,'HR|社保明细'!$C:V,13,0)</f>
        <v>37.3</v>
      </c>
      <c r="BH25" s="348">
        <f>VLOOKUP($BW25,'HR|社保明细'!$C:W,14,0)</f>
        <v>23.87</v>
      </c>
      <c r="BI25" s="348">
        <f>VLOOKUP($BW25,'HR|社保明细'!$C:X,15,0)</f>
        <v>74.6</v>
      </c>
      <c r="BJ25" s="348">
        <f>VLOOKUP($BW25,'HR|社保明细'!$C:Y,16,0)</f>
        <v>517</v>
      </c>
      <c r="BK25" s="353">
        <f>VLOOKUP($BW25,'HR|社保明细'!$C:Z,17,0)</f>
        <v>148</v>
      </c>
      <c r="BL25" s="349">
        <f t="shared" si="23"/>
        <v>2591.17</v>
      </c>
      <c r="BM25" s="354"/>
      <c r="BN25" s="350"/>
      <c r="BO25" s="350"/>
      <c r="BP25" s="350"/>
      <c r="BQ25" s="350"/>
      <c r="BR25" s="349">
        <f t="shared" si="24"/>
        <v>0</v>
      </c>
      <c r="BS25" s="349">
        <f t="shared" si="25"/>
        <v>0</v>
      </c>
      <c r="BT25" s="357"/>
      <c r="BU25" s="357"/>
      <c r="BV25" s="358"/>
      <c r="BW25" s="359" t="str">
        <f t="shared" si="26"/>
        <v>开弈人才徐峰</v>
      </c>
      <c r="BX25" s="360"/>
      <c r="BY25" s="360" t="s">
        <v>273</v>
      </c>
      <c r="BZ25" s="360"/>
      <c r="CA25" s="360" t="str">
        <f>VLOOKUP(A25,hr.个税累计数据!C:C,1,0)</f>
        <v>开弈人才徐峰</v>
      </c>
      <c r="CB25" s="360" t="s">
        <v>299</v>
      </c>
      <c r="CC25" s="360" t="s">
        <v>273</v>
      </c>
      <c r="CD25" s="243" t="b">
        <f t="shared" si="27"/>
        <v>1</v>
      </c>
    </row>
    <row r="26" s="243" customFormat="1" ht="23" hidden="1" customHeight="1" spans="1:82">
      <c r="A26" s="343" t="str">
        <f t="shared" si="14"/>
        <v>开弈人力资源樊涛</v>
      </c>
      <c r="B26" s="343" t="s">
        <v>37</v>
      </c>
      <c r="C26" s="343" t="s">
        <v>61</v>
      </c>
      <c r="D26" s="343" t="s">
        <v>252</v>
      </c>
      <c r="E26" s="344" t="s">
        <v>261</v>
      </c>
      <c r="F26" s="343" t="s">
        <v>262</v>
      </c>
      <c r="G26" s="343" t="s">
        <v>263</v>
      </c>
      <c r="H26" s="343" t="s">
        <v>300</v>
      </c>
      <c r="I26" s="343" t="s">
        <v>300</v>
      </c>
      <c r="J26" s="343" t="s">
        <v>265</v>
      </c>
      <c r="K26" s="345">
        <f t="shared" si="15"/>
        <v>5449.47</v>
      </c>
      <c r="L26" s="346">
        <f t="shared" si="16"/>
        <v>2740</v>
      </c>
      <c r="M26"/>
      <c r="N26" s="347">
        <v>6</v>
      </c>
      <c r="O26" s="348">
        <f>3457.55+15.54-7.77+50+23.94-15.96</f>
        <v>3523.3</v>
      </c>
      <c r="P26" s="348"/>
      <c r="Q26" s="348"/>
      <c r="R26" s="348"/>
      <c r="S26" s="348"/>
      <c r="T26" s="348"/>
      <c r="U26" s="349">
        <f t="shared" si="17"/>
        <v>3523.3</v>
      </c>
      <c r="V26" s="350"/>
      <c r="W26" s="350"/>
      <c r="X26" s="350"/>
      <c r="Y26" s="350"/>
      <c r="Z26" s="350"/>
      <c r="AA26" s="350"/>
      <c r="AB26" s="350"/>
      <c r="AC26" s="349">
        <f t="shared" si="18"/>
        <v>3523.3</v>
      </c>
      <c r="AD26" s="351"/>
      <c r="AE26" s="352">
        <v>202606</v>
      </c>
      <c r="AF26" s="348">
        <f>VLOOKUP(BW26,'HR|社保明细'!C:F,4,0)</f>
        <v>7460</v>
      </c>
      <c r="AG26" s="348">
        <f>VLOOKUP($BW26,'HR|社保明细'!$C:G,5,0)</f>
        <v>0</v>
      </c>
      <c r="AH26" s="348">
        <f>VLOOKUP($BW26,'HR|社保明细'!$C:H,6,0)</f>
        <v>596.8</v>
      </c>
      <c r="AI26" s="348">
        <f>VLOOKUP($BW26,'HR|社保明细'!$C:I,7,0)</f>
        <v>149.2</v>
      </c>
      <c r="AJ26" s="348">
        <f>VLOOKUP($BW26,'HR|社保明细'!$C:J,8,0)</f>
        <v>37.3</v>
      </c>
      <c r="AK26" s="348">
        <f>VLOOKUP($BW26,'HR|社保明细'!$C:K,9,0)</f>
        <v>0</v>
      </c>
      <c r="AL26" s="353">
        <f>VLOOKUP($BW26,'HR|社保明细'!$C:L,10,0)</f>
        <v>0</v>
      </c>
      <c r="AM26" s="349">
        <f t="shared" si="19"/>
        <v>783.3</v>
      </c>
      <c r="AN26" s="348"/>
      <c r="AO26" s="348"/>
      <c r="AP26" s="348"/>
      <c r="AQ26" s="348"/>
      <c r="AR26" s="348"/>
      <c r="AS26" s="348">
        <f t="shared" si="28"/>
        <v>2740</v>
      </c>
      <c r="AT26" s="354"/>
      <c r="AU26" s="355">
        <f>VLOOKUP(BW26,hr.个税累计数据!C:DS,121,0)</f>
        <v>21139.8</v>
      </c>
      <c r="AV26" s="348">
        <f>IF(AU26-5000*N26-VLOOKUP(A26,hr.个税累计数据!C:DT,122,0)-VLOOKUP(A26,hr.个税累计数据!C:DU,123,0)&gt;0,AU26-5000*N26-VLOOKUP(A26,hr.个税累计数据!C:DT,122,0)-VLOOKUP(A26,hr.个税累计数据!C:DU,123,0),0)</f>
        <v>0</v>
      </c>
      <c r="AW26" s="348">
        <f>VLOOKUP(BW26,hr.个税累计数据!C:DV,124,0)</f>
        <v>0</v>
      </c>
      <c r="AX26" s="348"/>
      <c r="AY26" s="349">
        <f>IF(ROUND(MAX(AV26*{0.03,0.1,0.2,0.25,0.3,0.35,0.45}-{0,210,1410,2660,4410,7160,15160}*12)-AW26,2)&lt;=0,0,ROUND(MAX(AV26*{0.03,0.1,0.2,0.25,0.3,0.35,0.45}-{0,210,1410,2660,4410,7160,15160}*12)-AW26,2))</f>
        <v>0</v>
      </c>
      <c r="AZ26" s="348">
        <f t="shared" si="20"/>
        <v>0</v>
      </c>
      <c r="BA26" s="348"/>
      <c r="BB26" s="348">
        <f t="shared" si="21"/>
        <v>2740</v>
      </c>
      <c r="BC26" s="353"/>
      <c r="BD26" s="349">
        <f t="shared" si="22"/>
        <v>2740</v>
      </c>
      <c r="BE26" s="356">
        <f>VLOOKUP($BW26,'HR|社保明细'!C:T,11,0)</f>
        <v>1193.6</v>
      </c>
      <c r="BF26" s="348">
        <f>VLOOKUP($BW26,'HR|社保明细'!$C:U,12,0)</f>
        <v>596.8</v>
      </c>
      <c r="BG26" s="348">
        <f>VLOOKUP($BW26,'HR|社保明细'!$C:V,13,0)</f>
        <v>37.3</v>
      </c>
      <c r="BH26" s="348">
        <f>VLOOKUP($BW26,'HR|社保明细'!$C:W,14,0)</f>
        <v>23.87</v>
      </c>
      <c r="BI26" s="348">
        <f>VLOOKUP($BW26,'HR|社保明细'!$C:X,15,0)</f>
        <v>74.6</v>
      </c>
      <c r="BJ26" s="348">
        <f>VLOOKUP($BW26,'HR|社保明细'!$C:Y,16,0)</f>
        <v>0</v>
      </c>
      <c r="BK26" s="353">
        <f>VLOOKUP($BW26,'HR|社保明细'!$C:Z,17,0)</f>
        <v>0</v>
      </c>
      <c r="BL26" s="349">
        <f t="shared" si="23"/>
        <v>1926.17</v>
      </c>
      <c r="BM26" s="354"/>
      <c r="BN26" s="350"/>
      <c r="BO26" s="350"/>
      <c r="BP26" s="350"/>
      <c r="BQ26" s="350"/>
      <c r="BR26" s="349">
        <f t="shared" si="24"/>
        <v>0</v>
      </c>
      <c r="BS26" s="349">
        <f t="shared" si="25"/>
        <v>0</v>
      </c>
      <c r="BT26" s="357"/>
      <c r="BU26" s="357"/>
      <c r="BV26" s="358"/>
      <c r="BW26" s="359" t="str">
        <f t="shared" si="26"/>
        <v>开弈人力资源樊涛</v>
      </c>
      <c r="BX26" s="360"/>
      <c r="BY26" s="360" t="s">
        <v>259</v>
      </c>
      <c r="BZ26" s="360"/>
      <c r="CA26" s="360" t="str">
        <f>VLOOKUP(A26,hr.个税累计数据!C:C,1,0)</f>
        <v>开弈人力资源樊涛</v>
      </c>
      <c r="CB26" s="360" t="s">
        <v>301</v>
      </c>
      <c r="CC26" s="360"/>
      <c r="CD26" s="243" t="b">
        <f t="shared" si="27"/>
        <v>1</v>
      </c>
    </row>
    <row r="27" s="243" customFormat="1" ht="23" hidden="1" customHeight="1" spans="1:82">
      <c r="A27" s="343" t="str">
        <f t="shared" si="14"/>
        <v>开弈人力资源葛豪平</v>
      </c>
      <c r="B27" s="343" t="s">
        <v>35</v>
      </c>
      <c r="C27" s="343" t="s">
        <v>61</v>
      </c>
      <c r="D27" s="343" t="s">
        <v>252</v>
      </c>
      <c r="E27" s="344" t="s">
        <v>302</v>
      </c>
      <c r="F27" s="343" t="s">
        <v>121</v>
      </c>
      <c r="G27" s="343" t="s">
        <v>303</v>
      </c>
      <c r="H27" s="343" t="s">
        <v>262</v>
      </c>
      <c r="I27" s="343" t="s">
        <v>262</v>
      </c>
      <c r="J27" s="343" t="s">
        <v>257</v>
      </c>
      <c r="K27" s="345">
        <f t="shared" si="15"/>
        <v>19228.4</v>
      </c>
      <c r="L27" s="346">
        <f t="shared" si="16"/>
        <v>12109.36</v>
      </c>
      <c r="M27"/>
      <c r="N27" s="347">
        <v>6</v>
      </c>
      <c r="O27" s="348">
        <v>15000</v>
      </c>
      <c r="P27" s="348">
        <v>179</v>
      </c>
      <c r="Q27" s="348">
        <f>VLOOKUP(I27,考勤调整记录!I:W,15,0)</f>
        <v>0</v>
      </c>
      <c r="R27" s="348"/>
      <c r="S27" s="348">
        <v>267.4</v>
      </c>
      <c r="T27" s="348"/>
      <c r="U27" s="349">
        <f t="shared" si="17"/>
        <v>15446.4</v>
      </c>
      <c r="V27" s="350"/>
      <c r="W27" s="350"/>
      <c r="X27" s="350"/>
      <c r="Y27" s="350"/>
      <c r="Z27" s="350"/>
      <c r="AA27" s="350"/>
      <c r="AB27" s="350"/>
      <c r="AC27" s="349">
        <f t="shared" si="18"/>
        <v>15446.4</v>
      </c>
      <c r="AD27" s="351"/>
      <c r="AE27" s="352">
        <v>202606</v>
      </c>
      <c r="AF27" s="348">
        <f>VLOOKUP(BW27,'HR|社保明细'!C:F,4,0)</f>
        <v>10000</v>
      </c>
      <c r="AG27" s="348">
        <f>VLOOKUP($BW27,'HR|社保明细'!$C:G,5,0)</f>
        <v>10000</v>
      </c>
      <c r="AH27" s="348">
        <f>VLOOKUP($BW27,'HR|社保明细'!$C:H,6,0)</f>
        <v>800</v>
      </c>
      <c r="AI27" s="348">
        <f>VLOOKUP($BW27,'HR|社保明细'!$C:I,7,0)</f>
        <v>200</v>
      </c>
      <c r="AJ27" s="348">
        <f>VLOOKUP($BW27,'HR|社保明细'!$C:J,8,0)</f>
        <v>50</v>
      </c>
      <c r="AK27" s="348">
        <f>VLOOKUP($BW27,'HR|社保明细'!$C:K,9,0)</f>
        <v>700</v>
      </c>
      <c r="AL27" s="353">
        <f>VLOOKUP($BW27,'HR|社保明细'!$C:L,10,0)</f>
        <v>500</v>
      </c>
      <c r="AM27" s="349">
        <f t="shared" si="19"/>
        <v>2250</v>
      </c>
      <c r="AN27" s="348"/>
      <c r="AO27" s="348"/>
      <c r="AP27" s="348"/>
      <c r="AQ27" s="348"/>
      <c r="AR27" s="348"/>
      <c r="AS27" s="348">
        <f t="shared" si="28"/>
        <v>13196.4</v>
      </c>
      <c r="AT27" s="354"/>
      <c r="AU27" s="355">
        <f>VLOOKUP(BW27,hr.个税累计数据!C:DS,121,0)</f>
        <v>106148.35</v>
      </c>
      <c r="AV27" s="348">
        <f>IF(AU27-5000*N27-VLOOKUP(A27,hr.个税累计数据!C:DT,122,0)-VLOOKUP(A27,hr.个税累计数据!C:DU,123,0)&gt;0,AU27-5000*N27-VLOOKUP(A27,hr.个税累计数据!C:DT,122,0)-VLOOKUP(A27,hr.个税累计数据!C:DU,123,0),0)</f>
        <v>62648.35</v>
      </c>
      <c r="AW27" s="348">
        <f>VLOOKUP(BW27,hr.个税累计数据!C:DV,124,0)</f>
        <v>2925.2</v>
      </c>
      <c r="AX27" s="348"/>
      <c r="AY27" s="349">
        <f>IF(ROUND(MAX(AV27*{0.03,0.1,0.2,0.25,0.3,0.35,0.45}-{0,210,1410,2660,4410,7160,15160}*12)-AW27,2)&lt;=0,0,ROUND(MAX(AV27*{0.03,0.1,0.2,0.25,0.3,0.35,0.45}-{0,210,1410,2660,4410,7160,15160}*12)-AW27,2))</f>
        <v>819.64</v>
      </c>
      <c r="AZ27" s="348">
        <f t="shared" si="20"/>
        <v>-267.4</v>
      </c>
      <c r="BA27" s="348"/>
      <c r="BB27" s="348">
        <f t="shared" si="21"/>
        <v>12109.36</v>
      </c>
      <c r="BC27" s="353"/>
      <c r="BD27" s="349">
        <f t="shared" si="22"/>
        <v>12109.36</v>
      </c>
      <c r="BE27" s="356">
        <f>VLOOKUP($BW27,'HR|社保明细'!C:T,11,0)</f>
        <v>1600</v>
      </c>
      <c r="BF27" s="348">
        <f>VLOOKUP($BW27,'HR|社保明细'!$C:U,12,0)</f>
        <v>800</v>
      </c>
      <c r="BG27" s="348">
        <f>VLOOKUP($BW27,'HR|社保明细'!$C:V,13,0)</f>
        <v>50</v>
      </c>
      <c r="BH27" s="348">
        <f>VLOOKUP($BW27,'HR|社保明细'!$C:W,14,0)</f>
        <v>32</v>
      </c>
      <c r="BI27" s="348">
        <f>VLOOKUP($BW27,'HR|社保明细'!$C:X,15,0)</f>
        <v>100</v>
      </c>
      <c r="BJ27" s="348">
        <f>VLOOKUP($BW27,'HR|社保明细'!$C:Y,16,0)</f>
        <v>700</v>
      </c>
      <c r="BK27" s="353">
        <f>VLOOKUP($BW27,'HR|社保明细'!$C:Z,17,0)</f>
        <v>500</v>
      </c>
      <c r="BL27" s="349">
        <f t="shared" si="23"/>
        <v>3782</v>
      </c>
      <c r="BM27" s="354"/>
      <c r="BN27" s="350"/>
      <c r="BO27" s="350"/>
      <c r="BP27" s="350"/>
      <c r="BQ27" s="350"/>
      <c r="BR27" s="349">
        <f t="shared" si="24"/>
        <v>0</v>
      </c>
      <c r="BS27" s="349">
        <f t="shared" si="25"/>
        <v>0</v>
      </c>
      <c r="BT27" s="357">
        <v>1250</v>
      </c>
      <c r="BU27" s="357"/>
      <c r="BV27" s="358"/>
      <c r="BW27" s="359" t="str">
        <f t="shared" si="26"/>
        <v>开弈人力资源葛豪平</v>
      </c>
      <c r="BX27" s="360"/>
      <c r="BY27" s="360" t="s">
        <v>273</v>
      </c>
      <c r="BZ27" s="360" t="s">
        <v>274</v>
      </c>
      <c r="CA27" s="360" t="str">
        <f>VLOOKUP(A27,hr.个税累计数据!C:C,1,0)</f>
        <v>开弈人力资源葛豪平</v>
      </c>
      <c r="CB27" s="360" t="s">
        <v>304</v>
      </c>
      <c r="CC27" s="360" t="s">
        <v>273</v>
      </c>
      <c r="CD27" s="243" t="b">
        <f t="shared" si="27"/>
        <v>1</v>
      </c>
    </row>
    <row r="28" s="243" customFormat="1" ht="23" hidden="1" customHeight="1" spans="1:82">
      <c r="A28" s="343" t="str">
        <f t="shared" si="14"/>
        <v>开弈人力资源侯心怡</v>
      </c>
      <c r="B28" s="343" t="s">
        <v>33</v>
      </c>
      <c r="C28" s="343" t="s">
        <v>61</v>
      </c>
      <c r="D28" s="343" t="s">
        <v>252</v>
      </c>
      <c r="E28" s="344" t="s">
        <v>305</v>
      </c>
      <c r="F28" s="343" t="s">
        <v>306</v>
      </c>
      <c r="G28" s="343" t="s">
        <v>255</v>
      </c>
      <c r="H28" s="343" t="s">
        <v>307</v>
      </c>
      <c r="I28" s="343" t="s">
        <v>307</v>
      </c>
      <c r="J28" s="343" t="s">
        <v>257</v>
      </c>
      <c r="K28" s="345">
        <f t="shared" si="15"/>
        <v>12598.97</v>
      </c>
      <c r="L28" s="346">
        <f t="shared" si="16"/>
        <v>8584.03</v>
      </c>
      <c r="M28"/>
      <c r="N28" s="347">
        <v>6</v>
      </c>
      <c r="O28" s="348">
        <v>10000</v>
      </c>
      <c r="P28" s="348"/>
      <c r="Q28" s="348">
        <f>VLOOKUP(I28,考勤调整记录!I:W,15,0)</f>
        <v>0</v>
      </c>
      <c r="R28" s="348"/>
      <c r="S28" s="348">
        <v>155.8</v>
      </c>
      <c r="T28" s="348"/>
      <c r="U28" s="349">
        <f t="shared" si="17"/>
        <v>10155.8</v>
      </c>
      <c r="V28" s="350"/>
      <c r="W28" s="350"/>
      <c r="X28" s="350"/>
      <c r="Y28" s="350"/>
      <c r="Z28" s="350"/>
      <c r="AA28" s="350"/>
      <c r="AB28" s="350"/>
      <c r="AC28" s="349">
        <f t="shared" si="18"/>
        <v>10155.8</v>
      </c>
      <c r="AD28" s="351"/>
      <c r="AE28" s="352">
        <v>202606</v>
      </c>
      <c r="AF28" s="348">
        <f>VLOOKUP(BW28,'HR|社保明细'!C:F,4,0)</f>
        <v>7460</v>
      </c>
      <c r="AG28" s="348">
        <f>VLOOKUP($BW28,'HR|社保明细'!$C:G,5,0)</f>
        <v>7384</v>
      </c>
      <c r="AH28" s="348">
        <f>VLOOKUP($BW28,'HR|社保明细'!$C:H,6,0)</f>
        <v>596.8</v>
      </c>
      <c r="AI28" s="348">
        <f>VLOOKUP($BW28,'HR|社保明细'!$C:I,7,0)</f>
        <v>149.2</v>
      </c>
      <c r="AJ28" s="348">
        <f>VLOOKUP($BW28,'HR|社保明细'!$C:J,8,0)</f>
        <v>37.3</v>
      </c>
      <c r="AK28" s="348">
        <f>VLOOKUP($BW28,'HR|社保明细'!$C:K,9,0)</f>
        <v>517</v>
      </c>
      <c r="AL28" s="353">
        <f>VLOOKUP($BW28,'HR|社保明细'!$C:L,10,0)</f>
        <v>0</v>
      </c>
      <c r="AM28" s="349">
        <f t="shared" si="19"/>
        <v>1300.3</v>
      </c>
      <c r="AN28" s="348"/>
      <c r="AO28" s="348"/>
      <c r="AP28" s="348"/>
      <c r="AQ28" s="348"/>
      <c r="AR28" s="348"/>
      <c r="AS28" s="348">
        <f t="shared" si="28"/>
        <v>8855.5</v>
      </c>
      <c r="AT28" s="354"/>
      <c r="AU28" s="355">
        <f>VLOOKUP(BW28,hr.个税累计数据!C:DS,121,0)</f>
        <v>63319.98</v>
      </c>
      <c r="AV28" s="348">
        <f>IF(AU28-5000*N28-VLOOKUP(A28,hr.个税累计数据!C:DT,122,0)-VLOOKUP(A28,hr.个税累计数据!C:DU,123,0)&gt;0,AU28-5000*N28-VLOOKUP(A28,hr.个税累计数据!C:DT,122,0)-VLOOKUP(A28,hr.个税累计数据!C:DU,123,0),0)</f>
        <v>25518.18</v>
      </c>
      <c r="AW28" s="348">
        <f>VLOOKUP(BW28,hr.个税累计数据!C:DV,124,0)</f>
        <v>649.88</v>
      </c>
      <c r="AX28" s="348">
        <v>0</v>
      </c>
      <c r="AY28" s="349">
        <f>IF(ROUND(MAX(AV28*{0.03,0.1,0.2,0.25,0.3,0.35,0.45}-{0,210,1410,2660,4410,7160,15160}*12)-AW28,2)&lt;=0,0,ROUND(MAX(AV28*{0.03,0.1,0.2,0.25,0.3,0.35,0.45}-{0,210,1410,2660,4410,7160,15160}*12)-AW28,2))</f>
        <v>115.67</v>
      </c>
      <c r="AZ28" s="348">
        <f t="shared" si="20"/>
        <v>-155.8</v>
      </c>
      <c r="BA28" s="348"/>
      <c r="BB28" s="348">
        <f t="shared" si="21"/>
        <v>8584.03</v>
      </c>
      <c r="BC28" s="353"/>
      <c r="BD28" s="349">
        <f t="shared" si="22"/>
        <v>8584.03</v>
      </c>
      <c r="BE28" s="356">
        <f>VLOOKUP($BW28,'HR|社保明细'!C:T,11,0)</f>
        <v>1193.6</v>
      </c>
      <c r="BF28" s="348">
        <f>VLOOKUP($BW28,'HR|社保明细'!$C:U,12,0)</f>
        <v>596.8</v>
      </c>
      <c r="BG28" s="348">
        <f>VLOOKUP($BW28,'HR|社保明细'!$C:V,13,0)</f>
        <v>37.3</v>
      </c>
      <c r="BH28" s="348">
        <f>VLOOKUP($BW28,'HR|社保明细'!$C:W,14,0)</f>
        <v>23.87</v>
      </c>
      <c r="BI28" s="348">
        <f>VLOOKUP($BW28,'HR|社保明细'!$C:X,15,0)</f>
        <v>74.6</v>
      </c>
      <c r="BJ28" s="348">
        <f>VLOOKUP($BW28,'HR|社保明细'!$C:Y,16,0)</f>
        <v>517</v>
      </c>
      <c r="BK28" s="353">
        <f>VLOOKUP($BW28,'HR|社保明细'!$C:Z,17,0)</f>
        <v>0</v>
      </c>
      <c r="BL28" s="349">
        <f t="shared" si="23"/>
        <v>2443.17</v>
      </c>
      <c r="BM28" s="354"/>
      <c r="BN28" s="350"/>
      <c r="BO28" s="350"/>
      <c r="BP28" s="350"/>
      <c r="BQ28" s="350"/>
      <c r="BR28" s="349">
        <f t="shared" si="24"/>
        <v>0</v>
      </c>
      <c r="BS28" s="349">
        <f t="shared" si="25"/>
        <v>0</v>
      </c>
      <c r="BT28" s="357">
        <v>1250</v>
      </c>
      <c r="BU28" s="357"/>
      <c r="BV28" s="358"/>
      <c r="BW28" s="359" t="str">
        <f t="shared" si="26"/>
        <v>开弈人力资源侯心怡</v>
      </c>
      <c r="BX28" s="360"/>
      <c r="BY28" s="360" t="s">
        <v>273</v>
      </c>
      <c r="BZ28" s="360" t="s">
        <v>274</v>
      </c>
      <c r="CA28" s="360" t="str">
        <f>VLOOKUP(A28,hr.个税累计数据!C:C,1,0)</f>
        <v>开弈人力资源侯心怡</v>
      </c>
      <c r="CB28" s="360" t="s">
        <v>308</v>
      </c>
      <c r="CC28" s="360" t="s">
        <v>273</v>
      </c>
      <c r="CD28" s="243" t="b">
        <f t="shared" si="27"/>
        <v>1</v>
      </c>
    </row>
    <row r="29" s="243" customFormat="1" ht="23" hidden="1" customHeight="1" spans="1:82">
      <c r="A29" s="343" t="str">
        <f t="shared" si="14"/>
        <v>开弈人力资源黄一萧</v>
      </c>
      <c r="B29" s="343" t="s">
        <v>33</v>
      </c>
      <c r="C29" s="343" t="s">
        <v>61</v>
      </c>
      <c r="D29" s="343" t="s">
        <v>252</v>
      </c>
      <c r="E29" s="344" t="s">
        <v>305</v>
      </c>
      <c r="F29" s="343" t="s">
        <v>134</v>
      </c>
      <c r="G29" s="343" t="s">
        <v>309</v>
      </c>
      <c r="H29" s="343" t="s">
        <v>121</v>
      </c>
      <c r="I29" s="343" t="s">
        <v>121</v>
      </c>
      <c r="J29" s="343" t="s">
        <v>257</v>
      </c>
      <c r="K29" s="345">
        <f t="shared" si="15"/>
        <v>23272.68</v>
      </c>
      <c r="L29" s="346">
        <f t="shared" si="16"/>
        <v>13745.05</v>
      </c>
      <c r="M29"/>
      <c r="N29" s="347">
        <v>6</v>
      </c>
      <c r="O29" s="348">
        <v>17100</v>
      </c>
      <c r="P29" s="348">
        <v>359</v>
      </c>
      <c r="Q29" s="348">
        <f>VLOOKUP(I29,考勤调整记录!I:W,15,0)</f>
        <v>0</v>
      </c>
      <c r="R29" s="348"/>
      <c r="S29" s="348">
        <v>257.16</v>
      </c>
      <c r="T29" s="348">
        <v>5000</v>
      </c>
      <c r="U29" s="349">
        <f t="shared" si="17"/>
        <v>22716.16</v>
      </c>
      <c r="V29" s="350"/>
      <c r="W29" s="350">
        <v>-5116.48</v>
      </c>
      <c r="X29" s="350"/>
      <c r="Y29" s="350"/>
      <c r="Z29" s="350"/>
      <c r="AA29" s="350"/>
      <c r="AB29" s="350"/>
      <c r="AC29" s="349">
        <f t="shared" si="18"/>
        <v>17599.68</v>
      </c>
      <c r="AD29" s="351"/>
      <c r="AE29" s="352">
        <v>202606</v>
      </c>
      <c r="AF29" s="348">
        <f>VLOOKUP(BW29,'HR|社保明细'!C:F,4,0)</f>
        <v>15000</v>
      </c>
      <c r="AG29" s="348">
        <f>VLOOKUP($BW29,'HR|社保明细'!$C:G,5,0)</f>
        <v>15000</v>
      </c>
      <c r="AH29" s="348">
        <f>VLOOKUP($BW29,'HR|社保明细'!$C:H,6,0)</f>
        <v>1200</v>
      </c>
      <c r="AI29" s="348">
        <f>VLOOKUP($BW29,'HR|社保明细'!$C:I,7,0)</f>
        <v>300</v>
      </c>
      <c r="AJ29" s="348">
        <f>VLOOKUP($BW29,'HR|社保明细'!$C:J,8,0)</f>
        <v>75</v>
      </c>
      <c r="AK29" s="348">
        <f>VLOOKUP($BW29,'HR|社保明细'!$C:K,9,0)</f>
        <v>1050</v>
      </c>
      <c r="AL29" s="353">
        <f>VLOOKUP($BW29,'HR|社保明细'!$C:L,10,0)</f>
        <v>750</v>
      </c>
      <c r="AM29" s="349">
        <f t="shared" si="19"/>
        <v>3375</v>
      </c>
      <c r="AN29" s="348"/>
      <c r="AO29" s="348"/>
      <c r="AP29" s="348"/>
      <c r="AQ29" s="348">
        <v>3000</v>
      </c>
      <c r="AR29" s="348"/>
      <c r="AS29" s="348">
        <f t="shared" si="28"/>
        <v>11224.68</v>
      </c>
      <c r="AT29" s="354"/>
      <c r="AU29" s="355">
        <f>VLOOKUP(BW29,hr.个税累计数据!C:DS,121,0)</f>
        <v>174340.29</v>
      </c>
      <c r="AV29" s="348">
        <f>IF(AU29-5000*N29-VLOOKUP(A29,hr.个税累计数据!C:DT,122,0)-VLOOKUP(A29,hr.个税累计数据!C:DU,123,0)&gt;0,AU29-5000*N29-VLOOKUP(A29,hr.个税累计数据!C:DT,122,0)-VLOOKUP(A29,hr.个税累计数据!C:DU,123,0),0)</f>
        <v>82090.29</v>
      </c>
      <c r="AW29" s="348">
        <f>VLOOKUP(BW29,hr.个税累计数据!C:DV,124,0)</f>
        <v>5466.56</v>
      </c>
      <c r="AX29" s="348"/>
      <c r="AY29" s="349">
        <f>IF(ROUND(MAX(AV29*{0.03,0.1,0.2,0.25,0.3,0.35,0.45}-{0,210,1410,2660,4410,7160,15160}*12)-AW29,2)&lt;=0,0,ROUND(MAX(AV29*{0.03,0.1,0.2,0.25,0.3,0.35,0.45}-{0,210,1410,2660,4410,7160,15160}*12)-AW29,2))</f>
        <v>222.47</v>
      </c>
      <c r="AZ29" s="348">
        <f t="shared" si="20"/>
        <v>-257.16</v>
      </c>
      <c r="BA29" s="348"/>
      <c r="BB29" s="348">
        <f t="shared" si="21"/>
        <v>13745.05</v>
      </c>
      <c r="BC29" s="353"/>
      <c r="BD29" s="349">
        <f t="shared" si="22"/>
        <v>13745.05</v>
      </c>
      <c r="BE29" s="356">
        <f>VLOOKUP($BW29,'HR|社保明细'!C:T,11,0)</f>
        <v>2400</v>
      </c>
      <c r="BF29" s="348">
        <f>VLOOKUP($BW29,'HR|社保明细'!$C:U,12,0)</f>
        <v>1200</v>
      </c>
      <c r="BG29" s="348">
        <f>VLOOKUP($BW29,'HR|社保明细'!$C:V,13,0)</f>
        <v>75</v>
      </c>
      <c r="BH29" s="348">
        <f>VLOOKUP($BW29,'HR|社保明细'!$C:W,14,0)</f>
        <v>48</v>
      </c>
      <c r="BI29" s="348">
        <f>VLOOKUP($BW29,'HR|社保明细'!$C:X,15,0)</f>
        <v>150</v>
      </c>
      <c r="BJ29" s="348">
        <f>VLOOKUP($BW29,'HR|社保明细'!$C:Y,16,0)</f>
        <v>1050</v>
      </c>
      <c r="BK29" s="353">
        <f>VLOOKUP($BW29,'HR|社保明细'!$C:Z,17,0)</f>
        <v>750</v>
      </c>
      <c r="BL29" s="349">
        <f t="shared" si="23"/>
        <v>5673</v>
      </c>
      <c r="BM29" s="354"/>
      <c r="BN29" s="350"/>
      <c r="BO29" s="350"/>
      <c r="BP29" s="350"/>
      <c r="BQ29" s="350"/>
      <c r="BR29" s="349">
        <f t="shared" si="24"/>
        <v>0</v>
      </c>
      <c r="BS29" s="349">
        <f t="shared" si="25"/>
        <v>-5116.48</v>
      </c>
      <c r="BT29" s="357">
        <v>1250</v>
      </c>
      <c r="BU29" s="357"/>
      <c r="BV29" s="358"/>
      <c r="BW29" s="359" t="str">
        <f t="shared" si="26"/>
        <v>开弈人力资源黄一萧</v>
      </c>
      <c r="BX29" s="360"/>
      <c r="BY29" s="360" t="s">
        <v>273</v>
      </c>
      <c r="BZ29" s="360" t="s">
        <v>274</v>
      </c>
      <c r="CA29" s="360" t="str">
        <f>VLOOKUP(A29,hr.个税累计数据!C:C,1,0)</f>
        <v>开弈人力资源黄一萧</v>
      </c>
      <c r="CB29" s="360" t="s">
        <v>310</v>
      </c>
      <c r="CC29" s="360" t="s">
        <v>273</v>
      </c>
      <c r="CD29" s="243" t="b">
        <f t="shared" si="27"/>
        <v>1</v>
      </c>
    </row>
    <row r="30" s="243" customFormat="1" ht="23" hidden="1" customHeight="1" spans="1:82">
      <c r="A30" s="343" t="str">
        <f t="shared" si="14"/>
        <v>开弈人力资源肖宝仙</v>
      </c>
      <c r="B30" s="343" t="s">
        <v>33</v>
      </c>
      <c r="C30" s="343" t="s">
        <v>61</v>
      </c>
      <c r="D30" s="343" t="s">
        <v>252</v>
      </c>
      <c r="E30" s="344" t="s">
        <v>305</v>
      </c>
      <c r="F30" s="343" t="s">
        <v>121</v>
      </c>
      <c r="G30" s="343" t="s">
        <v>311</v>
      </c>
      <c r="H30" s="343" t="s">
        <v>121</v>
      </c>
      <c r="I30" s="343" t="s">
        <v>312</v>
      </c>
      <c r="J30" s="343" t="s">
        <v>271</v>
      </c>
      <c r="K30" s="345">
        <f t="shared" si="15"/>
        <v>10000</v>
      </c>
      <c r="L30" s="346">
        <f t="shared" si="16"/>
        <v>9850</v>
      </c>
      <c r="M30"/>
      <c r="N30" s="347">
        <v>6</v>
      </c>
      <c r="O30" s="348">
        <v>10000</v>
      </c>
      <c r="P30" s="348"/>
      <c r="Q30" s="348">
        <f>VLOOKUP(I30,考勤调整记录!I:W,15,0)</f>
        <v>0</v>
      </c>
      <c r="R30" s="348"/>
      <c r="S30" s="348"/>
      <c r="T30" s="348"/>
      <c r="U30" s="349">
        <f t="shared" si="17"/>
        <v>10000</v>
      </c>
      <c r="V30" s="350"/>
      <c r="W30" s="350"/>
      <c r="X30" s="350"/>
      <c r="Y30" s="350"/>
      <c r="Z30" s="350"/>
      <c r="AA30" s="350"/>
      <c r="AB30" s="350"/>
      <c r="AC30" s="349">
        <f t="shared" si="18"/>
        <v>10000</v>
      </c>
      <c r="AD30" s="351"/>
      <c r="AE30" s="352">
        <v>202606</v>
      </c>
      <c r="AF30" s="348">
        <f>VLOOKUP(BW30,'HR|社保明细'!C:F,4,0)</f>
        <v>0</v>
      </c>
      <c r="AG30" s="348">
        <f>VLOOKUP($BW30,'HR|社保明细'!$C:G,5,0)</f>
        <v>0</v>
      </c>
      <c r="AH30" s="348">
        <f>VLOOKUP($BW30,'HR|社保明细'!$C:H,6,0)</f>
        <v>0</v>
      </c>
      <c r="AI30" s="348">
        <f>VLOOKUP($BW30,'HR|社保明细'!$C:I,7,0)</f>
        <v>0</v>
      </c>
      <c r="AJ30" s="348">
        <f>VLOOKUP($BW30,'HR|社保明细'!$C:J,8,0)</f>
        <v>0</v>
      </c>
      <c r="AK30" s="348">
        <f>VLOOKUP($BW30,'HR|社保明细'!$C:K,9,0)</f>
        <v>0</v>
      </c>
      <c r="AL30" s="353">
        <f>VLOOKUP($BW30,'HR|社保明细'!$C:L,10,0)</f>
        <v>0</v>
      </c>
      <c r="AM30" s="349">
        <f t="shared" si="19"/>
        <v>0</v>
      </c>
      <c r="AN30" s="348"/>
      <c r="AO30" s="348"/>
      <c r="AP30" s="348"/>
      <c r="AQ30" s="348"/>
      <c r="AR30" s="348"/>
      <c r="AS30" s="348">
        <f t="shared" si="28"/>
        <v>10000</v>
      </c>
      <c r="AT30" s="354"/>
      <c r="AU30" s="355">
        <f>VLOOKUP(BW30,hr.个税累计数据!C:DS,121,0)</f>
        <v>58329</v>
      </c>
      <c r="AV30" s="348">
        <f>IF(AU30-5000*N30-VLOOKUP(A30,hr.个税累计数据!C:DT,122,0)-VLOOKUP(A30,hr.个税累计数据!C:DU,123,0)&gt;0,AU30-5000*N30-VLOOKUP(A30,hr.个税累计数据!C:DT,122,0)-VLOOKUP(A30,hr.个税累计数据!C:DU,123,0),0)</f>
        <v>28329</v>
      </c>
      <c r="AW30" s="348">
        <f>VLOOKUP(BW30,hr.个税累计数据!C:DV,124,0)</f>
        <v>699.87</v>
      </c>
      <c r="AX30" s="348"/>
      <c r="AY30" s="349">
        <f>IF(ROUND(MAX(AV30*{0.03,0.1,0.2,0.25,0.3,0.35,0.45}-{0,210,1410,2660,4410,7160,15160}*12)-AW30,2)&lt;=0,0,ROUND(MAX(AV30*{0.03,0.1,0.2,0.25,0.3,0.35,0.45}-{0,210,1410,2660,4410,7160,15160}*12)-AW30,2))</f>
        <v>150</v>
      </c>
      <c r="AZ30" s="348">
        <f t="shared" si="20"/>
        <v>0</v>
      </c>
      <c r="BA30" s="348"/>
      <c r="BB30" s="348">
        <f t="shared" si="21"/>
        <v>9850</v>
      </c>
      <c r="BC30" s="353"/>
      <c r="BD30" s="349">
        <f t="shared" si="22"/>
        <v>9850</v>
      </c>
      <c r="BE30" s="356">
        <f>VLOOKUP($BW30,'HR|社保明细'!C:T,11,0)</f>
        <v>0</v>
      </c>
      <c r="BF30" s="348">
        <f>VLOOKUP($BW30,'HR|社保明细'!$C:U,12,0)</f>
        <v>0</v>
      </c>
      <c r="BG30" s="348">
        <f>VLOOKUP($BW30,'HR|社保明细'!$C:V,13,0)</f>
        <v>0</v>
      </c>
      <c r="BH30" s="348">
        <f>VLOOKUP($BW30,'HR|社保明细'!$C:W,14,0)</f>
        <v>0</v>
      </c>
      <c r="BI30" s="348">
        <f>VLOOKUP($BW30,'HR|社保明细'!$C:X,15,0)</f>
        <v>0</v>
      </c>
      <c r="BJ30" s="348">
        <f>VLOOKUP($BW30,'HR|社保明细'!$C:Y,16,0)</f>
        <v>0</v>
      </c>
      <c r="BK30" s="353">
        <f>VLOOKUP($BW30,'HR|社保明细'!$C:Z,17,0)</f>
        <v>0</v>
      </c>
      <c r="BL30" s="349">
        <f t="shared" si="23"/>
        <v>0</v>
      </c>
      <c r="BM30" s="354"/>
      <c r="BN30" s="350"/>
      <c r="BO30" s="350"/>
      <c r="BP30" s="350"/>
      <c r="BQ30" s="350"/>
      <c r="BR30" s="349">
        <f t="shared" si="24"/>
        <v>0</v>
      </c>
      <c r="BS30" s="349">
        <f t="shared" si="25"/>
        <v>0</v>
      </c>
      <c r="BT30" s="357"/>
      <c r="BU30" s="357"/>
      <c r="BV30" s="358"/>
      <c r="BW30" s="359" t="str">
        <f t="shared" si="26"/>
        <v>开弈人力资源肖宝仙</v>
      </c>
      <c r="BX30" s="360" t="s">
        <v>258</v>
      </c>
      <c r="BY30" s="360" t="s">
        <v>259</v>
      </c>
      <c r="BZ30" s="360" t="s">
        <v>274</v>
      </c>
      <c r="CA30" s="360" t="str">
        <f>VLOOKUP(A30,hr.个税累计数据!C:C,1,0)</f>
        <v>开弈人力资源肖宝仙</v>
      </c>
      <c r="CB30" s="360" t="s">
        <v>313</v>
      </c>
      <c r="CC30" s="360"/>
      <c r="CD30" s="243" t="b">
        <f t="shared" si="27"/>
        <v>0</v>
      </c>
    </row>
    <row r="31" s="243" customFormat="1" ht="23" hidden="1" customHeight="1" spans="1:82">
      <c r="A31" s="343" t="str">
        <f t="shared" si="14"/>
        <v>开弈人力资源李家东</v>
      </c>
      <c r="B31" s="343" t="s">
        <v>37</v>
      </c>
      <c r="C31" s="343" t="s">
        <v>61</v>
      </c>
      <c r="D31" s="343" t="s">
        <v>252</v>
      </c>
      <c r="E31" s="344" t="s">
        <v>261</v>
      </c>
      <c r="F31" s="343" t="s">
        <v>262</v>
      </c>
      <c r="G31" s="343" t="s">
        <v>263</v>
      </c>
      <c r="H31" s="343" t="s">
        <v>314</v>
      </c>
      <c r="I31" s="343" t="s">
        <v>314</v>
      </c>
      <c r="J31" s="343" t="s">
        <v>265</v>
      </c>
      <c r="K31" s="345">
        <f t="shared" si="15"/>
        <v>5449.47</v>
      </c>
      <c r="L31" s="346">
        <f t="shared" si="16"/>
        <v>2740</v>
      </c>
      <c r="M31"/>
      <c r="N31" s="347">
        <v>6</v>
      </c>
      <c r="O31" s="348">
        <f>3457.55+15.54-7.77+50+23.94-15.96</f>
        <v>3523.3</v>
      </c>
      <c r="P31" s="348"/>
      <c r="Q31" s="348"/>
      <c r="R31" s="348"/>
      <c r="S31" s="348"/>
      <c r="T31" s="348"/>
      <c r="U31" s="349">
        <f t="shared" si="17"/>
        <v>3523.3</v>
      </c>
      <c r="V31" s="350"/>
      <c r="W31" s="350"/>
      <c r="X31" s="350"/>
      <c r="Y31" s="350"/>
      <c r="Z31" s="350"/>
      <c r="AA31" s="350"/>
      <c r="AB31" s="350"/>
      <c r="AC31" s="349">
        <f t="shared" si="18"/>
        <v>3523.3</v>
      </c>
      <c r="AD31" s="351"/>
      <c r="AE31" s="352">
        <v>202606</v>
      </c>
      <c r="AF31" s="348">
        <f>VLOOKUP(BW31,'HR|社保明细'!C:F,4,0)</f>
        <v>7460</v>
      </c>
      <c r="AG31" s="348">
        <f>VLOOKUP($BW31,'HR|社保明细'!$C:G,5,0)</f>
        <v>0</v>
      </c>
      <c r="AH31" s="348">
        <f>VLOOKUP($BW31,'HR|社保明细'!$C:H,6,0)</f>
        <v>596.8</v>
      </c>
      <c r="AI31" s="348">
        <f>VLOOKUP($BW31,'HR|社保明细'!$C:I,7,0)</f>
        <v>149.2</v>
      </c>
      <c r="AJ31" s="348">
        <f>VLOOKUP($BW31,'HR|社保明细'!$C:J,8,0)</f>
        <v>37.3</v>
      </c>
      <c r="AK31" s="348">
        <f>VLOOKUP($BW31,'HR|社保明细'!$C:K,9,0)</f>
        <v>0</v>
      </c>
      <c r="AL31" s="353">
        <f>VLOOKUP($BW31,'HR|社保明细'!$C:L,10,0)</f>
        <v>0</v>
      </c>
      <c r="AM31" s="349">
        <f t="shared" si="19"/>
        <v>783.3</v>
      </c>
      <c r="AN31" s="348"/>
      <c r="AO31" s="348"/>
      <c r="AP31" s="348"/>
      <c r="AQ31" s="348"/>
      <c r="AR31" s="348"/>
      <c r="AS31" s="348">
        <f t="shared" si="28"/>
        <v>2740</v>
      </c>
      <c r="AT31" s="354"/>
      <c r="AU31" s="355">
        <f>VLOOKUP(BW31,hr.个税累计数据!C:DS,121,0)</f>
        <v>21139.8</v>
      </c>
      <c r="AV31" s="348">
        <f>IF(AU31-5000*N31-VLOOKUP(A31,hr.个税累计数据!C:DT,122,0)-VLOOKUP(A31,hr.个税累计数据!C:DU,123,0)&gt;0,AU31-5000*N31-VLOOKUP(A31,hr.个税累计数据!C:DT,122,0)-VLOOKUP(A31,hr.个税累计数据!C:DU,123,0),0)</f>
        <v>0</v>
      </c>
      <c r="AW31" s="348">
        <f>VLOOKUP(BW31,hr.个税累计数据!C:DV,124,0)</f>
        <v>0</v>
      </c>
      <c r="AX31" s="348"/>
      <c r="AY31" s="349">
        <f>IF(ROUND(MAX(AV31*{0.03,0.1,0.2,0.25,0.3,0.35,0.45}-{0,210,1410,2660,4410,7160,15160}*12)-AW31,2)&lt;=0,0,ROUND(MAX(AV31*{0.03,0.1,0.2,0.25,0.3,0.35,0.45}-{0,210,1410,2660,4410,7160,15160}*12)-AW31,2))</f>
        <v>0</v>
      </c>
      <c r="AZ31" s="348">
        <f t="shared" si="20"/>
        <v>0</v>
      </c>
      <c r="BA31" s="348"/>
      <c r="BB31" s="348">
        <f t="shared" si="21"/>
        <v>2740</v>
      </c>
      <c r="BC31" s="353"/>
      <c r="BD31" s="349">
        <f t="shared" si="22"/>
        <v>2740</v>
      </c>
      <c r="BE31" s="356">
        <f>VLOOKUP($BW31,'HR|社保明细'!C:T,11,0)</f>
        <v>1193.6</v>
      </c>
      <c r="BF31" s="348">
        <f>VLOOKUP($BW31,'HR|社保明细'!$C:U,12,0)</f>
        <v>596.8</v>
      </c>
      <c r="BG31" s="348">
        <f>VLOOKUP($BW31,'HR|社保明细'!$C:V,13,0)</f>
        <v>37.3</v>
      </c>
      <c r="BH31" s="348">
        <f>VLOOKUP($BW31,'HR|社保明细'!$C:W,14,0)</f>
        <v>23.87</v>
      </c>
      <c r="BI31" s="348">
        <f>VLOOKUP($BW31,'HR|社保明细'!$C:X,15,0)</f>
        <v>74.6</v>
      </c>
      <c r="BJ31" s="348">
        <f>VLOOKUP($BW31,'HR|社保明细'!$C:Y,16,0)</f>
        <v>0</v>
      </c>
      <c r="BK31" s="353">
        <f>VLOOKUP($BW31,'HR|社保明细'!$C:Z,17,0)</f>
        <v>0</v>
      </c>
      <c r="BL31" s="349">
        <f t="shared" si="23"/>
        <v>1926.17</v>
      </c>
      <c r="BM31" s="354"/>
      <c r="BN31" s="350"/>
      <c r="BO31" s="350"/>
      <c r="BP31" s="350"/>
      <c r="BQ31" s="350"/>
      <c r="BR31" s="349">
        <f t="shared" si="24"/>
        <v>0</v>
      </c>
      <c r="BS31" s="349">
        <f t="shared" si="25"/>
        <v>0</v>
      </c>
      <c r="BT31" s="357"/>
      <c r="BU31" s="357"/>
      <c r="BV31" s="358"/>
      <c r="BW31" s="359" t="str">
        <f t="shared" si="26"/>
        <v>开弈人力资源李家东</v>
      </c>
      <c r="BX31" s="360"/>
      <c r="BY31" s="360" t="s">
        <v>259</v>
      </c>
      <c r="BZ31" s="360"/>
      <c r="CA31" s="360" t="str">
        <f>VLOOKUP(A31,hr.个税累计数据!C:C,1,0)</f>
        <v>开弈人力资源李家东</v>
      </c>
      <c r="CB31" s="360" t="s">
        <v>315</v>
      </c>
      <c r="CC31" s="360"/>
      <c r="CD31" s="243" t="b">
        <f t="shared" si="27"/>
        <v>1</v>
      </c>
    </row>
    <row r="32" s="243" customFormat="1" ht="23" hidden="1" customHeight="1" spans="1:82">
      <c r="A32" s="343" t="str">
        <f t="shared" si="14"/>
        <v>开弈人力资源卢素丹</v>
      </c>
      <c r="B32" s="343" t="s">
        <v>33</v>
      </c>
      <c r="C32" s="343" t="s">
        <v>61</v>
      </c>
      <c r="D32" s="343" t="s">
        <v>252</v>
      </c>
      <c r="E32" s="344" t="s">
        <v>305</v>
      </c>
      <c r="F32" s="343" t="s">
        <v>306</v>
      </c>
      <c r="G32" s="343" t="s">
        <v>255</v>
      </c>
      <c r="H32" s="343" t="s">
        <v>316</v>
      </c>
      <c r="I32" s="343" t="s">
        <v>316</v>
      </c>
      <c r="J32" s="343" t="s">
        <v>257</v>
      </c>
      <c r="K32" s="345">
        <f t="shared" si="15"/>
        <v>10598.97</v>
      </c>
      <c r="L32" s="346">
        <f t="shared" si="16"/>
        <v>6644.03</v>
      </c>
      <c r="M32"/>
      <c r="N32" s="347">
        <v>6</v>
      </c>
      <c r="O32" s="348">
        <v>8000</v>
      </c>
      <c r="P32" s="348"/>
      <c r="Q32" s="348">
        <f>VLOOKUP(I32,考勤调整记录!I:W,15,0)</f>
        <v>0</v>
      </c>
      <c r="R32" s="348"/>
      <c r="S32" s="348">
        <v>155.8</v>
      </c>
      <c r="T32" s="348"/>
      <c r="U32" s="349">
        <f t="shared" si="17"/>
        <v>8155.8</v>
      </c>
      <c r="V32" s="350"/>
      <c r="W32" s="350"/>
      <c r="X32" s="350"/>
      <c r="Y32" s="350"/>
      <c r="Z32" s="350"/>
      <c r="AA32" s="350"/>
      <c r="AB32" s="350"/>
      <c r="AC32" s="349">
        <f t="shared" si="18"/>
        <v>8155.8</v>
      </c>
      <c r="AD32" s="351"/>
      <c r="AE32" s="352">
        <v>202606</v>
      </c>
      <c r="AF32" s="348">
        <f>VLOOKUP(BW32,'HR|社保明细'!C:F,4,0)</f>
        <v>7460</v>
      </c>
      <c r="AG32" s="348">
        <f>VLOOKUP($BW32,'HR|社保明细'!$C:G,5,0)</f>
        <v>7384</v>
      </c>
      <c r="AH32" s="348">
        <f>VLOOKUP($BW32,'HR|社保明细'!$C:H,6,0)</f>
        <v>596.8</v>
      </c>
      <c r="AI32" s="348">
        <f>VLOOKUP($BW32,'HR|社保明细'!$C:I,7,0)</f>
        <v>149.2</v>
      </c>
      <c r="AJ32" s="348">
        <f>VLOOKUP($BW32,'HR|社保明细'!$C:J,8,0)</f>
        <v>37.3</v>
      </c>
      <c r="AK32" s="348">
        <f>VLOOKUP($BW32,'HR|社保明细'!$C:K,9,0)</f>
        <v>517</v>
      </c>
      <c r="AL32" s="353">
        <f>VLOOKUP($BW32,'HR|社保明细'!$C:L,10,0)</f>
        <v>0</v>
      </c>
      <c r="AM32" s="349">
        <f t="shared" si="19"/>
        <v>1300.3</v>
      </c>
      <c r="AN32" s="348"/>
      <c r="AO32" s="348"/>
      <c r="AP32" s="348"/>
      <c r="AQ32" s="348"/>
      <c r="AR32" s="348"/>
      <c r="AS32" s="348">
        <f t="shared" si="28"/>
        <v>6855.5</v>
      </c>
      <c r="AT32" s="354"/>
      <c r="AU32" s="355">
        <f>VLOOKUP(BW32,hr.个税累计数据!C:DS,121,0)</f>
        <v>51052</v>
      </c>
      <c r="AV32" s="348">
        <f>IF(AU32-5000*N32-VLOOKUP(A32,hr.个税累计数据!C:DT,122,0)-VLOOKUP(A32,hr.个税累计数据!C:DU,123,0)&gt;0,AU32-5000*N32-VLOOKUP(A32,hr.个税累计数据!C:DT,122,0)-VLOOKUP(A32,hr.个税累计数据!C:DU,123,0),0)</f>
        <v>13250.2</v>
      </c>
      <c r="AW32" s="348">
        <f>VLOOKUP(BW32,hr.个税累计数据!C:DV,124,0)</f>
        <v>341.84</v>
      </c>
      <c r="AX32" s="348"/>
      <c r="AY32" s="349">
        <f>IF(ROUND(MAX(AV32*{0.03,0.1,0.2,0.25,0.3,0.35,0.45}-{0,210,1410,2660,4410,7160,15160}*12)-AW32,2)&lt;=0,0,ROUND(MAX(AV32*{0.03,0.1,0.2,0.25,0.3,0.35,0.45}-{0,210,1410,2660,4410,7160,15160}*12)-AW32,2))</f>
        <v>55.67</v>
      </c>
      <c r="AZ32" s="348">
        <f t="shared" si="20"/>
        <v>-155.8</v>
      </c>
      <c r="BA32" s="348"/>
      <c r="BB32" s="348">
        <f t="shared" si="21"/>
        <v>6644.03</v>
      </c>
      <c r="BC32" s="353"/>
      <c r="BD32" s="349">
        <f t="shared" si="22"/>
        <v>6644.03</v>
      </c>
      <c r="BE32" s="356">
        <f>VLOOKUP($BW32,'HR|社保明细'!C:T,11,0)</f>
        <v>1193.6</v>
      </c>
      <c r="BF32" s="348">
        <f>VLOOKUP($BW32,'HR|社保明细'!$C:U,12,0)</f>
        <v>596.8</v>
      </c>
      <c r="BG32" s="348">
        <f>VLOOKUP($BW32,'HR|社保明细'!$C:V,13,0)</f>
        <v>37.3</v>
      </c>
      <c r="BH32" s="348">
        <f>VLOOKUP($BW32,'HR|社保明细'!$C:W,14,0)</f>
        <v>23.87</v>
      </c>
      <c r="BI32" s="348">
        <f>VLOOKUP($BW32,'HR|社保明细'!$C:X,15,0)</f>
        <v>74.6</v>
      </c>
      <c r="BJ32" s="348">
        <f>VLOOKUP($BW32,'HR|社保明细'!$C:Y,16,0)</f>
        <v>517</v>
      </c>
      <c r="BK32" s="353">
        <f>VLOOKUP($BW32,'HR|社保明细'!$C:Z,17,0)</f>
        <v>0</v>
      </c>
      <c r="BL32" s="349">
        <f t="shared" si="23"/>
        <v>2443.17</v>
      </c>
      <c r="BM32" s="354"/>
      <c r="BN32" s="350"/>
      <c r="BO32" s="350"/>
      <c r="BP32" s="350"/>
      <c r="BQ32" s="350"/>
      <c r="BR32" s="349">
        <f t="shared" si="24"/>
        <v>0</v>
      </c>
      <c r="BS32" s="349">
        <f t="shared" si="25"/>
        <v>0</v>
      </c>
      <c r="BT32" s="357">
        <v>1250</v>
      </c>
      <c r="BU32" s="357"/>
      <c r="BV32" s="358"/>
      <c r="BW32" s="359" t="str">
        <f t="shared" si="26"/>
        <v>开弈人力资源卢素丹</v>
      </c>
      <c r="BX32" s="360"/>
      <c r="BY32" s="360" t="s">
        <v>273</v>
      </c>
      <c r="BZ32" s="360" t="s">
        <v>274</v>
      </c>
      <c r="CA32" s="360" t="str">
        <f>VLOOKUP(A32,hr.个税累计数据!C:C,1,0)</f>
        <v>开弈人力资源卢素丹</v>
      </c>
      <c r="CB32" s="360" t="s">
        <v>317</v>
      </c>
      <c r="CC32" s="360" t="s">
        <v>273</v>
      </c>
      <c r="CD32" s="243" t="b">
        <f t="shared" si="27"/>
        <v>1</v>
      </c>
    </row>
    <row r="33" s="243" customFormat="1" ht="23" hidden="1" customHeight="1" spans="1:82">
      <c r="A33" s="343" t="str">
        <f t="shared" si="14"/>
        <v>开弈人力资源芦智蔚</v>
      </c>
      <c r="B33" s="343" t="s">
        <v>29</v>
      </c>
      <c r="C33" s="343" t="s">
        <v>61</v>
      </c>
      <c r="D33" s="343" t="s">
        <v>252</v>
      </c>
      <c r="E33" s="344" t="s">
        <v>318</v>
      </c>
      <c r="F33" s="343" t="s">
        <v>134</v>
      </c>
      <c r="G33" s="343" t="s">
        <v>319</v>
      </c>
      <c r="H33" s="343" t="s">
        <v>320</v>
      </c>
      <c r="I33" s="343" t="s">
        <v>320</v>
      </c>
      <c r="J33" s="343" t="s">
        <v>257</v>
      </c>
      <c r="K33" s="345">
        <f t="shared" si="15"/>
        <v>35520.36</v>
      </c>
      <c r="L33" s="346">
        <f t="shared" si="16"/>
        <v>25513.5</v>
      </c>
      <c r="M33"/>
      <c r="N33" s="347">
        <v>6</v>
      </c>
      <c r="O33" s="348">
        <v>20000</v>
      </c>
      <c r="P33" s="348"/>
      <c r="Q33" s="348">
        <f>VLOOKUP(I33,考勤调整记录!I:W,15,0)</f>
        <v>0</v>
      </c>
      <c r="R33" s="348"/>
      <c r="S33" s="348">
        <v>480.36</v>
      </c>
      <c r="T33" s="348"/>
      <c r="U33" s="349">
        <f t="shared" si="17"/>
        <v>20480.36</v>
      </c>
      <c r="V33" s="350"/>
      <c r="W33" s="350">
        <f>ROUND((O33)*(0.9629-1),2)</f>
        <v>-742</v>
      </c>
      <c r="X33" s="350"/>
      <c r="Y33" s="350"/>
      <c r="Z33" s="350">
        <v>12000</v>
      </c>
      <c r="AA33" s="350"/>
      <c r="AB33" s="350"/>
      <c r="AC33" s="349">
        <f t="shared" si="18"/>
        <v>31738.36</v>
      </c>
      <c r="AD33" s="351"/>
      <c r="AE33" s="352">
        <v>202606</v>
      </c>
      <c r="AF33" s="348">
        <f>VLOOKUP(BW33,'HR|社保明细'!C:F,4,0)</f>
        <v>10000</v>
      </c>
      <c r="AG33" s="348">
        <f>VLOOKUP($BW33,'HR|社保明细'!$C:G,5,0)</f>
        <v>10000</v>
      </c>
      <c r="AH33" s="348">
        <f>VLOOKUP($BW33,'HR|社保明细'!$C:H,6,0)</f>
        <v>800</v>
      </c>
      <c r="AI33" s="348">
        <f>VLOOKUP($BW33,'HR|社保明细'!$C:I,7,0)</f>
        <v>200</v>
      </c>
      <c r="AJ33" s="348">
        <f>VLOOKUP($BW33,'HR|社保明细'!$C:J,8,0)</f>
        <v>50</v>
      </c>
      <c r="AK33" s="348">
        <f>VLOOKUP($BW33,'HR|社保明细'!$C:K,9,0)</f>
        <v>700</v>
      </c>
      <c r="AL33" s="353">
        <f>VLOOKUP($BW33,'HR|社保明细'!$C:L,10,0)</f>
        <v>500</v>
      </c>
      <c r="AM33" s="349">
        <f t="shared" si="19"/>
        <v>2250</v>
      </c>
      <c r="AN33" s="348"/>
      <c r="AO33" s="348"/>
      <c r="AP33" s="348"/>
      <c r="AQ33" s="348">
        <v>1500</v>
      </c>
      <c r="AR33" s="348"/>
      <c r="AS33" s="348">
        <f t="shared" si="28"/>
        <v>27988.36</v>
      </c>
      <c r="AT33" s="354"/>
      <c r="AU33" s="355">
        <f>VLOOKUP(BW33,hr.个税累计数据!C:DS,121,0)</f>
        <v>208456.72</v>
      </c>
      <c r="AV33" s="348">
        <f>IF(AU33-5000*N33-VLOOKUP(A33,hr.个税累计数据!C:DT,122,0)-VLOOKUP(A33,hr.个税累计数据!C:DU,123,0)&gt;0,AU33-5000*N33-VLOOKUP(A33,hr.个税累计数据!C:DT,122,0)-VLOOKUP(A33,hr.个税累计数据!C:DU,123,0),0)</f>
        <v>155956.72</v>
      </c>
      <c r="AW33" s="348">
        <f>VLOOKUP(BW33,hr.个税累计数据!C:DV,124,0)</f>
        <v>10776.84</v>
      </c>
      <c r="AX33" s="348"/>
      <c r="AY33" s="349">
        <f>IF(ROUND(MAX(AV33*{0.03,0.1,0.2,0.25,0.3,0.35,0.45}-{0,210,1410,2660,4410,7160,15160}*12)-AW33,2)&lt;=0,0,ROUND(MAX(AV33*{0.03,0.1,0.2,0.25,0.3,0.35,0.45}-{0,210,1410,2660,4410,7160,15160}*12)-AW33,2))</f>
        <v>3494.5</v>
      </c>
      <c r="AZ33" s="348">
        <f t="shared" si="20"/>
        <v>-480.36</v>
      </c>
      <c r="BA33" s="348"/>
      <c r="BB33" s="348">
        <f t="shared" si="21"/>
        <v>25513.5</v>
      </c>
      <c r="BC33" s="353"/>
      <c r="BD33" s="349">
        <f t="shared" si="22"/>
        <v>25513.5</v>
      </c>
      <c r="BE33" s="356">
        <f>VLOOKUP($BW33,'HR|社保明细'!C:T,11,0)</f>
        <v>1600</v>
      </c>
      <c r="BF33" s="348">
        <f>VLOOKUP($BW33,'HR|社保明细'!$C:U,12,0)</f>
        <v>800</v>
      </c>
      <c r="BG33" s="348">
        <f>VLOOKUP($BW33,'HR|社保明细'!$C:V,13,0)</f>
        <v>50</v>
      </c>
      <c r="BH33" s="348">
        <f>VLOOKUP($BW33,'HR|社保明细'!$C:W,14,0)</f>
        <v>32</v>
      </c>
      <c r="BI33" s="348">
        <f>VLOOKUP($BW33,'HR|社保明细'!$C:X,15,0)</f>
        <v>100</v>
      </c>
      <c r="BJ33" s="348">
        <f>VLOOKUP($BW33,'HR|社保明细'!$C:Y,16,0)</f>
        <v>700</v>
      </c>
      <c r="BK33" s="353">
        <f>VLOOKUP($BW33,'HR|社保明细'!$C:Z,17,0)</f>
        <v>500</v>
      </c>
      <c r="BL33" s="349">
        <f t="shared" si="23"/>
        <v>3782</v>
      </c>
      <c r="BM33" s="354"/>
      <c r="BN33" s="350"/>
      <c r="BO33" s="350"/>
      <c r="BP33" s="350"/>
      <c r="BQ33" s="350"/>
      <c r="BR33" s="349">
        <f t="shared" si="24"/>
        <v>0</v>
      </c>
      <c r="BS33" s="349">
        <f t="shared" si="25"/>
        <v>11258</v>
      </c>
      <c r="BT33" s="357">
        <v>1250</v>
      </c>
      <c r="BU33" s="357"/>
      <c r="BV33" s="358"/>
      <c r="BW33" s="359" t="str">
        <f t="shared" si="26"/>
        <v>开弈人力资源芦智蔚</v>
      </c>
      <c r="BX33" s="360"/>
      <c r="BY33" s="360" t="s">
        <v>273</v>
      </c>
      <c r="BZ33" s="360" t="s">
        <v>321</v>
      </c>
      <c r="CA33" s="360" t="str">
        <f>VLOOKUP(A33,hr.个税累计数据!C:C,1,0)</f>
        <v>开弈人力资源芦智蔚</v>
      </c>
      <c r="CB33" s="360" t="s">
        <v>322</v>
      </c>
      <c r="CC33" s="360" t="s">
        <v>273</v>
      </c>
      <c r="CD33" s="243" t="b">
        <f t="shared" si="27"/>
        <v>1</v>
      </c>
    </row>
    <row r="34" s="243" customFormat="1" ht="23" hidden="1" customHeight="1" spans="1:82">
      <c r="A34" s="343" t="str">
        <f t="shared" si="14"/>
        <v>靠普人力毛华英</v>
      </c>
      <c r="B34" s="343" t="s">
        <v>35</v>
      </c>
      <c r="C34" s="343" t="s">
        <v>63</v>
      </c>
      <c r="D34" s="343" t="s">
        <v>252</v>
      </c>
      <c r="E34" s="344" t="s">
        <v>302</v>
      </c>
      <c r="F34" s="343" t="s">
        <v>262</v>
      </c>
      <c r="G34" s="343" t="s">
        <v>323</v>
      </c>
      <c r="H34" s="343" t="s">
        <v>324</v>
      </c>
      <c r="I34" s="343" t="s">
        <v>324</v>
      </c>
      <c r="J34" s="343" t="s">
        <v>257</v>
      </c>
      <c r="K34" s="345">
        <f t="shared" si="15"/>
        <v>9892.07</v>
      </c>
      <c r="L34" s="346">
        <f t="shared" si="16"/>
        <v>5958.34</v>
      </c>
      <c r="M34"/>
      <c r="N34" s="347">
        <v>6</v>
      </c>
      <c r="O34" s="348">
        <v>7500</v>
      </c>
      <c r="P34" s="348"/>
      <c r="Q34" s="348">
        <f>VLOOKUP(I34,考勤调整记录!I:W,15,0)</f>
        <v>-206.9</v>
      </c>
      <c r="R34" s="348"/>
      <c r="S34" s="348">
        <v>155.8</v>
      </c>
      <c r="T34" s="348"/>
      <c r="U34" s="349">
        <f t="shared" si="17"/>
        <v>7448.9</v>
      </c>
      <c r="V34" s="350"/>
      <c r="W34" s="350"/>
      <c r="X34" s="350"/>
      <c r="Y34" s="350"/>
      <c r="Z34" s="350"/>
      <c r="AA34" s="350"/>
      <c r="AB34" s="350"/>
      <c r="AC34" s="349">
        <f t="shared" si="18"/>
        <v>7448.9</v>
      </c>
      <c r="AD34" s="351"/>
      <c r="AE34" s="352">
        <v>202606</v>
      </c>
      <c r="AF34" s="348">
        <f>VLOOKUP(BW34,'HR|社保明细'!C:F,4,0)</f>
        <v>7460</v>
      </c>
      <c r="AG34" s="348">
        <f>VLOOKUP($BW34,'HR|社保明细'!$C:G,5,0)</f>
        <v>7384</v>
      </c>
      <c r="AH34" s="348">
        <f>VLOOKUP($BW34,'HR|社保明细'!$C:H,6,0)</f>
        <v>596.8</v>
      </c>
      <c r="AI34" s="348">
        <f>VLOOKUP($BW34,'HR|社保明细'!$C:I,7,0)</f>
        <v>149.2</v>
      </c>
      <c r="AJ34" s="348">
        <f>VLOOKUP($BW34,'HR|社保明细'!$C:J,8,0)</f>
        <v>37.3</v>
      </c>
      <c r="AK34" s="348">
        <f>VLOOKUP($BW34,'HR|社保明细'!$C:K,9,0)</f>
        <v>517</v>
      </c>
      <c r="AL34" s="353">
        <f>VLOOKUP($BW34,'HR|社保明细'!$C:L,10,0)</f>
        <v>0</v>
      </c>
      <c r="AM34" s="349">
        <f t="shared" si="19"/>
        <v>1300.3</v>
      </c>
      <c r="AN34" s="348"/>
      <c r="AO34" s="348"/>
      <c r="AP34" s="348"/>
      <c r="AQ34" s="348"/>
      <c r="AR34" s="348"/>
      <c r="AS34" s="348">
        <f t="shared" si="28"/>
        <v>6148.6</v>
      </c>
      <c r="AT34" s="354"/>
      <c r="AU34" s="355">
        <f>VLOOKUP(BW34,hr.个税累计数据!C:DS,121,0)</f>
        <v>51139.43</v>
      </c>
      <c r="AV34" s="348">
        <f>IF(AU34-5000*N34-VLOOKUP(A34,hr.个税累计数据!C:DT,122,0)-VLOOKUP(A34,hr.个税累计数据!C:DU,123,0)&gt;0,AU34-5000*N34-VLOOKUP(A34,hr.个税累计数据!C:DT,122,0)-VLOOKUP(A34,hr.个税累计数据!C:DU,123,0),0)</f>
        <v>13337.63</v>
      </c>
      <c r="AW34" s="348">
        <f>VLOOKUP(BW34,hr.个税累计数据!C:DV,124,0)</f>
        <v>365.67</v>
      </c>
      <c r="AX34" s="348"/>
      <c r="AY34" s="349">
        <f>IF(ROUND(MAX(AV34*{0.03,0.1,0.2,0.25,0.3,0.35,0.45}-{0,210,1410,2660,4410,7160,15160}*12)-AW34,2)&lt;=0,0,ROUND(MAX(AV34*{0.03,0.1,0.2,0.25,0.3,0.35,0.45}-{0,210,1410,2660,4410,7160,15160}*12)-AW34,2))</f>
        <v>34.46</v>
      </c>
      <c r="AZ34" s="348">
        <f t="shared" si="20"/>
        <v>-155.8</v>
      </c>
      <c r="BA34" s="348"/>
      <c r="BB34" s="348">
        <f t="shared" si="21"/>
        <v>5958.34</v>
      </c>
      <c r="BC34" s="353"/>
      <c r="BD34" s="349">
        <f t="shared" si="22"/>
        <v>5958.34</v>
      </c>
      <c r="BE34" s="356">
        <f>VLOOKUP($BW34,'HR|社保明细'!C:T,11,0)</f>
        <v>1193.6</v>
      </c>
      <c r="BF34" s="348">
        <f>VLOOKUP($BW34,'HR|社保明细'!$C:U,12,0)</f>
        <v>596.8</v>
      </c>
      <c r="BG34" s="348">
        <f>VLOOKUP($BW34,'HR|社保明细'!$C:V,13,0)</f>
        <v>37.3</v>
      </c>
      <c r="BH34" s="348">
        <f>VLOOKUP($BW34,'HR|社保明细'!$C:W,14,0)</f>
        <v>23.87</v>
      </c>
      <c r="BI34" s="348">
        <f>VLOOKUP($BW34,'HR|社保明细'!$C:X,15,0)</f>
        <v>74.6</v>
      </c>
      <c r="BJ34" s="348">
        <f>VLOOKUP($BW34,'HR|社保明细'!$C:Y,16,0)</f>
        <v>517</v>
      </c>
      <c r="BK34" s="353">
        <f>VLOOKUP($BW34,'HR|社保明细'!$C:Z,17,0)</f>
        <v>0</v>
      </c>
      <c r="BL34" s="349">
        <f t="shared" si="23"/>
        <v>2443.17</v>
      </c>
      <c r="BM34" s="354"/>
      <c r="BN34" s="350"/>
      <c r="BO34" s="350"/>
      <c r="BP34" s="350"/>
      <c r="BQ34" s="350"/>
      <c r="BR34" s="349">
        <f t="shared" si="24"/>
        <v>0</v>
      </c>
      <c r="BS34" s="349">
        <f t="shared" si="25"/>
        <v>0</v>
      </c>
      <c r="BT34" s="357">
        <v>1250</v>
      </c>
      <c r="BU34" s="357"/>
      <c r="BV34" s="358"/>
      <c r="BW34" s="359" t="str">
        <f t="shared" si="26"/>
        <v>靠普人力毛华英</v>
      </c>
      <c r="BX34" s="360"/>
      <c r="BY34" s="360" t="s">
        <v>273</v>
      </c>
      <c r="BZ34" s="360" t="s">
        <v>274</v>
      </c>
      <c r="CA34" s="360" t="str">
        <f>VLOOKUP(A34,hr.个税累计数据!C:C,1,0)</f>
        <v>靠普人力毛华英</v>
      </c>
      <c r="CB34" s="360" t="s">
        <v>325</v>
      </c>
      <c r="CC34" s="360" t="s">
        <v>273</v>
      </c>
      <c r="CD34" s="243" t="b">
        <f t="shared" si="27"/>
        <v>1</v>
      </c>
    </row>
    <row r="35" s="243" customFormat="1" ht="23" hidden="1" customHeight="1" spans="1:82">
      <c r="A35" s="343" t="str">
        <f t="shared" si="14"/>
        <v>开弈人力资源裘碧钰</v>
      </c>
      <c r="B35" s="343" t="s">
        <v>33</v>
      </c>
      <c r="C35" s="343" t="s">
        <v>61</v>
      </c>
      <c r="D35" s="343" t="s">
        <v>252</v>
      </c>
      <c r="E35" s="344" t="s">
        <v>305</v>
      </c>
      <c r="F35" s="343" t="s">
        <v>306</v>
      </c>
      <c r="G35" s="343" t="s">
        <v>255</v>
      </c>
      <c r="H35" s="343" t="s">
        <v>326</v>
      </c>
      <c r="I35" s="343" t="s">
        <v>326</v>
      </c>
      <c r="J35" s="343" t="s">
        <v>257</v>
      </c>
      <c r="K35" s="345">
        <f t="shared" si="15"/>
        <v>12598.97</v>
      </c>
      <c r="L35" s="346">
        <f t="shared" si="16"/>
        <v>8699.7</v>
      </c>
      <c r="M35"/>
      <c r="N35" s="347">
        <v>6</v>
      </c>
      <c r="O35" s="348">
        <v>10000</v>
      </c>
      <c r="P35" s="348"/>
      <c r="Q35" s="348">
        <f>VLOOKUP(I35,考勤调整记录!I:W,15,0)</f>
        <v>0</v>
      </c>
      <c r="R35" s="348"/>
      <c r="S35" s="348">
        <v>155.8</v>
      </c>
      <c r="T35" s="348"/>
      <c r="U35" s="349">
        <f t="shared" si="17"/>
        <v>10155.8</v>
      </c>
      <c r="V35" s="350"/>
      <c r="W35" s="350"/>
      <c r="X35" s="350"/>
      <c r="Y35" s="350"/>
      <c r="Z35" s="350"/>
      <c r="AA35" s="350"/>
      <c r="AB35" s="350"/>
      <c r="AC35" s="349">
        <f t="shared" si="18"/>
        <v>10155.8</v>
      </c>
      <c r="AD35" s="351"/>
      <c r="AE35" s="352">
        <v>202606</v>
      </c>
      <c r="AF35" s="348">
        <f>VLOOKUP(BW35,'HR|社保明细'!C:F,4,0)</f>
        <v>7460</v>
      </c>
      <c r="AG35" s="348">
        <f>VLOOKUP($BW35,'HR|社保明细'!$C:G,5,0)</f>
        <v>7384</v>
      </c>
      <c r="AH35" s="348">
        <f>VLOOKUP($BW35,'HR|社保明细'!$C:H,6,0)</f>
        <v>596.8</v>
      </c>
      <c r="AI35" s="348">
        <f>VLOOKUP($BW35,'HR|社保明细'!$C:I,7,0)</f>
        <v>149.2</v>
      </c>
      <c r="AJ35" s="348">
        <f>VLOOKUP($BW35,'HR|社保明细'!$C:J,8,0)</f>
        <v>37.3</v>
      </c>
      <c r="AK35" s="348">
        <f>VLOOKUP($BW35,'HR|社保明细'!$C:K,9,0)</f>
        <v>517</v>
      </c>
      <c r="AL35" s="353">
        <f>VLOOKUP($BW35,'HR|社保明细'!$C:L,10,0)</f>
        <v>0</v>
      </c>
      <c r="AM35" s="349">
        <f t="shared" si="19"/>
        <v>1300.3</v>
      </c>
      <c r="AN35" s="348"/>
      <c r="AO35" s="348"/>
      <c r="AP35" s="348">
        <v>1500</v>
      </c>
      <c r="AQ35" s="348"/>
      <c r="AR35" s="348"/>
      <c r="AS35" s="348">
        <f t="shared" si="28"/>
        <v>7355.5</v>
      </c>
      <c r="AT35" s="354"/>
      <c r="AU35" s="355">
        <f>VLOOKUP(BW35,hr.个税累计数据!C:DS,121,0)</f>
        <v>60789</v>
      </c>
      <c r="AV35" s="348">
        <f>IF(AU35-5000*N35-VLOOKUP(A35,hr.个税累计数据!C:DT,122,0)-VLOOKUP(A35,hr.个税累计数据!C:DU,123,0)&gt;0,AU35-5000*N35-VLOOKUP(A35,hr.个税累计数据!C:DT,122,0)-VLOOKUP(A35,hr.个税累计数据!C:DU,123,0),0)</f>
        <v>0</v>
      </c>
      <c r="AW35" s="348">
        <f>VLOOKUP(BW35,hr.个税累计数据!C:DV,124,0)</f>
        <v>70.34</v>
      </c>
      <c r="AX35" s="348"/>
      <c r="AY35" s="349">
        <f>IF(ROUND(MAX(AV35*{0.03,0.1,0.2,0.25,0.3,0.35,0.45}-{0,210,1410,2660,4410,7160,15160}*12)-AW35,2)&lt;=0,0,ROUND(MAX(AV35*{0.03,0.1,0.2,0.25,0.3,0.35,0.45}-{0,210,1410,2660,4410,7160,15160}*12)-AW35,2))</f>
        <v>0</v>
      </c>
      <c r="AZ35" s="348">
        <f t="shared" si="20"/>
        <v>-155.8</v>
      </c>
      <c r="BA35" s="348"/>
      <c r="BB35" s="348">
        <f t="shared" si="21"/>
        <v>8699.7</v>
      </c>
      <c r="BC35" s="353"/>
      <c r="BD35" s="349">
        <f t="shared" si="22"/>
        <v>8699.7</v>
      </c>
      <c r="BE35" s="356">
        <f>VLOOKUP($BW35,'HR|社保明细'!C:T,11,0)</f>
        <v>1193.6</v>
      </c>
      <c r="BF35" s="348">
        <f>VLOOKUP($BW35,'HR|社保明细'!$C:U,12,0)</f>
        <v>596.8</v>
      </c>
      <c r="BG35" s="348">
        <f>VLOOKUP($BW35,'HR|社保明细'!$C:V,13,0)</f>
        <v>37.3</v>
      </c>
      <c r="BH35" s="348">
        <f>VLOOKUP($BW35,'HR|社保明细'!$C:W,14,0)</f>
        <v>23.87</v>
      </c>
      <c r="BI35" s="348">
        <f>VLOOKUP($BW35,'HR|社保明细'!$C:X,15,0)</f>
        <v>74.6</v>
      </c>
      <c r="BJ35" s="348">
        <f>VLOOKUP($BW35,'HR|社保明细'!$C:Y,16,0)</f>
        <v>517</v>
      </c>
      <c r="BK35" s="353">
        <f>VLOOKUP($BW35,'HR|社保明细'!$C:Z,17,0)</f>
        <v>0</v>
      </c>
      <c r="BL35" s="349">
        <f t="shared" si="23"/>
        <v>2443.17</v>
      </c>
      <c r="BM35" s="354"/>
      <c r="BN35" s="350"/>
      <c r="BO35" s="350"/>
      <c r="BP35" s="350"/>
      <c r="BQ35" s="350"/>
      <c r="BR35" s="349">
        <f t="shared" si="24"/>
        <v>0</v>
      </c>
      <c r="BS35" s="349">
        <f t="shared" si="25"/>
        <v>0</v>
      </c>
      <c r="BT35" s="357">
        <v>1250</v>
      </c>
      <c r="BU35" s="357"/>
      <c r="BV35" s="358"/>
      <c r="BW35" s="359" t="str">
        <f t="shared" si="26"/>
        <v>开弈人力资源裘碧钰</v>
      </c>
      <c r="BX35" s="360"/>
      <c r="BY35" s="360" t="s">
        <v>273</v>
      </c>
      <c r="BZ35" s="360" t="s">
        <v>274</v>
      </c>
      <c r="CA35" s="360" t="str">
        <f>VLOOKUP(A35,hr.个税累计数据!C:C,1,0)</f>
        <v>开弈人力资源裘碧钰</v>
      </c>
      <c r="CB35" s="360" t="s">
        <v>327</v>
      </c>
      <c r="CC35" s="360" t="s">
        <v>273</v>
      </c>
      <c r="CD35" s="243" t="b">
        <f t="shared" si="27"/>
        <v>1</v>
      </c>
    </row>
    <row r="36" s="243" customFormat="1" ht="23" hidden="1" customHeight="1" spans="1:82">
      <c r="A36" s="343" t="str">
        <f t="shared" si="14"/>
        <v>开弈人力资源姜启志</v>
      </c>
      <c r="B36" s="343" t="s">
        <v>37</v>
      </c>
      <c r="C36" s="343" t="s">
        <v>61</v>
      </c>
      <c r="D36" s="343" t="s">
        <v>252</v>
      </c>
      <c r="E36" s="344" t="s">
        <v>261</v>
      </c>
      <c r="F36" s="343" t="s">
        <v>262</v>
      </c>
      <c r="G36" s="343" t="s">
        <v>263</v>
      </c>
      <c r="H36" s="343" t="s">
        <v>328</v>
      </c>
      <c r="I36" s="343" t="s">
        <v>328</v>
      </c>
      <c r="J36" s="343" t="s">
        <v>265</v>
      </c>
      <c r="K36" s="345">
        <f t="shared" si="15"/>
        <v>5449.47</v>
      </c>
      <c r="L36" s="346">
        <f t="shared" si="16"/>
        <v>2740</v>
      </c>
      <c r="M36"/>
      <c r="N36" s="347">
        <v>6</v>
      </c>
      <c r="O36" s="348">
        <f t="shared" ref="O36:O40" si="29">3457.55+15.54-7.77+50+23.94-15.96</f>
        <v>3523.3</v>
      </c>
      <c r="P36" s="348"/>
      <c r="Q36" s="348"/>
      <c r="R36" s="348"/>
      <c r="S36" s="348"/>
      <c r="T36" s="348"/>
      <c r="U36" s="349">
        <f t="shared" si="17"/>
        <v>3523.3</v>
      </c>
      <c r="V36" s="350"/>
      <c r="W36" s="350"/>
      <c r="X36" s="350"/>
      <c r="Y36" s="350"/>
      <c r="Z36" s="350"/>
      <c r="AA36" s="350"/>
      <c r="AB36" s="350"/>
      <c r="AC36" s="349">
        <f t="shared" si="18"/>
        <v>3523.3</v>
      </c>
      <c r="AD36" s="351"/>
      <c r="AE36" s="352">
        <v>202606</v>
      </c>
      <c r="AF36" s="348">
        <f>VLOOKUP(BW36,'HR|社保明细'!C:F,4,0)</f>
        <v>7460</v>
      </c>
      <c r="AG36" s="348">
        <f>VLOOKUP($BW36,'HR|社保明细'!$C:G,5,0)</f>
        <v>0</v>
      </c>
      <c r="AH36" s="348">
        <f>VLOOKUP($BW36,'HR|社保明细'!$C:H,6,0)</f>
        <v>596.8</v>
      </c>
      <c r="AI36" s="348">
        <f>VLOOKUP($BW36,'HR|社保明细'!$C:I,7,0)</f>
        <v>149.2</v>
      </c>
      <c r="AJ36" s="348">
        <f>VLOOKUP($BW36,'HR|社保明细'!$C:J,8,0)</f>
        <v>37.3</v>
      </c>
      <c r="AK36" s="348">
        <f>VLOOKUP($BW36,'HR|社保明细'!$C:K,9,0)</f>
        <v>0</v>
      </c>
      <c r="AL36" s="353">
        <f>VLOOKUP($BW36,'HR|社保明细'!$C:L,10,0)</f>
        <v>0</v>
      </c>
      <c r="AM36" s="349">
        <f t="shared" si="19"/>
        <v>783.3</v>
      </c>
      <c r="AN36" s="348"/>
      <c r="AO36" s="348"/>
      <c r="AP36" s="348"/>
      <c r="AQ36" s="348"/>
      <c r="AR36" s="348"/>
      <c r="AS36" s="348">
        <f t="shared" si="28"/>
        <v>2740</v>
      </c>
      <c r="AT36" s="354"/>
      <c r="AU36" s="355">
        <f>VLOOKUP(BW36,hr.个税累计数据!C:DS,121,0)</f>
        <v>21139.8</v>
      </c>
      <c r="AV36" s="348">
        <f>IF(AU36-5000*N36-VLOOKUP(A36,hr.个税累计数据!C:DT,122,0)-VLOOKUP(A36,hr.个税累计数据!C:DU,123,0)&gt;0,AU36-5000*N36-VLOOKUP(A36,hr.个税累计数据!C:DT,122,0)-VLOOKUP(A36,hr.个税累计数据!C:DU,123,0),0)</f>
        <v>0</v>
      </c>
      <c r="AW36" s="348">
        <f>VLOOKUP(BW36,hr.个税累计数据!C:DV,124,0)</f>
        <v>0</v>
      </c>
      <c r="AX36" s="348"/>
      <c r="AY36" s="349">
        <f>IF(ROUND(MAX(AV36*{0.03,0.1,0.2,0.25,0.3,0.35,0.45}-{0,210,1410,2660,4410,7160,15160}*12)-AW36,2)&lt;=0,0,ROUND(MAX(AV36*{0.03,0.1,0.2,0.25,0.3,0.35,0.45}-{0,210,1410,2660,4410,7160,15160}*12)-AW36,2))</f>
        <v>0</v>
      </c>
      <c r="AZ36" s="348">
        <f t="shared" si="20"/>
        <v>0</v>
      </c>
      <c r="BA36" s="348"/>
      <c r="BB36" s="348">
        <f t="shared" si="21"/>
        <v>2740</v>
      </c>
      <c r="BC36" s="353"/>
      <c r="BD36" s="349">
        <f t="shared" si="22"/>
        <v>2740</v>
      </c>
      <c r="BE36" s="356">
        <f>VLOOKUP($BW36,'HR|社保明细'!C:T,11,0)</f>
        <v>1193.6</v>
      </c>
      <c r="BF36" s="348">
        <f>VLOOKUP($BW36,'HR|社保明细'!$C:U,12,0)</f>
        <v>596.8</v>
      </c>
      <c r="BG36" s="348">
        <f>VLOOKUP($BW36,'HR|社保明细'!$C:V,13,0)</f>
        <v>37.3</v>
      </c>
      <c r="BH36" s="348">
        <f>VLOOKUP($BW36,'HR|社保明细'!$C:W,14,0)</f>
        <v>23.87</v>
      </c>
      <c r="BI36" s="348">
        <f>VLOOKUP($BW36,'HR|社保明细'!$C:X,15,0)</f>
        <v>74.6</v>
      </c>
      <c r="BJ36" s="348">
        <f>VLOOKUP($BW36,'HR|社保明细'!$C:Y,16,0)</f>
        <v>0</v>
      </c>
      <c r="BK36" s="353">
        <f>VLOOKUP($BW36,'HR|社保明细'!$C:Z,17,0)</f>
        <v>0</v>
      </c>
      <c r="BL36" s="349">
        <f t="shared" si="23"/>
        <v>1926.17</v>
      </c>
      <c r="BM36" s="354"/>
      <c r="BN36" s="350"/>
      <c r="BO36" s="350"/>
      <c r="BP36" s="350"/>
      <c r="BQ36" s="350"/>
      <c r="BR36" s="349">
        <f t="shared" si="24"/>
        <v>0</v>
      </c>
      <c r="BS36" s="349">
        <f t="shared" si="25"/>
        <v>0</v>
      </c>
      <c r="BT36" s="357"/>
      <c r="BU36" s="357"/>
      <c r="BV36" s="358"/>
      <c r="BW36" s="359" t="str">
        <f t="shared" si="26"/>
        <v>开弈人力资源姜启志</v>
      </c>
      <c r="BX36" s="360"/>
      <c r="BY36" s="360" t="s">
        <v>259</v>
      </c>
      <c r="BZ36" s="360"/>
      <c r="CA36" s="360" t="str">
        <f>VLOOKUP(A36,hr.个税累计数据!C:C,1,0)</f>
        <v>开弈人力资源姜启志</v>
      </c>
      <c r="CB36" s="360" t="s">
        <v>329</v>
      </c>
      <c r="CC36" s="360"/>
      <c r="CD36" s="243" t="b">
        <f t="shared" si="27"/>
        <v>1</v>
      </c>
    </row>
    <row r="37" s="243" customFormat="1" ht="23" hidden="1" customHeight="1" spans="1:82">
      <c r="A37" s="343" t="str">
        <f t="shared" si="14"/>
        <v>开弈人力资源沈丽霞</v>
      </c>
      <c r="B37" s="343" t="s">
        <v>33</v>
      </c>
      <c r="C37" s="343" t="s">
        <v>61</v>
      </c>
      <c r="D37" s="343" t="s">
        <v>252</v>
      </c>
      <c r="E37" s="344" t="s">
        <v>305</v>
      </c>
      <c r="F37" s="343" t="s">
        <v>306</v>
      </c>
      <c r="G37" s="343" t="s">
        <v>255</v>
      </c>
      <c r="H37" s="343" t="s">
        <v>330</v>
      </c>
      <c r="I37" s="343" t="s">
        <v>330</v>
      </c>
      <c r="J37" s="343" t="s">
        <v>257</v>
      </c>
      <c r="K37" s="345">
        <f t="shared" si="15"/>
        <v>14917.57</v>
      </c>
      <c r="L37" s="346">
        <f t="shared" si="16"/>
        <v>10155.62</v>
      </c>
      <c r="M37"/>
      <c r="N37" s="347">
        <v>6</v>
      </c>
      <c r="O37" s="348">
        <v>11000</v>
      </c>
      <c r="P37" s="348">
        <v>838</v>
      </c>
      <c r="Q37" s="348">
        <f>VLOOKUP(I37,考勤调整记录!I:W,15,0)</f>
        <v>0</v>
      </c>
      <c r="R37" s="348"/>
      <c r="S37" s="348">
        <v>267.4</v>
      </c>
      <c r="T37" s="348"/>
      <c r="U37" s="349">
        <f t="shared" si="17"/>
        <v>12105.4</v>
      </c>
      <c r="V37" s="350"/>
      <c r="W37" s="350"/>
      <c r="X37" s="350"/>
      <c r="Y37" s="350"/>
      <c r="Z37" s="350"/>
      <c r="AA37" s="350"/>
      <c r="AB37" s="350"/>
      <c r="AC37" s="349">
        <f t="shared" si="18"/>
        <v>12105.4</v>
      </c>
      <c r="AD37" s="351"/>
      <c r="AE37" s="352">
        <v>202606</v>
      </c>
      <c r="AF37" s="348">
        <f>VLOOKUP(BW37,'HR|社保明细'!C:F,4,0)</f>
        <v>7460</v>
      </c>
      <c r="AG37" s="348">
        <f>VLOOKUP($BW37,'HR|社保明细'!$C:G,5,0)</f>
        <v>7384</v>
      </c>
      <c r="AH37" s="348">
        <f>VLOOKUP($BW37,'HR|社保明细'!$C:H,6,0)</f>
        <v>596.8</v>
      </c>
      <c r="AI37" s="348">
        <f>VLOOKUP($BW37,'HR|社保明细'!$C:I,7,0)</f>
        <v>149.2</v>
      </c>
      <c r="AJ37" s="348">
        <f>VLOOKUP($BW37,'HR|社保明细'!$C:J,8,0)</f>
        <v>37.3</v>
      </c>
      <c r="AK37" s="348">
        <f>VLOOKUP($BW37,'HR|社保明细'!$C:K,9,0)</f>
        <v>517</v>
      </c>
      <c r="AL37" s="353">
        <f>VLOOKUP($BW37,'HR|社保明细'!$C:L,10,0)</f>
        <v>369</v>
      </c>
      <c r="AM37" s="349">
        <f t="shared" si="19"/>
        <v>1669.3</v>
      </c>
      <c r="AN37" s="348">
        <v>2000</v>
      </c>
      <c r="AO37" s="348"/>
      <c r="AP37" s="348"/>
      <c r="AQ37" s="348">
        <v>3000</v>
      </c>
      <c r="AR37" s="348"/>
      <c r="AS37" s="348">
        <f t="shared" si="28"/>
        <v>5436.1</v>
      </c>
      <c r="AT37" s="354"/>
      <c r="AU37" s="355">
        <f>VLOOKUP(BW37,hr.个税累计数据!C:DS,121,0)</f>
        <v>81175.09</v>
      </c>
      <c r="AV37" s="348">
        <f>IF(AU37-5000*N37-VLOOKUP(A37,hr.个税累计数据!C:DT,122,0)-VLOOKUP(A37,hr.个税累计数据!C:DU,123,0)&gt;0,AU37-5000*N37-VLOOKUP(A37,hr.个税累计数据!C:DT,122,0)-VLOOKUP(A37,hr.个税累计数据!C:DU,123,0),0)</f>
        <v>11159.29</v>
      </c>
      <c r="AW37" s="348">
        <f>VLOOKUP(BW37,hr.个税累计数据!C:DV,124,0)</f>
        <v>321.7</v>
      </c>
      <c r="AX37" s="348">
        <v>0</v>
      </c>
      <c r="AY37" s="349">
        <f>IF(ROUND(MAX(AV37*{0.03,0.1,0.2,0.25,0.3,0.35,0.45}-{0,210,1410,2660,4410,7160,15160}*12)-AW37,2)&lt;=0,0,ROUND(MAX(AV37*{0.03,0.1,0.2,0.25,0.3,0.35,0.45}-{0,210,1410,2660,4410,7160,15160}*12)-AW37,2))</f>
        <v>13.08</v>
      </c>
      <c r="AZ37" s="348">
        <f t="shared" si="20"/>
        <v>-267.4</v>
      </c>
      <c r="BA37" s="348"/>
      <c r="BB37" s="348">
        <f t="shared" si="21"/>
        <v>10155.62</v>
      </c>
      <c r="BC37" s="353"/>
      <c r="BD37" s="349">
        <f t="shared" si="22"/>
        <v>10155.62</v>
      </c>
      <c r="BE37" s="356">
        <f>VLOOKUP($BW37,'HR|社保明细'!C:T,11,0)</f>
        <v>1193.6</v>
      </c>
      <c r="BF37" s="348">
        <f>VLOOKUP($BW37,'HR|社保明细'!$C:U,12,0)</f>
        <v>596.8</v>
      </c>
      <c r="BG37" s="348">
        <f>VLOOKUP($BW37,'HR|社保明细'!$C:V,13,0)</f>
        <v>37.3</v>
      </c>
      <c r="BH37" s="348">
        <f>VLOOKUP($BW37,'HR|社保明细'!$C:W,14,0)</f>
        <v>23.87</v>
      </c>
      <c r="BI37" s="348">
        <f>VLOOKUP($BW37,'HR|社保明细'!$C:X,15,0)</f>
        <v>74.6</v>
      </c>
      <c r="BJ37" s="348">
        <f>VLOOKUP($BW37,'HR|社保明细'!$C:Y,16,0)</f>
        <v>517</v>
      </c>
      <c r="BK37" s="353">
        <f>VLOOKUP($BW37,'HR|社保明细'!$C:Z,17,0)</f>
        <v>369</v>
      </c>
      <c r="BL37" s="349">
        <f t="shared" si="23"/>
        <v>2812.17</v>
      </c>
      <c r="BM37" s="354"/>
      <c r="BN37" s="350"/>
      <c r="BO37" s="350"/>
      <c r="BP37" s="350"/>
      <c r="BQ37" s="350"/>
      <c r="BR37" s="349">
        <f t="shared" si="24"/>
        <v>0</v>
      </c>
      <c r="BS37" s="349">
        <f t="shared" si="25"/>
        <v>0</v>
      </c>
      <c r="BT37" s="357">
        <v>1250</v>
      </c>
      <c r="BU37" s="357"/>
      <c r="BV37" s="358"/>
      <c r="BW37" s="359" t="str">
        <f t="shared" si="26"/>
        <v>开弈人力资源沈丽霞</v>
      </c>
      <c r="BX37" s="360"/>
      <c r="BY37" s="360" t="s">
        <v>273</v>
      </c>
      <c r="BZ37" s="360" t="s">
        <v>274</v>
      </c>
      <c r="CA37" s="360" t="str">
        <f>VLOOKUP(A37,hr.个税累计数据!C:C,1,0)</f>
        <v>开弈人力资源沈丽霞</v>
      </c>
      <c r="CB37" s="360" t="s">
        <v>331</v>
      </c>
      <c r="CC37" s="360" t="s">
        <v>273</v>
      </c>
      <c r="CD37" s="243" t="b">
        <f t="shared" si="27"/>
        <v>1</v>
      </c>
    </row>
    <row r="38" s="243" customFormat="1" ht="23" hidden="1" customHeight="1" spans="1:82">
      <c r="A38" s="343" t="str">
        <f t="shared" si="14"/>
        <v>开弈人力资源宋广忠</v>
      </c>
      <c r="B38" s="343" t="s">
        <v>37</v>
      </c>
      <c r="C38" s="343" t="s">
        <v>61</v>
      </c>
      <c r="D38" s="343" t="s">
        <v>252</v>
      </c>
      <c r="E38" s="344" t="s">
        <v>261</v>
      </c>
      <c r="F38" s="343" t="s">
        <v>262</v>
      </c>
      <c r="G38" s="343" t="s">
        <v>263</v>
      </c>
      <c r="H38" s="343" t="s">
        <v>332</v>
      </c>
      <c r="I38" s="343" t="s">
        <v>332</v>
      </c>
      <c r="J38" s="343" t="s">
        <v>265</v>
      </c>
      <c r="K38" s="345">
        <f t="shared" si="15"/>
        <v>5449.47</v>
      </c>
      <c r="L38" s="346">
        <f t="shared" si="16"/>
        <v>2740</v>
      </c>
      <c r="M38"/>
      <c r="N38" s="347">
        <v>6</v>
      </c>
      <c r="O38" s="348">
        <f t="shared" si="29"/>
        <v>3523.3</v>
      </c>
      <c r="P38" s="348"/>
      <c r="Q38" s="348"/>
      <c r="R38" s="348"/>
      <c r="S38" s="348"/>
      <c r="T38" s="348"/>
      <c r="U38" s="349">
        <f t="shared" si="17"/>
        <v>3523.3</v>
      </c>
      <c r="V38" s="350"/>
      <c r="W38" s="350"/>
      <c r="X38" s="350"/>
      <c r="Y38" s="350"/>
      <c r="Z38" s="350"/>
      <c r="AA38" s="350"/>
      <c r="AB38" s="350"/>
      <c r="AC38" s="349">
        <f t="shared" si="18"/>
        <v>3523.3</v>
      </c>
      <c r="AD38" s="351"/>
      <c r="AE38" s="352">
        <v>202606</v>
      </c>
      <c r="AF38" s="348">
        <f>VLOOKUP(BW38,'HR|社保明细'!C:F,4,0)</f>
        <v>7460</v>
      </c>
      <c r="AG38" s="348">
        <f>VLOOKUP($BW38,'HR|社保明细'!$C:G,5,0)</f>
        <v>0</v>
      </c>
      <c r="AH38" s="348">
        <f>VLOOKUP($BW38,'HR|社保明细'!$C:H,6,0)</f>
        <v>596.8</v>
      </c>
      <c r="AI38" s="348">
        <f>VLOOKUP($BW38,'HR|社保明细'!$C:I,7,0)</f>
        <v>149.2</v>
      </c>
      <c r="AJ38" s="348">
        <f>VLOOKUP($BW38,'HR|社保明细'!$C:J,8,0)</f>
        <v>37.3</v>
      </c>
      <c r="AK38" s="348">
        <f>VLOOKUP($BW38,'HR|社保明细'!$C:K,9,0)</f>
        <v>0</v>
      </c>
      <c r="AL38" s="353">
        <f>VLOOKUP($BW38,'HR|社保明细'!$C:L,10,0)</f>
        <v>0</v>
      </c>
      <c r="AM38" s="349">
        <f t="shared" si="19"/>
        <v>783.3</v>
      </c>
      <c r="AN38" s="348"/>
      <c r="AO38" s="348"/>
      <c r="AP38" s="348"/>
      <c r="AQ38" s="348"/>
      <c r="AR38" s="348"/>
      <c r="AS38" s="348">
        <f t="shared" si="28"/>
        <v>2740</v>
      </c>
      <c r="AT38" s="354"/>
      <c r="AU38" s="355">
        <f>VLOOKUP(BW38,hr.个税累计数据!C:DS,121,0)</f>
        <v>21139.8</v>
      </c>
      <c r="AV38" s="348">
        <f>IF(AU38-5000*N38-VLOOKUP(A38,hr.个税累计数据!C:DT,122,0)-VLOOKUP(A38,hr.个税累计数据!C:DU,123,0)&gt;0,AU38-5000*N38-VLOOKUP(A38,hr.个税累计数据!C:DT,122,0)-VLOOKUP(A38,hr.个税累计数据!C:DU,123,0),0)</f>
        <v>0</v>
      </c>
      <c r="AW38" s="348">
        <f>VLOOKUP(BW38,hr.个税累计数据!C:DV,124,0)</f>
        <v>0</v>
      </c>
      <c r="AX38" s="348"/>
      <c r="AY38" s="349">
        <f>IF(ROUND(MAX(AV38*{0.03,0.1,0.2,0.25,0.3,0.35,0.45}-{0,210,1410,2660,4410,7160,15160}*12)-AW38,2)&lt;=0,0,ROUND(MAX(AV38*{0.03,0.1,0.2,0.25,0.3,0.35,0.45}-{0,210,1410,2660,4410,7160,15160}*12)-AW38,2))</f>
        <v>0</v>
      </c>
      <c r="AZ38" s="348">
        <f t="shared" si="20"/>
        <v>0</v>
      </c>
      <c r="BA38" s="348"/>
      <c r="BB38" s="348">
        <f t="shared" si="21"/>
        <v>2740</v>
      </c>
      <c r="BC38" s="353"/>
      <c r="BD38" s="349">
        <f t="shared" si="22"/>
        <v>2740</v>
      </c>
      <c r="BE38" s="356">
        <f>VLOOKUP($BW38,'HR|社保明细'!C:T,11,0)</f>
        <v>1193.6</v>
      </c>
      <c r="BF38" s="348">
        <f>VLOOKUP($BW38,'HR|社保明细'!$C:U,12,0)</f>
        <v>596.8</v>
      </c>
      <c r="BG38" s="348">
        <f>VLOOKUP($BW38,'HR|社保明细'!$C:V,13,0)</f>
        <v>37.3</v>
      </c>
      <c r="BH38" s="348">
        <f>VLOOKUP($BW38,'HR|社保明细'!$C:W,14,0)</f>
        <v>23.87</v>
      </c>
      <c r="BI38" s="348">
        <f>VLOOKUP($BW38,'HR|社保明细'!$C:X,15,0)</f>
        <v>74.6</v>
      </c>
      <c r="BJ38" s="348">
        <f>VLOOKUP($BW38,'HR|社保明细'!$C:Y,16,0)</f>
        <v>0</v>
      </c>
      <c r="BK38" s="353">
        <f>VLOOKUP($BW38,'HR|社保明细'!$C:Z,17,0)</f>
        <v>0</v>
      </c>
      <c r="BL38" s="349">
        <f t="shared" si="23"/>
        <v>1926.17</v>
      </c>
      <c r="BM38" s="354"/>
      <c r="BN38" s="350"/>
      <c r="BO38" s="350"/>
      <c r="BP38" s="350"/>
      <c r="BQ38" s="350"/>
      <c r="BR38" s="349">
        <f t="shared" si="24"/>
        <v>0</v>
      </c>
      <c r="BS38" s="349">
        <f t="shared" si="25"/>
        <v>0</v>
      </c>
      <c r="BT38" s="357"/>
      <c r="BU38" s="357"/>
      <c r="BV38" s="358"/>
      <c r="BW38" s="359" t="str">
        <f t="shared" si="26"/>
        <v>开弈人力资源宋广忠</v>
      </c>
      <c r="BX38" s="360"/>
      <c r="BY38" s="360" t="s">
        <v>259</v>
      </c>
      <c r="BZ38" s="360"/>
      <c r="CA38" s="360" t="str">
        <f>VLOOKUP(A38,hr.个税累计数据!C:C,1,0)</f>
        <v>开弈人力资源宋广忠</v>
      </c>
      <c r="CB38" s="360" t="s">
        <v>333</v>
      </c>
      <c r="CC38" s="360"/>
      <c r="CD38" s="243" t="b">
        <f t="shared" si="27"/>
        <v>1</v>
      </c>
    </row>
    <row r="39" s="243" customFormat="1" ht="23" customHeight="1" spans="1:82">
      <c r="A39" s="343" t="str">
        <f t="shared" si="14"/>
        <v>开弈人力资源王倩</v>
      </c>
      <c r="B39" s="343" t="s">
        <v>31</v>
      </c>
      <c r="C39" s="343" t="s">
        <v>61</v>
      </c>
      <c r="D39" s="343" t="s">
        <v>267</v>
      </c>
      <c r="E39" s="344" t="s">
        <v>268</v>
      </c>
      <c r="F39" s="343" t="s">
        <v>134</v>
      </c>
      <c r="G39" s="343" t="s">
        <v>269</v>
      </c>
      <c r="H39" s="343" t="s">
        <v>270</v>
      </c>
      <c r="I39" s="343" t="s">
        <v>270</v>
      </c>
      <c r="J39" s="343" t="s">
        <v>271</v>
      </c>
      <c r="K39" s="345">
        <f t="shared" si="15"/>
        <v>1000</v>
      </c>
      <c r="L39" s="346">
        <f t="shared" si="16"/>
        <v>960</v>
      </c>
      <c r="M39"/>
      <c r="N39" s="347">
        <v>6</v>
      </c>
      <c r="O39" s="348">
        <v>1000</v>
      </c>
      <c r="P39" s="348"/>
      <c r="Q39" s="348"/>
      <c r="R39" s="348"/>
      <c r="S39" s="348"/>
      <c r="T39" s="348"/>
      <c r="U39" s="349">
        <f t="shared" si="17"/>
        <v>1000</v>
      </c>
      <c r="V39" s="350"/>
      <c r="W39" s="350"/>
      <c r="X39" s="350"/>
      <c r="Y39" s="350"/>
      <c r="Z39" s="350"/>
      <c r="AA39" s="350"/>
      <c r="AB39" s="350"/>
      <c r="AC39" s="349">
        <f t="shared" si="18"/>
        <v>1000</v>
      </c>
      <c r="AD39" s="351"/>
      <c r="AE39" s="352">
        <v>202606</v>
      </c>
      <c r="AF39" s="348">
        <f>VLOOKUP(BW39,'HR|社保明细'!C:F,4,0)</f>
        <v>0</v>
      </c>
      <c r="AG39" s="348">
        <f>VLOOKUP($BW39,'HR|社保明细'!$C:G,5,0)</f>
        <v>0</v>
      </c>
      <c r="AH39" s="348">
        <f>VLOOKUP($BW39,'HR|社保明细'!$C:H,6,0)</f>
        <v>0</v>
      </c>
      <c r="AI39" s="348">
        <f>VLOOKUP($BW39,'HR|社保明细'!$C:I,7,0)</f>
        <v>0</v>
      </c>
      <c r="AJ39" s="348">
        <f>VLOOKUP($BW39,'HR|社保明细'!$C:J,8,0)</f>
        <v>0</v>
      </c>
      <c r="AK39" s="348">
        <f>VLOOKUP($BW39,'HR|社保明细'!$C:K,9,0)</f>
        <v>0</v>
      </c>
      <c r="AL39" s="353">
        <f>VLOOKUP($BW39,'HR|社保明细'!$C:L,10,0)</f>
        <v>0</v>
      </c>
      <c r="AM39" s="349">
        <f t="shared" si="19"/>
        <v>0</v>
      </c>
      <c r="AN39" s="348"/>
      <c r="AO39" s="348"/>
      <c r="AP39" s="348"/>
      <c r="AQ39" s="348"/>
      <c r="AR39" s="348"/>
      <c r="AS39" s="348">
        <v>1000</v>
      </c>
      <c r="AT39" s="354"/>
      <c r="AU39" s="355">
        <f>VLOOKUP(BW39,hr.个税累计数据!C:DS,121,0)</f>
        <v>6000</v>
      </c>
      <c r="AV39" s="348">
        <f>IF(AU39-5000*N39-VLOOKUP(A39,hr.个税累计数据!C:DT,122,0)-VLOOKUP(A39,hr.个税累计数据!C:DU,123,0)&gt;0,AU39-5000*N39-VLOOKUP(A39,hr.个税累计数据!C:DT,122,0)-VLOOKUP(A39,hr.个税累计数据!C:DU,123,0),0)</f>
        <v>0</v>
      </c>
      <c r="AW39" s="348">
        <f>VLOOKUP(BW39,hr.个税累计数据!C:DV,124,0)</f>
        <v>200</v>
      </c>
      <c r="AX39" s="348"/>
      <c r="AY39" s="349">
        <f>IF(D39="国内不计税",0,IF(D39="正常计税",ROUND(MAX(AS39*{0.03,0.1,0.2,0.25,0.3,0.35,0.45}-{0,210,1410,2660,4410,7160,15160},0),2),IF(D39="外籍人",ROUND(MAX(AS39*{0.03,0.1,0.2,0.25,0.3,0.35,0.45}-{0,210,1410,2660,4410,7160,15160},0),2),ROUND(MAX((AS39-IF(AS39&lt;4000,800,AS39*0.2))*10%*{2,3,4}-1000*{0,2,7},0),2))))</f>
        <v>40</v>
      </c>
      <c r="AZ39" s="348">
        <f t="shared" si="20"/>
        <v>0</v>
      </c>
      <c r="BA39" s="348"/>
      <c r="BB39" s="348">
        <f t="shared" si="21"/>
        <v>960</v>
      </c>
      <c r="BC39" s="353"/>
      <c r="BD39" s="349">
        <f t="shared" si="22"/>
        <v>960</v>
      </c>
      <c r="BE39" s="356">
        <f>VLOOKUP($BW39,'HR|社保明细'!C:T,11,0)</f>
        <v>0</v>
      </c>
      <c r="BF39" s="348">
        <f>VLOOKUP($BW39,'HR|社保明细'!$C:U,12,0)</f>
        <v>0</v>
      </c>
      <c r="BG39" s="348">
        <f>VLOOKUP($BW39,'HR|社保明细'!$C:V,13,0)</f>
        <v>0</v>
      </c>
      <c r="BH39" s="348">
        <f>VLOOKUP($BW39,'HR|社保明细'!$C:W,14,0)</f>
        <v>0</v>
      </c>
      <c r="BI39" s="348">
        <f>VLOOKUP($BW39,'HR|社保明细'!$C:X,15,0)</f>
        <v>0</v>
      </c>
      <c r="BJ39" s="348">
        <f>VLOOKUP($BW39,'HR|社保明细'!$C:Y,16,0)</f>
        <v>0</v>
      </c>
      <c r="BK39" s="353">
        <f>VLOOKUP($BW39,'HR|社保明细'!$C:Z,17,0)</f>
        <v>0</v>
      </c>
      <c r="BL39" s="349">
        <f t="shared" si="23"/>
        <v>0</v>
      </c>
      <c r="BM39" s="354"/>
      <c r="BN39" s="350"/>
      <c r="BO39" s="350"/>
      <c r="BP39" s="350"/>
      <c r="BQ39" s="350"/>
      <c r="BR39" s="349">
        <f t="shared" si="24"/>
        <v>0</v>
      </c>
      <c r="BS39" s="349">
        <f t="shared" si="25"/>
        <v>0</v>
      </c>
      <c r="BT39" s="357"/>
      <c r="BU39" s="357"/>
      <c r="BV39" s="358"/>
      <c r="BW39" s="359" t="str">
        <f t="shared" si="26"/>
        <v>开弈人力资源王倩</v>
      </c>
      <c r="BX39" s="360" t="s">
        <v>258</v>
      </c>
      <c r="BY39" s="360" t="s">
        <v>259</v>
      </c>
      <c r="BZ39" s="360"/>
      <c r="CA39" s="360" t="str">
        <f>VLOOKUP(A39,hr.个税累计数据!C:C,1,0)</f>
        <v>开弈人力资源王倩</v>
      </c>
      <c r="CB39" s="360" t="s">
        <v>334</v>
      </c>
      <c r="CC39" s="360"/>
      <c r="CD39" s="243" t="b">
        <f t="shared" si="27"/>
        <v>1</v>
      </c>
    </row>
    <row r="40" s="243" customFormat="1" ht="23" hidden="1" customHeight="1" spans="1:82">
      <c r="A40" s="343" t="str">
        <f t="shared" si="14"/>
        <v>开弈人力资源徐丽红</v>
      </c>
      <c r="B40" s="343" t="s">
        <v>37</v>
      </c>
      <c r="C40" s="343" t="s">
        <v>61</v>
      </c>
      <c r="D40" s="343" t="s">
        <v>252</v>
      </c>
      <c r="E40" s="344" t="s">
        <v>261</v>
      </c>
      <c r="F40" s="343" t="s">
        <v>262</v>
      </c>
      <c r="G40" s="343" t="s">
        <v>263</v>
      </c>
      <c r="H40" s="343" t="s">
        <v>335</v>
      </c>
      <c r="I40" s="343" t="s">
        <v>335</v>
      </c>
      <c r="J40" s="343" t="s">
        <v>265</v>
      </c>
      <c r="K40" s="345">
        <f t="shared" si="15"/>
        <v>5449.47</v>
      </c>
      <c r="L40" s="346">
        <f t="shared" si="16"/>
        <v>2740</v>
      </c>
      <c r="M40"/>
      <c r="N40" s="347">
        <v>6</v>
      </c>
      <c r="O40" s="348">
        <f t="shared" si="29"/>
        <v>3523.3</v>
      </c>
      <c r="P40" s="348"/>
      <c r="Q40" s="348"/>
      <c r="R40" s="348"/>
      <c r="S40" s="348"/>
      <c r="T40" s="348"/>
      <c r="U40" s="349">
        <f t="shared" si="17"/>
        <v>3523.3</v>
      </c>
      <c r="V40" s="350"/>
      <c r="W40" s="350"/>
      <c r="X40" s="350"/>
      <c r="Y40" s="350"/>
      <c r="Z40" s="350"/>
      <c r="AA40" s="350"/>
      <c r="AB40" s="350"/>
      <c r="AC40" s="349">
        <f t="shared" si="18"/>
        <v>3523.3</v>
      </c>
      <c r="AD40" s="351"/>
      <c r="AE40" s="352">
        <v>202606</v>
      </c>
      <c r="AF40" s="348">
        <f>VLOOKUP(BW40,'HR|社保明细'!C:F,4,0)</f>
        <v>7460</v>
      </c>
      <c r="AG40" s="348">
        <f>VLOOKUP($BW40,'HR|社保明细'!$C:G,5,0)</f>
        <v>0</v>
      </c>
      <c r="AH40" s="348">
        <f>VLOOKUP($BW40,'HR|社保明细'!$C:H,6,0)</f>
        <v>596.8</v>
      </c>
      <c r="AI40" s="348">
        <f>VLOOKUP($BW40,'HR|社保明细'!$C:I,7,0)</f>
        <v>149.2</v>
      </c>
      <c r="AJ40" s="348">
        <f>VLOOKUP($BW40,'HR|社保明细'!$C:J,8,0)</f>
        <v>37.3</v>
      </c>
      <c r="AK40" s="348">
        <f>VLOOKUP($BW40,'HR|社保明细'!$C:K,9,0)</f>
        <v>0</v>
      </c>
      <c r="AL40" s="353">
        <f>VLOOKUP($BW40,'HR|社保明细'!$C:L,10,0)</f>
        <v>0</v>
      </c>
      <c r="AM40" s="349">
        <f t="shared" si="19"/>
        <v>783.3</v>
      </c>
      <c r="AN40" s="348"/>
      <c r="AO40" s="348"/>
      <c r="AP40" s="348"/>
      <c r="AQ40" s="348"/>
      <c r="AR40" s="348"/>
      <c r="AS40" s="348">
        <f t="shared" ref="AS40:AS48" si="30">AC40-AM40-SUM(AN40:AR40)</f>
        <v>2740</v>
      </c>
      <c r="AT40" s="354"/>
      <c r="AU40" s="355">
        <f>VLOOKUP(BW40,hr.个税累计数据!C:DS,121,0)</f>
        <v>21139.8</v>
      </c>
      <c r="AV40" s="348">
        <f>IF(AU40-5000*N40-VLOOKUP(A40,hr.个税累计数据!C:DT,122,0)-VLOOKUP(A40,hr.个税累计数据!C:DU,123,0)&gt;0,AU40-5000*N40-VLOOKUP(A40,hr.个税累计数据!C:DT,122,0)-VLOOKUP(A40,hr.个税累计数据!C:DU,123,0),0)</f>
        <v>0</v>
      </c>
      <c r="AW40" s="348">
        <f>VLOOKUP(BW40,hr.个税累计数据!C:DV,124,0)</f>
        <v>0</v>
      </c>
      <c r="AX40" s="348"/>
      <c r="AY40" s="349">
        <f>IF(ROUND(MAX(AV40*{0.03,0.1,0.2,0.25,0.3,0.35,0.45}-{0,210,1410,2660,4410,7160,15160}*12)-AW40,2)&lt;=0,0,ROUND(MAX(AV40*{0.03,0.1,0.2,0.25,0.3,0.35,0.45}-{0,210,1410,2660,4410,7160,15160}*12)-AW40,2))</f>
        <v>0</v>
      </c>
      <c r="AZ40" s="348">
        <f t="shared" si="20"/>
        <v>0</v>
      </c>
      <c r="BA40" s="348"/>
      <c r="BB40" s="348">
        <f t="shared" si="21"/>
        <v>2740</v>
      </c>
      <c r="BC40" s="353"/>
      <c r="BD40" s="349">
        <f t="shared" si="22"/>
        <v>2740</v>
      </c>
      <c r="BE40" s="356">
        <f>VLOOKUP($BW40,'HR|社保明细'!C:T,11,0)</f>
        <v>1193.6</v>
      </c>
      <c r="BF40" s="348">
        <f>VLOOKUP($BW40,'HR|社保明细'!$C:U,12,0)</f>
        <v>596.8</v>
      </c>
      <c r="BG40" s="348">
        <f>VLOOKUP($BW40,'HR|社保明细'!$C:V,13,0)</f>
        <v>37.3</v>
      </c>
      <c r="BH40" s="348">
        <f>VLOOKUP($BW40,'HR|社保明细'!$C:W,14,0)</f>
        <v>23.87</v>
      </c>
      <c r="BI40" s="348">
        <f>VLOOKUP($BW40,'HR|社保明细'!$C:X,15,0)</f>
        <v>74.6</v>
      </c>
      <c r="BJ40" s="348">
        <f>VLOOKUP($BW40,'HR|社保明细'!$C:Y,16,0)</f>
        <v>0</v>
      </c>
      <c r="BK40" s="353">
        <f>VLOOKUP($BW40,'HR|社保明细'!$C:Z,17,0)</f>
        <v>0</v>
      </c>
      <c r="BL40" s="349">
        <f t="shared" si="23"/>
        <v>1926.17</v>
      </c>
      <c r="BM40" s="354"/>
      <c r="BN40" s="350"/>
      <c r="BO40" s="350"/>
      <c r="BP40" s="350"/>
      <c r="BQ40" s="350"/>
      <c r="BR40" s="349">
        <f t="shared" si="24"/>
        <v>0</v>
      </c>
      <c r="BS40" s="349">
        <f t="shared" si="25"/>
        <v>0</v>
      </c>
      <c r="BT40" s="357"/>
      <c r="BU40" s="357"/>
      <c r="BV40" s="358"/>
      <c r="BW40" s="359" t="str">
        <f t="shared" si="26"/>
        <v>开弈人力资源徐丽红</v>
      </c>
      <c r="BX40" s="360"/>
      <c r="BY40" s="360" t="s">
        <v>259</v>
      </c>
      <c r="BZ40" s="360"/>
      <c r="CA40" s="360" t="str">
        <f>VLOOKUP(A40,hr.个税累计数据!C:C,1,0)</f>
        <v>开弈人力资源徐丽红</v>
      </c>
      <c r="CB40" s="360" t="s">
        <v>336</v>
      </c>
      <c r="CC40" s="360"/>
      <c r="CD40" s="243" t="b">
        <f t="shared" si="27"/>
        <v>1</v>
      </c>
    </row>
    <row r="41" s="243" customFormat="1" ht="23" hidden="1" customHeight="1" spans="1:82">
      <c r="A41" s="343" t="str">
        <f t="shared" si="14"/>
        <v>开弈人力资源杨漾</v>
      </c>
      <c r="B41" s="343" t="s">
        <v>33</v>
      </c>
      <c r="C41" s="343" t="s">
        <v>61</v>
      </c>
      <c r="D41" s="343" t="s">
        <v>252</v>
      </c>
      <c r="E41" s="344" t="s">
        <v>305</v>
      </c>
      <c r="F41" s="343" t="s">
        <v>121</v>
      </c>
      <c r="G41" s="343" t="s">
        <v>337</v>
      </c>
      <c r="H41" s="343" t="s">
        <v>306</v>
      </c>
      <c r="I41" s="343" t="s">
        <v>306</v>
      </c>
      <c r="J41" s="343" t="s">
        <v>257</v>
      </c>
      <c r="K41" s="345">
        <f t="shared" si="15"/>
        <v>24199.8</v>
      </c>
      <c r="L41" s="346">
        <f t="shared" si="16"/>
        <v>16995.22</v>
      </c>
      <c r="M41"/>
      <c r="N41" s="347">
        <v>6</v>
      </c>
      <c r="O41" s="348">
        <v>20000</v>
      </c>
      <c r="P41" s="348">
        <v>262</v>
      </c>
      <c r="Q41" s="348">
        <f>VLOOKUP(I41,考勤调整记录!I:W,15,0)</f>
        <v>0</v>
      </c>
      <c r="R41" s="348"/>
      <c r="S41" s="348">
        <v>155.8</v>
      </c>
      <c r="T41" s="348"/>
      <c r="U41" s="349">
        <f t="shared" si="17"/>
        <v>20417.8</v>
      </c>
      <c r="V41" s="350"/>
      <c r="W41" s="350"/>
      <c r="X41" s="350"/>
      <c r="Y41" s="350"/>
      <c r="Z41" s="350"/>
      <c r="AA41" s="350"/>
      <c r="AB41" s="350"/>
      <c r="AC41" s="349">
        <f t="shared" si="18"/>
        <v>20417.8</v>
      </c>
      <c r="AD41" s="351"/>
      <c r="AE41" s="352">
        <v>202606</v>
      </c>
      <c r="AF41" s="348">
        <f>VLOOKUP(BW41,'HR|社保明细'!C:F,4,0)</f>
        <v>10000</v>
      </c>
      <c r="AG41" s="348">
        <f>VLOOKUP($BW41,'HR|社保明细'!$C:G,5,0)</f>
        <v>10000</v>
      </c>
      <c r="AH41" s="348">
        <f>VLOOKUP($BW41,'HR|社保明细'!$C:H,6,0)</f>
        <v>800</v>
      </c>
      <c r="AI41" s="348">
        <f>VLOOKUP($BW41,'HR|社保明细'!$C:I,7,0)</f>
        <v>200</v>
      </c>
      <c r="AJ41" s="348">
        <f>VLOOKUP($BW41,'HR|社保明细'!$C:J,8,0)</f>
        <v>50</v>
      </c>
      <c r="AK41" s="348">
        <f>VLOOKUP($BW41,'HR|社保明细'!$C:K,9,0)</f>
        <v>700</v>
      </c>
      <c r="AL41" s="353">
        <f>VLOOKUP($BW41,'HR|社保明细'!$C:L,10,0)</f>
        <v>500</v>
      </c>
      <c r="AM41" s="349">
        <f t="shared" si="19"/>
        <v>2250</v>
      </c>
      <c r="AN41" s="348"/>
      <c r="AO41" s="348"/>
      <c r="AP41" s="348"/>
      <c r="AQ41" s="348">
        <v>3000</v>
      </c>
      <c r="AR41" s="348"/>
      <c r="AS41" s="348">
        <f t="shared" si="30"/>
        <v>15167.8</v>
      </c>
      <c r="AT41" s="354"/>
      <c r="AU41" s="355">
        <f>VLOOKUP(BW41,hr.个税累计数据!C:DS,121,0)</f>
        <v>143768.79</v>
      </c>
      <c r="AV41" s="348">
        <f>IF(AU41-5000*N41-VLOOKUP(A41,hr.个税累计数据!C:DT,122,0)-VLOOKUP(A41,hr.个税累计数据!C:DU,123,0)&gt;0,AU41-5000*N41-VLOOKUP(A41,hr.个税累计数据!C:DT,122,0)-VLOOKUP(A41,hr.个税累计数据!C:DU,123,0),0)</f>
        <v>82268.79</v>
      </c>
      <c r="AW41" s="348">
        <f>VLOOKUP(BW41,hr.个税累计数据!C:DV,124,0)</f>
        <v>4690.1</v>
      </c>
      <c r="AX41" s="348"/>
      <c r="AY41" s="349">
        <f>IF(ROUND(MAX(AV41*{0.03,0.1,0.2,0.25,0.3,0.35,0.45}-{0,210,1410,2660,4410,7160,15160}*12)-AW41,2)&lt;=0,0,ROUND(MAX(AV41*{0.03,0.1,0.2,0.25,0.3,0.35,0.45}-{0,210,1410,2660,4410,7160,15160}*12)-AW41,2))</f>
        <v>1016.78</v>
      </c>
      <c r="AZ41" s="348">
        <f t="shared" si="20"/>
        <v>-155.8</v>
      </c>
      <c r="BA41" s="348"/>
      <c r="BB41" s="348">
        <f t="shared" si="21"/>
        <v>16995.22</v>
      </c>
      <c r="BC41" s="353"/>
      <c r="BD41" s="349">
        <f t="shared" si="22"/>
        <v>16995.22</v>
      </c>
      <c r="BE41" s="356">
        <f>VLOOKUP($BW41,'HR|社保明细'!C:T,11,0)</f>
        <v>1600</v>
      </c>
      <c r="BF41" s="348">
        <f>VLOOKUP($BW41,'HR|社保明细'!$C:U,12,0)</f>
        <v>800</v>
      </c>
      <c r="BG41" s="348">
        <f>VLOOKUP($BW41,'HR|社保明细'!$C:V,13,0)</f>
        <v>50</v>
      </c>
      <c r="BH41" s="348">
        <f>VLOOKUP($BW41,'HR|社保明细'!$C:W,14,0)</f>
        <v>32</v>
      </c>
      <c r="BI41" s="348">
        <f>VLOOKUP($BW41,'HR|社保明细'!$C:X,15,0)</f>
        <v>100</v>
      </c>
      <c r="BJ41" s="348">
        <f>VLOOKUP($BW41,'HR|社保明细'!$C:Y,16,0)</f>
        <v>700</v>
      </c>
      <c r="BK41" s="353">
        <f>VLOOKUP($BW41,'HR|社保明细'!$C:Z,17,0)</f>
        <v>500</v>
      </c>
      <c r="BL41" s="349">
        <f t="shared" si="23"/>
        <v>3782</v>
      </c>
      <c r="BM41" s="354"/>
      <c r="BN41" s="350"/>
      <c r="BO41" s="350"/>
      <c r="BP41" s="350"/>
      <c r="BQ41" s="350"/>
      <c r="BR41" s="349">
        <f t="shared" si="24"/>
        <v>0</v>
      </c>
      <c r="BS41" s="349">
        <f t="shared" si="25"/>
        <v>0</v>
      </c>
      <c r="BT41" s="357">
        <v>1250</v>
      </c>
      <c r="BU41" s="357"/>
      <c r="BV41" s="358"/>
      <c r="BW41" s="359" t="str">
        <f t="shared" si="26"/>
        <v>开弈人力资源杨漾</v>
      </c>
      <c r="BX41" s="360"/>
      <c r="BY41" s="360" t="s">
        <v>273</v>
      </c>
      <c r="BZ41" s="360" t="s">
        <v>274</v>
      </c>
      <c r="CA41" s="360" t="str">
        <f>VLOOKUP(A41,hr.个税累计数据!C:C,1,0)</f>
        <v>开弈人力资源杨漾</v>
      </c>
      <c r="CB41" s="360" t="s">
        <v>338</v>
      </c>
      <c r="CC41" s="360" t="s">
        <v>273</v>
      </c>
      <c r="CD41" s="243" t="b">
        <f t="shared" si="27"/>
        <v>1</v>
      </c>
    </row>
    <row r="42" s="243" customFormat="1" ht="23" hidden="1" customHeight="1" spans="1:82">
      <c r="A42" s="343" t="str">
        <f t="shared" si="14"/>
        <v>开弈人才张祥</v>
      </c>
      <c r="B42" s="343" t="s">
        <v>35</v>
      </c>
      <c r="C42" s="343" t="s">
        <v>60</v>
      </c>
      <c r="D42" s="343" t="s">
        <v>252</v>
      </c>
      <c r="E42" s="344" t="s">
        <v>302</v>
      </c>
      <c r="F42" s="343" t="s">
        <v>262</v>
      </c>
      <c r="G42" s="343" t="s">
        <v>323</v>
      </c>
      <c r="H42" s="343" t="s">
        <v>339</v>
      </c>
      <c r="I42" s="343" t="s">
        <v>339</v>
      </c>
      <c r="J42" s="343" t="s">
        <v>257</v>
      </c>
      <c r="K42" s="345">
        <f t="shared" si="15"/>
        <v>11474.83</v>
      </c>
      <c r="L42" s="346">
        <f t="shared" si="16"/>
        <v>7493.62</v>
      </c>
      <c r="M42"/>
      <c r="N42" s="347">
        <v>6</v>
      </c>
      <c r="O42" s="348">
        <v>9000</v>
      </c>
      <c r="P42" s="348"/>
      <c r="Q42" s="348">
        <f>VLOOKUP(I42,考勤调整记录!I:W,15,0)</f>
        <v>-124.14</v>
      </c>
      <c r="R42" s="348"/>
      <c r="S42" s="348">
        <v>155.8</v>
      </c>
      <c r="T42" s="348"/>
      <c r="U42" s="349">
        <f t="shared" si="17"/>
        <v>9031.66</v>
      </c>
      <c r="V42" s="350"/>
      <c r="W42" s="350"/>
      <c r="X42" s="350"/>
      <c r="Y42" s="350"/>
      <c r="Z42" s="350"/>
      <c r="AA42" s="350"/>
      <c r="AB42" s="350"/>
      <c r="AC42" s="349">
        <f t="shared" si="18"/>
        <v>9031.66</v>
      </c>
      <c r="AD42" s="351"/>
      <c r="AE42" s="352">
        <v>202606</v>
      </c>
      <c r="AF42" s="348">
        <f>VLOOKUP(BW42,'HR|社保明细'!C:F,4,0)</f>
        <v>7460</v>
      </c>
      <c r="AG42" s="348">
        <f>VLOOKUP($BW42,'HR|社保明细'!$C:G,5,0)</f>
        <v>7384</v>
      </c>
      <c r="AH42" s="348">
        <f>VLOOKUP($BW42,'HR|社保明细'!$C:H,6,0)</f>
        <v>596.8</v>
      </c>
      <c r="AI42" s="348">
        <f>VLOOKUP($BW42,'HR|社保明细'!$C:I,7,0)</f>
        <v>149.2</v>
      </c>
      <c r="AJ42" s="348">
        <f>VLOOKUP($BW42,'HR|社保明细'!$C:J,8,0)</f>
        <v>37.3</v>
      </c>
      <c r="AK42" s="348">
        <f>VLOOKUP($BW42,'HR|社保明细'!$C:K,9,0)</f>
        <v>517</v>
      </c>
      <c r="AL42" s="353">
        <f>VLOOKUP($BW42,'HR|社保明细'!$C:L,10,0)</f>
        <v>0</v>
      </c>
      <c r="AM42" s="349">
        <f t="shared" si="19"/>
        <v>1300.3</v>
      </c>
      <c r="AN42" s="348"/>
      <c r="AO42" s="348"/>
      <c r="AP42" s="348"/>
      <c r="AQ42" s="348"/>
      <c r="AR42" s="348"/>
      <c r="AS42" s="348">
        <f t="shared" si="30"/>
        <v>7731.36</v>
      </c>
      <c r="AT42" s="354"/>
      <c r="AU42" s="355">
        <f>VLOOKUP(BW42,hr.个税累计数据!C:DS,121,0)</f>
        <v>59074.01</v>
      </c>
      <c r="AV42" s="348">
        <f>IF(AU42-5000*N42-VLOOKUP(A42,hr.个税累计数据!C:DT,122,0)-VLOOKUP(A42,hr.个税累计数据!C:DU,123,0)&gt;0,AU42-5000*N42-VLOOKUP(A42,hr.个税累计数据!C:DT,122,0)-VLOOKUP(A42,hr.个税累计数据!C:DU,123,0),0)</f>
        <v>21272.21</v>
      </c>
      <c r="AW42" s="348">
        <f>VLOOKUP(BW42,hr.个税累计数据!C:DV,124,0)</f>
        <v>556.23</v>
      </c>
      <c r="AX42" s="348"/>
      <c r="AY42" s="349">
        <f>IF(ROUND(MAX(AV42*{0.03,0.1,0.2,0.25,0.3,0.35,0.45}-{0,210,1410,2660,4410,7160,15160}*12)-AW42,2)&lt;=0,0,ROUND(MAX(AV42*{0.03,0.1,0.2,0.25,0.3,0.35,0.45}-{0,210,1410,2660,4410,7160,15160}*12)-AW42,2))</f>
        <v>81.94</v>
      </c>
      <c r="AZ42" s="348">
        <f t="shared" si="20"/>
        <v>-155.8</v>
      </c>
      <c r="BA42" s="348"/>
      <c r="BB42" s="348">
        <f t="shared" si="21"/>
        <v>7493.62</v>
      </c>
      <c r="BC42" s="353"/>
      <c r="BD42" s="349">
        <f t="shared" si="22"/>
        <v>7493.62</v>
      </c>
      <c r="BE42" s="356">
        <f>VLOOKUP($BW42,'HR|社保明细'!C:T,11,0)</f>
        <v>1193.6</v>
      </c>
      <c r="BF42" s="348">
        <f>VLOOKUP($BW42,'HR|社保明细'!$C:U,12,0)</f>
        <v>596.8</v>
      </c>
      <c r="BG42" s="348">
        <f>VLOOKUP($BW42,'HR|社保明细'!$C:V,13,0)</f>
        <v>37.3</v>
      </c>
      <c r="BH42" s="348">
        <f>VLOOKUP($BW42,'HR|社保明细'!$C:W,14,0)</f>
        <v>23.87</v>
      </c>
      <c r="BI42" s="348">
        <f>VLOOKUP($BW42,'HR|社保明细'!$C:X,15,0)</f>
        <v>74.6</v>
      </c>
      <c r="BJ42" s="348">
        <f>VLOOKUP($BW42,'HR|社保明细'!$C:Y,16,0)</f>
        <v>517</v>
      </c>
      <c r="BK42" s="353">
        <f>VLOOKUP($BW42,'HR|社保明细'!$C:Z,17,0)</f>
        <v>0</v>
      </c>
      <c r="BL42" s="349">
        <f t="shared" si="23"/>
        <v>2443.17</v>
      </c>
      <c r="BM42" s="354"/>
      <c r="BN42" s="350"/>
      <c r="BO42" s="350"/>
      <c r="BP42" s="350"/>
      <c r="BQ42" s="350"/>
      <c r="BR42" s="349">
        <f t="shared" si="24"/>
        <v>0</v>
      </c>
      <c r="BS42" s="349">
        <f t="shared" si="25"/>
        <v>0</v>
      </c>
      <c r="BT42" s="357">
        <v>1250</v>
      </c>
      <c r="BU42" s="357"/>
      <c r="BV42" s="358"/>
      <c r="BW42" s="359" t="str">
        <f t="shared" si="26"/>
        <v>开弈人才张祥</v>
      </c>
      <c r="BX42" s="360"/>
      <c r="BY42" s="360" t="s">
        <v>273</v>
      </c>
      <c r="BZ42" s="360" t="s">
        <v>274</v>
      </c>
      <c r="CA42" s="360" t="str">
        <f>VLOOKUP(A42,hr.个税累计数据!C:C,1,0)</f>
        <v>开弈人才张祥</v>
      </c>
      <c r="CB42" s="360" t="s">
        <v>340</v>
      </c>
      <c r="CC42" s="360" t="s">
        <v>273</v>
      </c>
      <c r="CD42" s="243" t="b">
        <f t="shared" si="27"/>
        <v>1</v>
      </c>
    </row>
    <row r="43" s="243" customFormat="1" ht="23" hidden="1" customHeight="1" spans="1:82">
      <c r="A43" s="343" t="str">
        <f t="shared" si="14"/>
        <v>开弈投资韩燕</v>
      </c>
      <c r="B43" s="343" t="s">
        <v>29</v>
      </c>
      <c r="C43" s="343" t="s">
        <v>71</v>
      </c>
      <c r="D43" s="343" t="s">
        <v>252</v>
      </c>
      <c r="E43" s="344" t="s">
        <v>318</v>
      </c>
      <c r="F43" s="343" t="s">
        <v>341</v>
      </c>
      <c r="G43" s="343" t="s">
        <v>342</v>
      </c>
      <c r="H43" s="343" t="s">
        <v>343</v>
      </c>
      <c r="I43" s="343" t="s">
        <v>343</v>
      </c>
      <c r="J43" s="343" t="s">
        <v>257</v>
      </c>
      <c r="K43" s="345">
        <f t="shared" si="15"/>
        <v>12869.62</v>
      </c>
      <c r="L43" s="346">
        <f t="shared" si="16"/>
        <v>8129.7</v>
      </c>
      <c r="M43"/>
      <c r="N43" s="347">
        <v>6</v>
      </c>
      <c r="O43" s="361">
        <v>10000</v>
      </c>
      <c r="P43" s="348">
        <v>170</v>
      </c>
      <c r="Q43" s="348">
        <f>VLOOKUP(I43,考勤调整记录!I:W,15,0)</f>
        <v>0</v>
      </c>
      <c r="R43" s="348"/>
      <c r="S43" s="348">
        <v>267.4</v>
      </c>
      <c r="T43" s="348"/>
      <c r="U43" s="349">
        <f t="shared" si="17"/>
        <v>10437.4</v>
      </c>
      <c r="V43" s="350"/>
      <c r="W43" s="350">
        <f>ROUND((O43)*(0.9629-1),2)</f>
        <v>-371</v>
      </c>
      <c r="X43" s="350"/>
      <c r="Y43" s="350"/>
      <c r="Z43" s="350"/>
      <c r="AA43" s="350"/>
      <c r="AB43" s="350"/>
      <c r="AC43" s="349">
        <f t="shared" si="18"/>
        <v>10066.4</v>
      </c>
      <c r="AD43" s="351"/>
      <c r="AE43" s="352">
        <v>202606</v>
      </c>
      <c r="AF43" s="348">
        <f>VLOOKUP(BW43,'HR|社保明细'!C:F,4,0)</f>
        <v>7460</v>
      </c>
      <c r="AG43" s="348">
        <f>VLOOKUP($BW43,'HR|社保明细'!$C:G,5,0)</f>
        <v>7384</v>
      </c>
      <c r="AH43" s="348">
        <f>VLOOKUP($BW43,'HR|社保明细'!$C:H,6,0)</f>
        <v>596.8</v>
      </c>
      <c r="AI43" s="348">
        <f>VLOOKUP($BW43,'HR|社保明细'!$C:I,7,0)</f>
        <v>149.2</v>
      </c>
      <c r="AJ43" s="348">
        <f>VLOOKUP($BW43,'HR|社保明细'!$C:J,8,0)</f>
        <v>37.3</v>
      </c>
      <c r="AK43" s="348">
        <f>VLOOKUP($BW43,'HR|社保明细'!$C:K,9,0)</f>
        <v>517</v>
      </c>
      <c r="AL43" s="353">
        <f>VLOOKUP($BW43,'HR|社保明细'!$C:L,10,0)</f>
        <v>369</v>
      </c>
      <c r="AM43" s="349">
        <f t="shared" si="19"/>
        <v>1669.3</v>
      </c>
      <c r="AN43" s="348"/>
      <c r="AO43" s="348"/>
      <c r="AP43" s="348"/>
      <c r="AQ43" s="348">
        <v>3000</v>
      </c>
      <c r="AR43" s="348"/>
      <c r="AS43" s="348">
        <f t="shared" si="30"/>
        <v>5397.1</v>
      </c>
      <c r="AT43" s="354"/>
      <c r="AU43" s="355">
        <f>VLOOKUP(BW43,hr.个税累计数据!C:DS,121,0)</f>
        <v>61411.31</v>
      </c>
      <c r="AV43" s="348">
        <f>IF(AU43-5000*N43-VLOOKUP(A43,hr.个税累计数据!C:DT,122,0)-VLOOKUP(A43,hr.个税累计数据!C:DU,123,0)&gt;0,AU43-5000*N43-VLOOKUP(A43,hr.个税累计数据!C:DT,122,0)-VLOOKUP(A43,hr.个税累计数据!C:DU,123,0),0)</f>
        <v>0</v>
      </c>
      <c r="AW43" s="348">
        <f>VLOOKUP(BW43,hr.个税累计数据!C:DV,124,0)</f>
        <v>0</v>
      </c>
      <c r="AX43" s="348"/>
      <c r="AY43" s="349">
        <f>IF(ROUND(MAX(AV43*{0.03,0.1,0.2,0.25,0.3,0.35,0.45}-{0,210,1410,2660,4410,7160,15160}*12)-AW43,2)&lt;=0,0,ROUND(MAX(AV43*{0.03,0.1,0.2,0.25,0.3,0.35,0.45}-{0,210,1410,2660,4410,7160,15160}*12)-AW43,2))</f>
        <v>0</v>
      </c>
      <c r="AZ43" s="348">
        <f t="shared" si="20"/>
        <v>-267.4</v>
      </c>
      <c r="BA43" s="348"/>
      <c r="BB43" s="348">
        <f t="shared" si="21"/>
        <v>8129.7</v>
      </c>
      <c r="BC43" s="353"/>
      <c r="BD43" s="349">
        <f t="shared" si="22"/>
        <v>8129.7</v>
      </c>
      <c r="BE43" s="356">
        <f>VLOOKUP($BW43,'HR|社保明细'!C:T,11,0)</f>
        <v>1193.6</v>
      </c>
      <c r="BF43" s="348">
        <f>VLOOKUP($BW43,'HR|社保明细'!$C:U,12,0)</f>
        <v>596.8</v>
      </c>
      <c r="BG43" s="348">
        <f>VLOOKUP($BW43,'HR|社保明细'!$C:V,13,0)</f>
        <v>37.3</v>
      </c>
      <c r="BH43" s="348">
        <f>VLOOKUP($BW43,'HR|社保明细'!$C:W,14,0)</f>
        <v>14.92</v>
      </c>
      <c r="BI43" s="348">
        <f>VLOOKUP($BW43,'HR|社保明细'!$C:X,15,0)</f>
        <v>74.6</v>
      </c>
      <c r="BJ43" s="348">
        <f>VLOOKUP($BW43,'HR|社保明细'!$C:Y,16,0)</f>
        <v>517</v>
      </c>
      <c r="BK43" s="353">
        <f>VLOOKUP($BW43,'HR|社保明细'!$C:Z,17,0)</f>
        <v>369</v>
      </c>
      <c r="BL43" s="349">
        <f t="shared" si="23"/>
        <v>2803.22</v>
      </c>
      <c r="BM43" s="354"/>
      <c r="BN43" s="350"/>
      <c r="BO43" s="350"/>
      <c r="BP43" s="350"/>
      <c r="BQ43" s="350"/>
      <c r="BR43" s="349">
        <f t="shared" si="24"/>
        <v>0</v>
      </c>
      <c r="BS43" s="349">
        <f t="shared" si="25"/>
        <v>-371</v>
      </c>
      <c r="BT43" s="357">
        <v>1250</v>
      </c>
      <c r="BU43" s="357"/>
      <c r="BV43" s="358"/>
      <c r="BW43" s="359" t="str">
        <f t="shared" si="26"/>
        <v>开弈投资韩燕</v>
      </c>
      <c r="BX43" s="360"/>
      <c r="BY43" s="360" t="s">
        <v>273</v>
      </c>
      <c r="BZ43" s="360" t="s">
        <v>321</v>
      </c>
      <c r="CA43" s="360" t="str">
        <f>VLOOKUP(A43,hr.个税累计数据!C:C,1,0)</f>
        <v>开弈投资韩燕</v>
      </c>
      <c r="CB43" s="360" t="s">
        <v>344</v>
      </c>
      <c r="CC43" s="360" t="s">
        <v>273</v>
      </c>
      <c r="CD43" s="243" t="b">
        <f t="shared" si="27"/>
        <v>1</v>
      </c>
    </row>
    <row r="44" s="243" customFormat="1" ht="23" hidden="1" customHeight="1" spans="1:82">
      <c r="A44" s="343" t="str">
        <f t="shared" si="14"/>
        <v>开弈投资金学忠</v>
      </c>
      <c r="B44" s="343" t="s">
        <v>50</v>
      </c>
      <c r="C44" s="343" t="s">
        <v>71</v>
      </c>
      <c r="D44" s="343" t="s">
        <v>252</v>
      </c>
      <c r="E44" s="344" t="s">
        <v>50</v>
      </c>
      <c r="F44" s="343" t="s">
        <v>345</v>
      </c>
      <c r="G44" s="343" t="s">
        <v>346</v>
      </c>
      <c r="H44" s="343" t="s">
        <v>347</v>
      </c>
      <c r="I44" s="343" t="s">
        <v>347</v>
      </c>
      <c r="J44" s="343" t="s">
        <v>348</v>
      </c>
      <c r="K44" s="345">
        <f t="shared" si="15"/>
        <v>12421.8</v>
      </c>
      <c r="L44" s="346">
        <f t="shared" si="16"/>
        <v>8147.82</v>
      </c>
      <c r="M44"/>
      <c r="N44" s="347">
        <v>6</v>
      </c>
      <c r="O44" s="348">
        <v>9350</v>
      </c>
      <c r="P44" s="348"/>
      <c r="Q44" s="348">
        <f>VLOOKUP(I44,考勤调整记录!I:W,15,0)</f>
        <v>0</v>
      </c>
      <c r="R44" s="348"/>
      <c r="S44" s="348">
        <v>155.8</v>
      </c>
      <c r="T44" s="348"/>
      <c r="U44" s="349">
        <f t="shared" si="17"/>
        <v>9505.8</v>
      </c>
      <c r="V44" s="350"/>
      <c r="W44" s="350"/>
      <c r="X44" s="350"/>
      <c r="Y44" s="350">
        <v>300</v>
      </c>
      <c r="Z44" s="350"/>
      <c r="AA44" s="350"/>
      <c r="AB44" s="350"/>
      <c r="AC44" s="349">
        <f t="shared" si="18"/>
        <v>9805.8</v>
      </c>
      <c r="AD44" s="351"/>
      <c r="AE44" s="352">
        <v>202606</v>
      </c>
      <c r="AF44" s="348">
        <f>VLOOKUP(BW44,'HR|社保明细'!C:F,4,0)</f>
        <v>8000</v>
      </c>
      <c r="AG44" s="348">
        <f>VLOOKUP($BW44,'HR|社保明细'!$C:G,5,0)</f>
        <v>8000</v>
      </c>
      <c r="AH44" s="348">
        <f>VLOOKUP($BW44,'HR|社保明细'!$C:H,6,0)</f>
        <v>640</v>
      </c>
      <c r="AI44" s="348">
        <f>VLOOKUP($BW44,'HR|社保明细'!$C:I,7,0)</f>
        <v>160</v>
      </c>
      <c r="AJ44" s="348">
        <f>VLOOKUP($BW44,'HR|社保明细'!$C:J,8,0)</f>
        <v>40</v>
      </c>
      <c r="AK44" s="348">
        <f>VLOOKUP($BW44,'HR|社保明细'!$C:K,9,0)</f>
        <v>560</v>
      </c>
      <c r="AL44" s="353">
        <f>VLOOKUP($BW44,'HR|社保明细'!$C:L,10,0)</f>
        <v>0</v>
      </c>
      <c r="AM44" s="349">
        <f t="shared" si="19"/>
        <v>1400</v>
      </c>
      <c r="AN44" s="348"/>
      <c r="AO44" s="348"/>
      <c r="AP44" s="348"/>
      <c r="AQ44" s="348"/>
      <c r="AR44" s="348"/>
      <c r="AS44" s="348">
        <f t="shared" si="30"/>
        <v>8405.8</v>
      </c>
      <c r="AT44" s="354"/>
      <c r="AU44" s="355">
        <f>VLOOKUP(BW44,hr.个税累计数据!C:DS,121,0)</f>
        <v>60648.54</v>
      </c>
      <c r="AV44" s="348">
        <f>IF(AU44-5000*N44-VLOOKUP(A44,hr.个税累计数据!C:DT,122,0)-VLOOKUP(A44,hr.个税累计数据!C:DU,123,0)&gt;0,AU44-5000*N44-VLOOKUP(A44,hr.个税累计数据!C:DT,122,0)-VLOOKUP(A44,hr.个税累计数据!C:DU,123,0),0)</f>
        <v>22248.54</v>
      </c>
      <c r="AW44" s="348">
        <f>VLOOKUP(BW44,hr.个税累计数据!C:DV,124,0)</f>
        <v>565.28</v>
      </c>
      <c r="AX44" s="348"/>
      <c r="AY44" s="349">
        <f>IF(ROUND(MAX(AV44*{0.03,0.1,0.2,0.25,0.3,0.35,0.45}-{0,210,1410,2660,4410,7160,15160}*12)-AW44,2)&lt;=0,0,ROUND(MAX(AV44*{0.03,0.1,0.2,0.25,0.3,0.35,0.45}-{0,210,1410,2660,4410,7160,15160}*12)-AW44,2))</f>
        <v>102.18</v>
      </c>
      <c r="AZ44" s="348">
        <f t="shared" si="20"/>
        <v>-155.8</v>
      </c>
      <c r="BA44" s="348"/>
      <c r="BB44" s="348">
        <f t="shared" si="21"/>
        <v>8147.82</v>
      </c>
      <c r="BC44" s="353"/>
      <c r="BD44" s="349">
        <f t="shared" si="22"/>
        <v>8147.82</v>
      </c>
      <c r="BE44" s="356">
        <f>VLOOKUP($BW44,'HR|社保明细'!C:T,11,0)</f>
        <v>1280</v>
      </c>
      <c r="BF44" s="348">
        <f>VLOOKUP($BW44,'HR|社保明细'!$C:U,12,0)</f>
        <v>640</v>
      </c>
      <c r="BG44" s="348">
        <f>VLOOKUP($BW44,'HR|社保明细'!$C:V,13,0)</f>
        <v>40</v>
      </c>
      <c r="BH44" s="348">
        <f>VLOOKUP($BW44,'HR|社保明细'!$C:W,14,0)</f>
        <v>16</v>
      </c>
      <c r="BI44" s="348">
        <f>VLOOKUP($BW44,'HR|社保明细'!$C:X,15,0)</f>
        <v>80</v>
      </c>
      <c r="BJ44" s="348">
        <f>VLOOKUP($BW44,'HR|社保明细'!$C:Y,16,0)</f>
        <v>560</v>
      </c>
      <c r="BK44" s="353">
        <f>VLOOKUP($BW44,'HR|社保明细'!$C:Z,17,0)</f>
        <v>0</v>
      </c>
      <c r="BL44" s="349">
        <f t="shared" si="23"/>
        <v>2616</v>
      </c>
      <c r="BM44" s="354"/>
      <c r="BN44" s="350"/>
      <c r="BO44" s="350"/>
      <c r="BP44" s="350"/>
      <c r="BQ44" s="350"/>
      <c r="BR44" s="349">
        <f t="shared" si="24"/>
        <v>0</v>
      </c>
      <c r="BS44" s="349">
        <f t="shared" si="25"/>
        <v>300</v>
      </c>
      <c r="BT44" s="357">
        <v>1250</v>
      </c>
      <c r="BU44" s="357"/>
      <c r="BV44" s="358"/>
      <c r="BW44" s="359" t="str">
        <f t="shared" si="26"/>
        <v>开弈投资金学忠</v>
      </c>
      <c r="BX44" s="360"/>
      <c r="BY44" s="360" t="s">
        <v>273</v>
      </c>
      <c r="BZ44" s="360" t="s">
        <v>48</v>
      </c>
      <c r="CA44" s="360" t="str">
        <f>VLOOKUP(A44,hr.个税累计数据!C:C,1,0)</f>
        <v>开弈投资金学忠</v>
      </c>
      <c r="CB44" s="360" t="s">
        <v>349</v>
      </c>
      <c r="CC44" s="360" t="s">
        <v>273</v>
      </c>
      <c r="CD44" s="243" t="b">
        <f t="shared" si="27"/>
        <v>1</v>
      </c>
    </row>
    <row r="45" s="243" customFormat="1" ht="23" hidden="1" customHeight="1" spans="1:82">
      <c r="A45" s="343" t="str">
        <f t="shared" si="14"/>
        <v>开弈投资韩喆</v>
      </c>
      <c r="B45" s="343" t="s">
        <v>41</v>
      </c>
      <c r="C45" s="343" t="s">
        <v>71</v>
      </c>
      <c r="D45" s="343" t="s">
        <v>267</v>
      </c>
      <c r="E45" s="344" t="s">
        <v>350</v>
      </c>
      <c r="F45" s="343" t="s">
        <v>134</v>
      </c>
      <c r="G45" s="343" t="s">
        <v>351</v>
      </c>
      <c r="H45" s="343" t="s">
        <v>352</v>
      </c>
      <c r="I45" s="343" t="s">
        <v>352</v>
      </c>
      <c r="J45" s="343" t="s">
        <v>271</v>
      </c>
      <c r="K45" s="345">
        <f t="shared" si="15"/>
        <v>24285.28</v>
      </c>
      <c r="L45" s="346">
        <f t="shared" si="16"/>
        <v>20399.64</v>
      </c>
      <c r="M45"/>
      <c r="N45" s="347">
        <v>6</v>
      </c>
      <c r="O45" s="348">
        <v>50000</v>
      </c>
      <c r="P45" s="348"/>
      <c r="Q45" s="348">
        <f>VLOOKUP(I45,考勤调整记录!I:W,15,0)</f>
        <v>-22988.51</v>
      </c>
      <c r="R45" s="348"/>
      <c r="S45" s="348"/>
      <c r="T45" s="348"/>
      <c r="U45" s="349">
        <f t="shared" si="17"/>
        <v>27011.49</v>
      </c>
      <c r="V45" s="350"/>
      <c r="W45" s="350">
        <v>-2726.21</v>
      </c>
      <c r="X45" s="350"/>
      <c r="Y45" s="350"/>
      <c r="Z45" s="350"/>
      <c r="AA45" s="350"/>
      <c r="AB45" s="350"/>
      <c r="AC45" s="349">
        <f t="shared" si="18"/>
        <v>24285.28</v>
      </c>
      <c r="AD45" s="351"/>
      <c r="AE45" s="352">
        <v>202606</v>
      </c>
      <c r="AF45" s="348">
        <f>VLOOKUP(BW45,'HR|社保明细'!C:F,4,0)</f>
        <v>0</v>
      </c>
      <c r="AG45" s="348">
        <f>VLOOKUP($BW45,'HR|社保明细'!$C:G,5,0)</f>
        <v>0</v>
      </c>
      <c r="AH45" s="348">
        <f>VLOOKUP($BW45,'HR|社保明细'!$C:H,6,0)</f>
        <v>0</v>
      </c>
      <c r="AI45" s="348">
        <f>VLOOKUP($BW45,'HR|社保明细'!$C:I,7,0)</f>
        <v>0</v>
      </c>
      <c r="AJ45" s="348">
        <f>VLOOKUP($BW45,'HR|社保明细'!$C:J,8,0)</f>
        <v>0</v>
      </c>
      <c r="AK45" s="348">
        <f>VLOOKUP($BW45,'HR|社保明细'!$C:K,9,0)</f>
        <v>0</v>
      </c>
      <c r="AL45" s="353">
        <f>VLOOKUP($BW45,'HR|社保明细'!$C:L,10,0)</f>
        <v>0</v>
      </c>
      <c r="AM45" s="349">
        <f t="shared" si="19"/>
        <v>0</v>
      </c>
      <c r="AN45" s="348"/>
      <c r="AO45" s="348"/>
      <c r="AP45" s="348"/>
      <c r="AQ45" s="348"/>
      <c r="AR45" s="348"/>
      <c r="AS45" s="348">
        <f t="shared" si="30"/>
        <v>24285.28</v>
      </c>
      <c r="AT45" s="354"/>
      <c r="AU45" s="355">
        <f>VLOOKUP(BW45,hr.个税累计数据!C:DS,121,0)</f>
        <v>246445.34</v>
      </c>
      <c r="AV45" s="348">
        <f>IF(AU45-5000*N45-VLOOKUP(A45,hr.个税累计数据!C:DT,122,0)-VLOOKUP(A45,hr.个税累计数据!C:DU,123,0)&gt;0,AU45-5000*N45-VLOOKUP(A45,hr.个税累计数据!C:DT,122,0)-VLOOKUP(A45,hr.个税累计数据!C:DU,123,0),0)</f>
        <v>216445.34</v>
      </c>
      <c r="AW45" s="348">
        <f>VLOOKUP(BW45,hr.个税累计数据!C:DV,124,0)</f>
        <v>52484.57</v>
      </c>
      <c r="AX45" s="348"/>
      <c r="AY45" s="349" cm="1">
        <f t="array" ref="AY45">IF(D45="国内不计税",0,IF(D45="正常计税",ROUND(MAX(AS45*{0.03,0.1,0.2,0.25,0.3,0.35,0.45}-{0,210,1410,2660,4410,7160,15160},0),2),IF(D45="外籍人",ROUND(MAX(AS45*{0.03,0.1,0.2,0.25,0.3,0.35,0.45}-{0,210,1410,2660,4410,7160,15160},0),2),ROUND(MAX((AS45-IF(AS45&lt;4000,800,AS45*0.2))*10%*{2,3,4}-1000*{0,2,7},0),2))))</f>
        <v>3885.64</v>
      </c>
      <c r="AZ45" s="348">
        <f t="shared" si="20"/>
        <v>0</v>
      </c>
      <c r="BA45" s="348"/>
      <c r="BB45" s="348">
        <f t="shared" si="21"/>
        <v>20399.64</v>
      </c>
      <c r="BC45" s="353"/>
      <c r="BD45" s="349">
        <f t="shared" si="22"/>
        <v>20399.64</v>
      </c>
      <c r="BE45" s="356">
        <f>VLOOKUP($BW45,'HR|社保明细'!C:T,11,0)</f>
        <v>0</v>
      </c>
      <c r="BF45" s="348">
        <f>VLOOKUP($BW45,'HR|社保明细'!$C:U,12,0)</f>
        <v>0</v>
      </c>
      <c r="BG45" s="348">
        <f>VLOOKUP($BW45,'HR|社保明细'!$C:V,13,0)</f>
        <v>0</v>
      </c>
      <c r="BH45" s="348">
        <f>VLOOKUP($BW45,'HR|社保明细'!$C:W,14,0)</f>
        <v>0</v>
      </c>
      <c r="BI45" s="348">
        <f>VLOOKUP($BW45,'HR|社保明细'!$C:X,15,0)</f>
        <v>0</v>
      </c>
      <c r="BJ45" s="348">
        <f>VLOOKUP($BW45,'HR|社保明细'!$C:Y,16,0)</f>
        <v>0</v>
      </c>
      <c r="BK45" s="353">
        <f>VLOOKUP($BW45,'HR|社保明细'!$C:Z,17,0)</f>
        <v>0</v>
      </c>
      <c r="BL45" s="349">
        <f t="shared" si="23"/>
        <v>0</v>
      </c>
      <c r="BM45" s="354"/>
      <c r="BN45" s="350"/>
      <c r="BO45" s="350"/>
      <c r="BP45" s="350"/>
      <c r="BQ45" s="350"/>
      <c r="BR45" s="349">
        <f t="shared" si="24"/>
        <v>0</v>
      </c>
      <c r="BS45" s="349">
        <f t="shared" si="25"/>
        <v>-2726.21</v>
      </c>
      <c r="BT45" s="357">
        <v>1250</v>
      </c>
      <c r="BU45" s="357"/>
      <c r="BV45" s="358"/>
      <c r="BW45" s="359" t="str">
        <f t="shared" si="26"/>
        <v>开弈投资韩喆</v>
      </c>
      <c r="BX45" s="360"/>
      <c r="BY45" s="360" t="s">
        <v>259</v>
      </c>
      <c r="BZ45" s="360" t="s">
        <v>353</v>
      </c>
      <c r="CA45" s="360" t="str">
        <f>VLOOKUP(A45,hr.个税累计数据!C:C,1,0)</f>
        <v>开弈投资韩喆</v>
      </c>
      <c r="CB45" s="360" t="s">
        <v>354</v>
      </c>
      <c r="CC45" s="360"/>
      <c r="CD45" s="243" t="b">
        <f t="shared" si="27"/>
        <v>1</v>
      </c>
    </row>
    <row r="46" s="243" customFormat="1" ht="23" customHeight="1" spans="1:82">
      <c r="A46" s="343" t="str">
        <f t="shared" si="14"/>
        <v>开弈投资李佳</v>
      </c>
      <c r="B46" s="343" t="s">
        <v>30</v>
      </c>
      <c r="C46" s="343" t="s">
        <v>71</v>
      </c>
      <c r="D46" s="343" t="s">
        <v>252</v>
      </c>
      <c r="E46" s="344" t="s">
        <v>355</v>
      </c>
      <c r="F46" s="343" t="s">
        <v>270</v>
      </c>
      <c r="G46" s="343" t="s">
        <v>356</v>
      </c>
      <c r="H46" s="343" t="s">
        <v>357</v>
      </c>
      <c r="I46" s="343" t="s">
        <v>357</v>
      </c>
      <c r="J46" s="343" t="s">
        <v>257</v>
      </c>
      <c r="K46" s="345">
        <f t="shared" si="15"/>
        <v>11204.28</v>
      </c>
      <c r="L46" s="346">
        <f t="shared" si="16"/>
        <v>6268.28</v>
      </c>
      <c r="M46"/>
      <c r="N46" s="347">
        <v>6</v>
      </c>
      <c r="O46" s="348">
        <v>8200</v>
      </c>
      <c r="P46" s="348"/>
      <c r="Q46" s="348">
        <f>VLOOKUP(I46,考勤调整记录!I:W,15,0)</f>
        <v>0</v>
      </c>
      <c r="R46" s="348"/>
      <c r="S46" s="348">
        <v>267.4</v>
      </c>
      <c r="T46" s="348"/>
      <c r="U46" s="349">
        <f t="shared" si="17"/>
        <v>8467.4</v>
      </c>
      <c r="V46" s="350"/>
      <c r="W46" s="350">
        <f>ROUND((O46)*(0.9629-1),2)</f>
        <v>-304.22</v>
      </c>
      <c r="X46" s="350"/>
      <c r="Y46" s="350"/>
      <c r="Z46" s="350"/>
      <c r="AA46" s="350"/>
      <c r="AB46" s="350"/>
      <c r="AC46" s="349">
        <f t="shared" si="18"/>
        <v>8163.18</v>
      </c>
      <c r="AD46" s="351"/>
      <c r="AE46" s="352">
        <v>202606</v>
      </c>
      <c r="AF46" s="348">
        <f>VLOOKUP(BW46,'HR|社保明细'!C:F,4,0)</f>
        <v>9300</v>
      </c>
      <c r="AG46" s="348">
        <f>VLOOKUP($BW46,'HR|社保明细'!$C:G,5,0)</f>
        <v>9300</v>
      </c>
      <c r="AH46" s="348">
        <f>VLOOKUP($BW46,'HR|社保明细'!$C:H,6,0)</f>
        <v>744</v>
      </c>
      <c r="AI46" s="348">
        <f>VLOOKUP($BW46,'HR|社保明细'!$C:I,7,0)</f>
        <v>186</v>
      </c>
      <c r="AJ46" s="348">
        <f>VLOOKUP($BW46,'HR|社保明细'!$C:J,8,0)</f>
        <v>46.5</v>
      </c>
      <c r="AK46" s="348">
        <f>VLOOKUP($BW46,'HR|社保明细'!$C:K,9,0)</f>
        <v>651</v>
      </c>
      <c r="AL46" s="353">
        <f>VLOOKUP($BW46,'HR|社保明细'!$C:L,10,0)</f>
        <v>0</v>
      </c>
      <c r="AM46" s="349">
        <f t="shared" si="19"/>
        <v>1627.5</v>
      </c>
      <c r="AN46" s="348"/>
      <c r="AO46" s="348"/>
      <c r="AP46" s="348">
        <v>1500</v>
      </c>
      <c r="AQ46" s="348">
        <v>3000</v>
      </c>
      <c r="AR46" s="348"/>
      <c r="AS46" s="348">
        <f t="shared" si="30"/>
        <v>2035.68</v>
      </c>
      <c r="AT46" s="354"/>
      <c r="AU46" s="355">
        <f>VLOOKUP(BW46,hr.个税累计数据!C:DS,121,0)</f>
        <v>46340.34</v>
      </c>
      <c r="AV46" s="348">
        <f>IF(AU46-5000*N46-VLOOKUP(A46,hr.个税累计数据!C:DT,122,0)-VLOOKUP(A46,hr.个税累计数据!C:DU,123,0)&gt;0,AU46-5000*N46-VLOOKUP(A46,hr.个税累计数据!C:DT,122,0)-VLOOKUP(A46,hr.个税累计数据!C:DU,123,0),0)</f>
        <v>0</v>
      </c>
      <c r="AW46" s="348">
        <f>VLOOKUP(BW46,hr.个税累计数据!C:DV,124,0)</f>
        <v>0</v>
      </c>
      <c r="AX46" s="348"/>
      <c r="AY46" s="349">
        <f>IF(ROUND(MAX(AV46*{0.03,0.1,0.2,0.25,0.3,0.35,0.45}-{0,210,1410,2660,4410,7160,15160}*12)-AW46,2)&lt;=0,0,ROUND(MAX(AV46*{0.03,0.1,0.2,0.25,0.3,0.35,0.45}-{0,210,1410,2660,4410,7160,15160}*12)-AW46,2))</f>
        <v>0</v>
      </c>
      <c r="AZ46" s="348">
        <f t="shared" si="20"/>
        <v>-267.4</v>
      </c>
      <c r="BA46" s="348"/>
      <c r="BB46" s="348">
        <f t="shared" si="21"/>
        <v>6268.28</v>
      </c>
      <c r="BC46" s="353"/>
      <c r="BD46" s="349">
        <f t="shared" si="22"/>
        <v>6268.28</v>
      </c>
      <c r="BE46" s="356">
        <f>VLOOKUP($BW46,'HR|社保明细'!C:T,11,0)</f>
        <v>1488</v>
      </c>
      <c r="BF46" s="348">
        <f>VLOOKUP($BW46,'HR|社保明细'!$C:U,12,0)</f>
        <v>744</v>
      </c>
      <c r="BG46" s="348">
        <f>VLOOKUP($BW46,'HR|社保明细'!$C:V,13,0)</f>
        <v>46.5</v>
      </c>
      <c r="BH46" s="348">
        <f>VLOOKUP($BW46,'HR|社保明细'!$C:W,14,0)</f>
        <v>18.6</v>
      </c>
      <c r="BI46" s="348">
        <f>VLOOKUP($BW46,'HR|社保明细'!$C:X,15,0)</f>
        <v>93</v>
      </c>
      <c r="BJ46" s="348">
        <f>VLOOKUP($BW46,'HR|社保明细'!$C:Y,16,0)</f>
        <v>651</v>
      </c>
      <c r="BK46" s="353">
        <f>VLOOKUP($BW46,'HR|社保明细'!$C:Z,17,0)</f>
        <v>0</v>
      </c>
      <c r="BL46" s="349">
        <f t="shared" si="23"/>
        <v>3041.1</v>
      </c>
      <c r="BM46" s="354"/>
      <c r="BN46" s="350"/>
      <c r="BO46" s="350"/>
      <c r="BP46" s="350"/>
      <c r="BQ46" s="350"/>
      <c r="BR46" s="349">
        <f t="shared" si="24"/>
        <v>0</v>
      </c>
      <c r="BS46" s="349">
        <f t="shared" si="25"/>
        <v>-304.22</v>
      </c>
      <c r="BT46" s="357">
        <v>1250</v>
      </c>
      <c r="BU46" s="357"/>
      <c r="BV46" s="358"/>
      <c r="BW46" s="359" t="str">
        <f t="shared" si="26"/>
        <v>开弈投资李佳</v>
      </c>
      <c r="BX46" s="360"/>
      <c r="BY46" s="360" t="s">
        <v>273</v>
      </c>
      <c r="BZ46" s="360" t="s">
        <v>321</v>
      </c>
      <c r="CA46" s="360" t="str">
        <f>VLOOKUP(A46,hr.个税累计数据!C:C,1,0)</f>
        <v>开弈投资李佳</v>
      </c>
      <c r="CB46" s="360" t="s">
        <v>358</v>
      </c>
      <c r="CC46" s="360" t="s">
        <v>273</v>
      </c>
      <c r="CD46" s="243" t="b">
        <f t="shared" si="27"/>
        <v>1</v>
      </c>
    </row>
    <row r="47" s="243" customFormat="1" ht="23" customHeight="1" spans="1:82">
      <c r="A47" s="343" t="str">
        <f t="shared" si="14"/>
        <v>开弈投资周凯楠</v>
      </c>
      <c r="B47" s="343" t="s">
        <v>43</v>
      </c>
      <c r="C47" s="343" t="s">
        <v>71</v>
      </c>
      <c r="D47" s="343" t="s">
        <v>252</v>
      </c>
      <c r="E47" s="344" t="s">
        <v>359</v>
      </c>
      <c r="F47" s="343" t="s">
        <v>341</v>
      </c>
      <c r="G47" s="343" t="s">
        <v>360</v>
      </c>
      <c r="H47" s="343" t="s">
        <v>361</v>
      </c>
      <c r="I47" s="343" t="s">
        <v>361</v>
      </c>
      <c r="J47" s="343" t="s">
        <v>257</v>
      </c>
      <c r="K47" s="345">
        <f t="shared" si="15"/>
        <v>8848.87</v>
      </c>
      <c r="L47" s="346">
        <f t="shared" si="16"/>
        <v>4958.55</v>
      </c>
      <c r="M47"/>
      <c r="N47" s="347">
        <v>6</v>
      </c>
      <c r="O47" s="348">
        <f>6500</f>
        <v>6500</v>
      </c>
      <c r="P47" s="348"/>
      <c r="Q47" s="348">
        <f>VLOOKUP(I47,考勤调整记录!I:W,15,0)</f>
        <v>0</v>
      </c>
      <c r="R47" s="348"/>
      <c r="S47" s="348">
        <v>155.8</v>
      </c>
      <c r="T47" s="348"/>
      <c r="U47" s="349">
        <f t="shared" si="17"/>
        <v>6655.8</v>
      </c>
      <c r="V47" s="350"/>
      <c r="W47" s="350">
        <v>-241.15</v>
      </c>
      <c r="X47" s="350"/>
      <c r="Y47" s="350"/>
      <c r="Z47" s="350"/>
      <c r="AA47" s="350"/>
      <c r="AB47" s="350"/>
      <c r="AC47" s="349">
        <f t="shared" si="18"/>
        <v>6414.65</v>
      </c>
      <c r="AD47" s="351"/>
      <c r="AE47" s="352">
        <v>202606</v>
      </c>
      <c r="AF47" s="348">
        <f>VLOOKUP(BW47,'HR|社保明细'!C:F,4,0)</f>
        <v>7460</v>
      </c>
      <c r="AG47" s="348">
        <f>VLOOKUP($BW47,'HR|社保明细'!$C:G,5,0)</f>
        <v>7384</v>
      </c>
      <c r="AH47" s="348">
        <f>VLOOKUP($BW47,'HR|社保明细'!$C:H,6,0)</f>
        <v>596.8</v>
      </c>
      <c r="AI47" s="348">
        <f>VLOOKUP($BW47,'HR|社保明细'!$C:I,7,0)</f>
        <v>149.2</v>
      </c>
      <c r="AJ47" s="348">
        <f>VLOOKUP($BW47,'HR|社保明细'!$C:J,8,0)</f>
        <v>37.3</v>
      </c>
      <c r="AK47" s="348">
        <f>VLOOKUP($BW47,'HR|社保明细'!$C:K,9,0)</f>
        <v>517</v>
      </c>
      <c r="AL47" s="353">
        <f>VLOOKUP($BW47,'HR|社保明细'!$C:L,10,0)</f>
        <v>0</v>
      </c>
      <c r="AM47" s="349">
        <f t="shared" si="19"/>
        <v>1300.3</v>
      </c>
      <c r="AN47" s="348"/>
      <c r="AO47" s="348"/>
      <c r="AP47" s="348"/>
      <c r="AQ47" s="348"/>
      <c r="AR47" s="348"/>
      <c r="AS47" s="348">
        <f t="shared" si="30"/>
        <v>5114.35</v>
      </c>
      <c r="AT47" s="354"/>
      <c r="AU47" s="355">
        <f>VLOOKUP(BW47,hr.个税累计数据!C:DS,121,0)</f>
        <v>36351.12</v>
      </c>
      <c r="AV47" s="348">
        <f>IF(AU47-5000*N47-VLOOKUP(A47,hr.个税累计数据!C:DT,122,0)-VLOOKUP(A47,hr.个税累计数据!C:DU,123,0)&gt;0,AU47-5000*N47-VLOOKUP(A47,hr.个税累计数据!C:DT,122,0)-VLOOKUP(A47,hr.个税累计数据!C:DU,123,0),0)</f>
        <v>0</v>
      </c>
      <c r="AW47" s="348">
        <f>VLOOKUP(BW47,hr.个税累计数据!C:DV,124,0)</f>
        <v>10.34</v>
      </c>
      <c r="AX47" s="348"/>
      <c r="AY47" s="349">
        <f>IF(ROUND(MAX(AV47*{0.03,0.1,0.2,0.25,0.3,0.35,0.45}-{0,210,1410,2660,4410,7160,15160}*12)-AW47,2)&lt;=0,0,ROUND(MAX(AV47*{0.03,0.1,0.2,0.25,0.3,0.35,0.45}-{0,210,1410,2660,4410,7160,15160}*12)-AW47,2))</f>
        <v>0</v>
      </c>
      <c r="AZ47" s="348">
        <f t="shared" si="20"/>
        <v>-155.8</v>
      </c>
      <c r="BA47" s="348"/>
      <c r="BB47" s="348">
        <f t="shared" si="21"/>
        <v>4958.55</v>
      </c>
      <c r="BC47" s="353"/>
      <c r="BD47" s="349">
        <f t="shared" si="22"/>
        <v>4958.55</v>
      </c>
      <c r="BE47" s="356">
        <f>VLOOKUP($BW47,'HR|社保明细'!C:T,11,0)</f>
        <v>1193.6</v>
      </c>
      <c r="BF47" s="348">
        <f>VLOOKUP($BW47,'HR|社保明细'!$C:U,12,0)</f>
        <v>596.8</v>
      </c>
      <c r="BG47" s="348">
        <f>VLOOKUP($BW47,'HR|社保明细'!$C:V,13,0)</f>
        <v>37.3</v>
      </c>
      <c r="BH47" s="348">
        <f>VLOOKUP($BW47,'HR|社保明细'!$C:W,14,0)</f>
        <v>14.92</v>
      </c>
      <c r="BI47" s="348">
        <f>VLOOKUP($BW47,'HR|社保明细'!$C:X,15,0)</f>
        <v>74.6</v>
      </c>
      <c r="BJ47" s="348">
        <f>VLOOKUP($BW47,'HR|社保明细'!$C:Y,16,0)</f>
        <v>517</v>
      </c>
      <c r="BK47" s="353">
        <f>VLOOKUP($BW47,'HR|社保明细'!$C:Z,17,0)</f>
        <v>0</v>
      </c>
      <c r="BL47" s="349">
        <f t="shared" si="23"/>
        <v>2434.22</v>
      </c>
      <c r="BM47" s="354"/>
      <c r="BN47" s="350"/>
      <c r="BO47" s="350"/>
      <c r="BP47" s="350"/>
      <c r="BQ47" s="350"/>
      <c r="BR47" s="349">
        <f t="shared" si="24"/>
        <v>0</v>
      </c>
      <c r="BS47" s="349">
        <f t="shared" si="25"/>
        <v>-241.15</v>
      </c>
      <c r="BT47" s="357">
        <v>1250</v>
      </c>
      <c r="BU47" s="357"/>
      <c r="BV47" s="358"/>
      <c r="BW47" s="359" t="str">
        <f t="shared" si="26"/>
        <v>开弈投资周凯楠</v>
      </c>
      <c r="BX47" s="360"/>
      <c r="BY47" s="360" t="s">
        <v>273</v>
      </c>
      <c r="BZ47" s="360" t="s">
        <v>321</v>
      </c>
      <c r="CA47" s="360" t="str">
        <f>VLOOKUP(A47,hr.个税累计数据!C:C,1,0)</f>
        <v>开弈投资周凯楠</v>
      </c>
      <c r="CB47" s="360" t="s">
        <v>362</v>
      </c>
      <c r="CC47" s="360" t="s">
        <v>273</v>
      </c>
      <c r="CD47" s="243" t="b">
        <f t="shared" si="27"/>
        <v>1</v>
      </c>
    </row>
    <row r="48" s="243" customFormat="1" ht="23" hidden="1" customHeight="1" spans="1:82">
      <c r="A48" s="343" t="str">
        <f t="shared" si="14"/>
        <v>老龙馄饨-灵工谢志毅</v>
      </c>
      <c r="B48" s="343" t="s">
        <v>47</v>
      </c>
      <c r="C48" s="343" t="s">
        <v>79</v>
      </c>
      <c r="D48" s="343" t="s">
        <v>252</v>
      </c>
      <c r="E48" s="344" t="s">
        <v>47</v>
      </c>
      <c r="F48" s="343" t="s">
        <v>341</v>
      </c>
      <c r="G48" s="343" t="s">
        <v>363</v>
      </c>
      <c r="H48" s="343" t="s">
        <v>364</v>
      </c>
      <c r="I48" s="343" t="s">
        <v>364</v>
      </c>
      <c r="J48" s="343" t="s">
        <v>257</v>
      </c>
      <c r="K48" s="345">
        <f t="shared" si="15"/>
        <v>13873.6</v>
      </c>
      <c r="L48" s="346">
        <f t="shared" si="16"/>
        <v>12838</v>
      </c>
      <c r="M48"/>
      <c r="N48" s="347">
        <v>6</v>
      </c>
      <c r="O48" s="348">
        <v>13873.6</v>
      </c>
      <c r="P48" s="348"/>
      <c r="Q48" s="348">
        <f>VLOOKUP(I48,考勤调整记录!I:W,15,0)</f>
        <v>0</v>
      </c>
      <c r="R48" s="348"/>
      <c r="S48" s="348"/>
      <c r="T48" s="348"/>
      <c r="U48" s="349">
        <f t="shared" si="17"/>
        <v>13873.6</v>
      </c>
      <c r="V48" s="350"/>
      <c r="W48" s="350"/>
      <c r="X48" s="350"/>
      <c r="Y48" s="350"/>
      <c r="Z48" s="350"/>
      <c r="AA48" s="350"/>
      <c r="AB48" s="350"/>
      <c r="AC48" s="349">
        <f t="shared" si="18"/>
        <v>13873.6</v>
      </c>
      <c r="AD48" s="351"/>
      <c r="AE48" s="352">
        <v>202606</v>
      </c>
      <c r="AF48" s="348"/>
      <c r="AG48" s="348"/>
      <c r="AH48" s="348"/>
      <c r="AI48" s="348"/>
      <c r="AJ48" s="348"/>
      <c r="AK48" s="348"/>
      <c r="AL48" s="353"/>
      <c r="AM48" s="349">
        <f t="shared" si="19"/>
        <v>0</v>
      </c>
      <c r="AN48" s="348"/>
      <c r="AO48" s="348"/>
      <c r="AP48" s="348"/>
      <c r="AQ48" s="348"/>
      <c r="AR48" s="348"/>
      <c r="AS48" s="348"/>
      <c r="AT48" s="354"/>
      <c r="AU48" s="355"/>
      <c r="AV48" s="348"/>
      <c r="AW48" s="348"/>
      <c r="AX48" s="348"/>
      <c r="AY48" s="349">
        <f>873.6+162</f>
        <v>1035.6</v>
      </c>
      <c r="AZ48" s="348">
        <f t="shared" si="20"/>
        <v>0</v>
      </c>
      <c r="BA48" s="348"/>
      <c r="BB48" s="348">
        <f t="shared" si="21"/>
        <v>12838</v>
      </c>
      <c r="BC48" s="353"/>
      <c r="BD48" s="349">
        <f t="shared" si="22"/>
        <v>12838</v>
      </c>
      <c r="BE48" s="356"/>
      <c r="BF48" s="348"/>
      <c r="BG48" s="348"/>
      <c r="BH48" s="348"/>
      <c r="BI48" s="348"/>
      <c r="BJ48" s="348"/>
      <c r="BK48" s="353"/>
      <c r="BL48" s="349">
        <f t="shared" si="23"/>
        <v>0</v>
      </c>
      <c r="BM48" s="354"/>
      <c r="BN48" s="350"/>
      <c r="BO48" s="350"/>
      <c r="BP48" s="350"/>
      <c r="BQ48" s="350"/>
      <c r="BR48" s="349">
        <f t="shared" si="24"/>
        <v>0</v>
      </c>
      <c r="BS48" s="349">
        <f t="shared" si="25"/>
        <v>0</v>
      </c>
      <c r="BT48" s="357"/>
      <c r="BU48" s="357"/>
      <c r="BV48" s="358"/>
      <c r="BW48" s="359" t="str">
        <f t="shared" si="26"/>
        <v>老龙馄饨-灵工谢志毅</v>
      </c>
      <c r="BX48" s="360"/>
      <c r="BY48" s="360" t="s">
        <v>273</v>
      </c>
      <c r="BZ48" s="360"/>
      <c r="CA48" s="360" t="e">
        <f>VLOOKUP(A48,hr.个税累计数据!C:C,1,0)</f>
        <v>#N/A</v>
      </c>
      <c r="CB48" s="360" t="s">
        <v>365</v>
      </c>
      <c r="CC48" s="360"/>
      <c r="CD48" s="243" t="b">
        <f t="shared" si="27"/>
        <v>1</v>
      </c>
    </row>
    <row r="49" s="243" customFormat="1" ht="23" hidden="1" customHeight="1" spans="1:82">
      <c r="A49" s="343" t="str">
        <f t="shared" si="14"/>
        <v>老龙馄饨-灵工钱玉连</v>
      </c>
      <c r="B49" s="343" t="s">
        <v>47</v>
      </c>
      <c r="C49" s="343" t="s">
        <v>79</v>
      </c>
      <c r="D49" s="343" t="s">
        <v>252</v>
      </c>
      <c r="E49" s="344" t="s">
        <v>47</v>
      </c>
      <c r="F49" s="343" t="s">
        <v>341</v>
      </c>
      <c r="G49" s="343" t="s">
        <v>366</v>
      </c>
      <c r="H49" s="343" t="s">
        <v>367</v>
      </c>
      <c r="I49" s="343" t="s">
        <v>367</v>
      </c>
      <c r="J49" s="343" t="s">
        <v>257</v>
      </c>
      <c r="K49" s="345">
        <f t="shared" si="15"/>
        <v>6830.08</v>
      </c>
      <c r="L49" s="346">
        <f t="shared" si="16"/>
        <v>6396.4</v>
      </c>
      <c r="M49"/>
      <c r="N49" s="347">
        <v>6</v>
      </c>
      <c r="O49" s="348">
        <v>6830.08</v>
      </c>
      <c r="P49" s="348"/>
      <c r="Q49" s="348">
        <f>VLOOKUP(I49,考勤调整记录!I:W,15,0)</f>
        <v>0</v>
      </c>
      <c r="R49" s="348"/>
      <c r="S49" s="348"/>
      <c r="T49" s="348"/>
      <c r="U49" s="349">
        <f t="shared" si="17"/>
        <v>6830.08</v>
      </c>
      <c r="V49" s="350"/>
      <c r="W49" s="350"/>
      <c r="X49" s="350"/>
      <c r="Y49" s="350"/>
      <c r="Z49" s="350"/>
      <c r="AA49" s="350"/>
      <c r="AB49" s="350"/>
      <c r="AC49" s="349">
        <f t="shared" si="18"/>
        <v>6830.08</v>
      </c>
      <c r="AD49" s="351"/>
      <c r="AE49" s="352">
        <v>202606</v>
      </c>
      <c r="AF49" s="348"/>
      <c r="AG49" s="348"/>
      <c r="AH49" s="348"/>
      <c r="AI49" s="348"/>
      <c r="AJ49" s="348"/>
      <c r="AK49" s="348"/>
      <c r="AL49" s="353"/>
      <c r="AM49" s="349">
        <f t="shared" si="19"/>
        <v>0</v>
      </c>
      <c r="AN49" s="348"/>
      <c r="AO49" s="348"/>
      <c r="AP49" s="348"/>
      <c r="AQ49" s="348"/>
      <c r="AR49" s="348"/>
      <c r="AS49" s="348"/>
      <c r="AT49" s="354"/>
      <c r="AU49" s="355"/>
      <c r="AV49" s="348"/>
      <c r="AW49" s="348"/>
      <c r="AX49" s="348"/>
      <c r="AY49" s="349">
        <f>430.08+3.6</f>
        <v>433.68</v>
      </c>
      <c r="AZ49" s="348">
        <f t="shared" si="20"/>
        <v>0</v>
      </c>
      <c r="BA49" s="348"/>
      <c r="BB49" s="348">
        <f t="shared" si="21"/>
        <v>6396.4</v>
      </c>
      <c r="BC49" s="353"/>
      <c r="BD49" s="349">
        <f t="shared" si="22"/>
        <v>6396.4</v>
      </c>
      <c r="BE49" s="356"/>
      <c r="BF49" s="348"/>
      <c r="BG49" s="348"/>
      <c r="BH49" s="348"/>
      <c r="BI49" s="348"/>
      <c r="BJ49" s="348"/>
      <c r="BK49" s="353"/>
      <c r="BL49" s="349">
        <f t="shared" si="23"/>
        <v>0</v>
      </c>
      <c r="BM49" s="354"/>
      <c r="BN49" s="350"/>
      <c r="BO49" s="350"/>
      <c r="BP49" s="350"/>
      <c r="BQ49" s="350"/>
      <c r="BR49" s="349">
        <f t="shared" si="24"/>
        <v>0</v>
      </c>
      <c r="BS49" s="349">
        <f t="shared" si="25"/>
        <v>0</v>
      </c>
      <c r="BT49" s="357"/>
      <c r="BU49" s="357"/>
      <c r="BV49" s="358"/>
      <c r="BW49" s="359" t="str">
        <f t="shared" si="26"/>
        <v>老龙馄饨-灵工钱玉连</v>
      </c>
      <c r="BX49" s="360"/>
      <c r="BY49" s="360" t="s">
        <v>273</v>
      </c>
      <c r="BZ49" s="360"/>
      <c r="CA49" s="360" t="e">
        <f>VLOOKUP(A49,hr.个税累计数据!C:C,1,0)</f>
        <v>#N/A</v>
      </c>
      <c r="CB49" s="360" t="s">
        <v>368</v>
      </c>
      <c r="CC49" s="360"/>
      <c r="CD49" s="243" t="b">
        <f t="shared" si="27"/>
        <v>1</v>
      </c>
    </row>
    <row r="50" s="243" customFormat="1" ht="23" hidden="1" customHeight="1" spans="1:82">
      <c r="A50" s="343" t="str">
        <f t="shared" si="14"/>
        <v>老龙馄饨-灵工蔡明燕</v>
      </c>
      <c r="B50" s="343" t="s">
        <v>47</v>
      </c>
      <c r="C50" s="343" t="s">
        <v>79</v>
      </c>
      <c r="D50" s="343" t="s">
        <v>252</v>
      </c>
      <c r="E50" s="344" t="s">
        <v>47</v>
      </c>
      <c r="F50" s="343" t="s">
        <v>341</v>
      </c>
      <c r="G50" s="343" t="s">
        <v>366</v>
      </c>
      <c r="H50" s="343" t="s">
        <v>369</v>
      </c>
      <c r="I50" s="343" t="s">
        <v>369</v>
      </c>
      <c r="J50" s="343" t="s">
        <v>257</v>
      </c>
      <c r="K50" s="345">
        <f t="shared" si="15"/>
        <v>7363.68</v>
      </c>
      <c r="L50" s="346">
        <f t="shared" si="16"/>
        <v>6884.4</v>
      </c>
      <c r="M50"/>
      <c r="N50" s="347">
        <v>6</v>
      </c>
      <c r="O50" s="348">
        <v>7363.68</v>
      </c>
      <c r="P50" s="348"/>
      <c r="Q50" s="348">
        <f>VLOOKUP(I50,考勤调整记录!I:W,15,0)</f>
        <v>0</v>
      </c>
      <c r="R50" s="348"/>
      <c r="S50" s="348"/>
      <c r="T50" s="348"/>
      <c r="U50" s="349">
        <f t="shared" si="17"/>
        <v>7363.68</v>
      </c>
      <c r="V50" s="350"/>
      <c r="W50" s="350"/>
      <c r="X50" s="350"/>
      <c r="Y50" s="350"/>
      <c r="Z50" s="350"/>
      <c r="AA50" s="350"/>
      <c r="AB50" s="350"/>
      <c r="AC50" s="349">
        <f t="shared" si="18"/>
        <v>7363.68</v>
      </c>
      <c r="AD50" s="351"/>
      <c r="AE50" s="352">
        <v>202606</v>
      </c>
      <c r="AF50" s="348"/>
      <c r="AG50" s="348"/>
      <c r="AH50" s="348"/>
      <c r="AI50" s="348"/>
      <c r="AJ50" s="348"/>
      <c r="AK50" s="348"/>
      <c r="AL50" s="353"/>
      <c r="AM50" s="349">
        <f t="shared" si="19"/>
        <v>0</v>
      </c>
      <c r="AN50" s="348"/>
      <c r="AO50" s="348"/>
      <c r="AP50" s="348"/>
      <c r="AQ50" s="348"/>
      <c r="AR50" s="348"/>
      <c r="AS50" s="348"/>
      <c r="AT50" s="354"/>
      <c r="AU50" s="355"/>
      <c r="AV50" s="348"/>
      <c r="AW50" s="348"/>
      <c r="AX50" s="348"/>
      <c r="AY50" s="349">
        <f>463.68+15.6</f>
        <v>479.28</v>
      </c>
      <c r="AZ50" s="348">
        <f t="shared" si="20"/>
        <v>0</v>
      </c>
      <c r="BA50" s="348"/>
      <c r="BB50" s="348">
        <f t="shared" si="21"/>
        <v>6884.4</v>
      </c>
      <c r="BC50" s="353"/>
      <c r="BD50" s="349">
        <f t="shared" si="22"/>
        <v>6884.4</v>
      </c>
      <c r="BE50" s="356"/>
      <c r="BF50" s="348"/>
      <c r="BG50" s="348"/>
      <c r="BH50" s="348"/>
      <c r="BI50" s="348"/>
      <c r="BJ50" s="348"/>
      <c r="BK50" s="353"/>
      <c r="BL50" s="349">
        <f t="shared" si="23"/>
        <v>0</v>
      </c>
      <c r="BM50" s="354"/>
      <c r="BN50" s="350"/>
      <c r="BO50" s="350"/>
      <c r="BP50" s="350"/>
      <c r="BQ50" s="350"/>
      <c r="BR50" s="349">
        <f t="shared" si="24"/>
        <v>0</v>
      </c>
      <c r="BS50" s="349">
        <f t="shared" si="25"/>
        <v>0</v>
      </c>
      <c r="BT50" s="357"/>
      <c r="BU50" s="357"/>
      <c r="BV50" s="358"/>
      <c r="BW50" s="359" t="str">
        <f t="shared" si="26"/>
        <v>老龙馄饨-灵工蔡明燕</v>
      </c>
      <c r="BX50" s="360"/>
      <c r="BY50" s="360" t="s">
        <v>273</v>
      </c>
      <c r="BZ50" s="360"/>
      <c r="CA50" s="360" t="e">
        <f>VLOOKUP(A50,hr.个税累计数据!C:C,1,0)</f>
        <v>#N/A</v>
      </c>
      <c r="CB50" s="360" t="s">
        <v>370</v>
      </c>
      <c r="CC50" s="360"/>
      <c r="CD50" s="243" t="b">
        <f t="shared" si="27"/>
        <v>1</v>
      </c>
    </row>
    <row r="51" s="243" customFormat="1" ht="23" hidden="1" customHeight="1" spans="1:82">
      <c r="A51" s="343" t="str">
        <f t="shared" si="14"/>
        <v>开弈投资李蕾</v>
      </c>
      <c r="B51" s="343" t="s">
        <v>29</v>
      </c>
      <c r="C51" s="343" t="s">
        <v>71</v>
      </c>
      <c r="D51" s="343" t="s">
        <v>252</v>
      </c>
      <c r="E51" s="344" t="s">
        <v>318</v>
      </c>
      <c r="F51" s="343" t="s">
        <v>320</v>
      </c>
      <c r="G51" s="343" t="s">
        <v>342</v>
      </c>
      <c r="H51" s="343" t="s">
        <v>371</v>
      </c>
      <c r="I51" s="343" t="s">
        <v>371</v>
      </c>
      <c r="J51" s="343" t="s">
        <v>257</v>
      </c>
      <c r="K51" s="345">
        <f t="shared" si="15"/>
        <v>12219.02</v>
      </c>
      <c r="L51" s="346">
        <f t="shared" si="16"/>
        <v>8224.17</v>
      </c>
      <c r="M51"/>
      <c r="N51" s="347">
        <v>6</v>
      </c>
      <c r="O51" s="361">
        <v>10000</v>
      </c>
      <c r="P51" s="348"/>
      <c r="Q51" s="348">
        <f>VLOOKUP(I51,考勤调整记录!I:W,15,0)</f>
        <v>0</v>
      </c>
      <c r="R51" s="348"/>
      <c r="S51" s="348">
        <v>155.8</v>
      </c>
      <c r="T51" s="348"/>
      <c r="U51" s="349">
        <f t="shared" si="17"/>
        <v>10155.8</v>
      </c>
      <c r="V51" s="350"/>
      <c r="W51" s="350">
        <f>ROUND((O51)*(0.9629-1),2)</f>
        <v>-371</v>
      </c>
      <c r="X51" s="350"/>
      <c r="Y51" s="350"/>
      <c r="Z51" s="350"/>
      <c r="AA51" s="350"/>
      <c r="AB51" s="350"/>
      <c r="AC51" s="349">
        <f t="shared" si="18"/>
        <v>9784.8</v>
      </c>
      <c r="AD51" s="351"/>
      <c r="AE51" s="352">
        <v>202606</v>
      </c>
      <c r="AF51" s="348">
        <f>VLOOKUP(BW51,'HR|社保明细'!C:F,4,0)</f>
        <v>7460</v>
      </c>
      <c r="AG51" s="348">
        <f>VLOOKUP($BW51,'HR|社保明细'!$C:G,5,0)</f>
        <v>7384</v>
      </c>
      <c r="AH51" s="348">
        <f>VLOOKUP($BW51,'HR|社保明细'!$C:H,6,0)</f>
        <v>596.8</v>
      </c>
      <c r="AI51" s="348">
        <f>VLOOKUP($BW51,'HR|社保明细'!$C:I,7,0)</f>
        <v>149.2</v>
      </c>
      <c r="AJ51" s="348">
        <f>VLOOKUP($BW51,'HR|社保明细'!$C:J,8,0)</f>
        <v>37.3</v>
      </c>
      <c r="AK51" s="348">
        <f>VLOOKUP($BW51,'HR|社保明细'!$C:K,9,0)</f>
        <v>517</v>
      </c>
      <c r="AL51" s="353">
        <f>VLOOKUP($BW51,'HR|社保明细'!$C:L,10,0)</f>
        <v>0</v>
      </c>
      <c r="AM51" s="349">
        <f t="shared" si="19"/>
        <v>1300.3</v>
      </c>
      <c r="AN51" s="348"/>
      <c r="AO51" s="348"/>
      <c r="AP51" s="348"/>
      <c r="AQ51" s="348"/>
      <c r="AR51" s="348"/>
      <c r="AS51" s="348">
        <f t="shared" ref="AS51:AS61" si="31">AC51-AM51-SUM(AN51:AR51)</f>
        <v>8484.5</v>
      </c>
      <c r="AT51" s="354"/>
      <c r="AU51" s="355">
        <f>VLOOKUP(BW51,hr.个税累计数据!C:DS,121,0)</f>
        <v>57071.63</v>
      </c>
      <c r="AV51" s="348">
        <f>IF(AU51-5000*N51-VLOOKUP(A51,hr.个税累计数据!C:DT,122,0)-VLOOKUP(A51,hr.个税累计数据!C:DU,123,0)&gt;0,AU51-5000*N51-VLOOKUP(A51,hr.个税累计数据!C:DT,122,0)-VLOOKUP(A51,hr.个税累计数据!C:DU,123,0),0)</f>
        <v>19269.83</v>
      </c>
      <c r="AW51" s="348">
        <f>VLOOKUP(BW51,hr.个税累计数据!C:DV,124,0)</f>
        <v>473.56</v>
      </c>
      <c r="AX51" s="348"/>
      <c r="AY51" s="349">
        <f>IF(ROUND(MAX(AV51*{0.03,0.1,0.2,0.25,0.3,0.35,0.45}-{0,210,1410,2660,4410,7160,15160}*12)-AW51,2)&lt;=0,0,ROUND(MAX(AV51*{0.03,0.1,0.2,0.25,0.3,0.35,0.45}-{0,210,1410,2660,4410,7160,15160}*12)-AW51,2))</f>
        <v>104.53</v>
      </c>
      <c r="AZ51" s="348">
        <f t="shared" si="20"/>
        <v>-155.8</v>
      </c>
      <c r="BA51" s="348"/>
      <c r="BB51" s="348">
        <f t="shared" si="21"/>
        <v>8224.17</v>
      </c>
      <c r="BC51" s="353"/>
      <c r="BD51" s="349">
        <f t="shared" si="22"/>
        <v>8224.17</v>
      </c>
      <c r="BE51" s="356">
        <f>VLOOKUP($BW51,'HR|社保明细'!C:T,11,0)</f>
        <v>1193.6</v>
      </c>
      <c r="BF51" s="348">
        <f>VLOOKUP($BW51,'HR|社保明细'!$C:U,12,0)</f>
        <v>596.8</v>
      </c>
      <c r="BG51" s="348">
        <f>VLOOKUP($BW51,'HR|社保明细'!$C:V,13,0)</f>
        <v>37.3</v>
      </c>
      <c r="BH51" s="348">
        <f>VLOOKUP($BW51,'HR|社保明细'!$C:W,14,0)</f>
        <v>14.92</v>
      </c>
      <c r="BI51" s="348">
        <f>VLOOKUP($BW51,'HR|社保明细'!$C:X,15,0)</f>
        <v>74.6</v>
      </c>
      <c r="BJ51" s="348">
        <f>VLOOKUP($BW51,'HR|社保明细'!$C:Y,16,0)</f>
        <v>517</v>
      </c>
      <c r="BK51" s="353">
        <f>VLOOKUP($BW51,'HR|社保明细'!$C:Z,17,0)</f>
        <v>0</v>
      </c>
      <c r="BL51" s="349">
        <f t="shared" si="23"/>
        <v>2434.22</v>
      </c>
      <c r="BM51" s="354"/>
      <c r="BN51" s="350"/>
      <c r="BO51" s="350"/>
      <c r="BP51" s="350"/>
      <c r="BQ51" s="350"/>
      <c r="BR51" s="349">
        <f t="shared" si="24"/>
        <v>0</v>
      </c>
      <c r="BS51" s="349">
        <f t="shared" si="25"/>
        <v>-371</v>
      </c>
      <c r="BT51" s="357">
        <v>1250</v>
      </c>
      <c r="BU51" s="357"/>
      <c r="BV51" s="358"/>
      <c r="BW51" s="359" t="str">
        <f t="shared" si="26"/>
        <v>开弈投资李蕾</v>
      </c>
      <c r="BX51" s="360"/>
      <c r="BY51" s="360" t="s">
        <v>273</v>
      </c>
      <c r="BZ51" s="360" t="s">
        <v>321</v>
      </c>
      <c r="CA51" s="360" t="str">
        <f>VLOOKUP(A51,hr.个税累计数据!C:C,1,0)</f>
        <v>开弈投资李蕾</v>
      </c>
      <c r="CB51" s="360" t="s">
        <v>372</v>
      </c>
      <c r="CC51" s="360" t="s">
        <v>273</v>
      </c>
      <c r="CD51" s="243" t="b">
        <f t="shared" si="27"/>
        <v>1</v>
      </c>
    </row>
    <row r="52" s="243" customFormat="1" ht="23" hidden="1" customHeight="1" spans="1:82">
      <c r="A52" s="343" t="str">
        <f t="shared" si="14"/>
        <v>开弈投资林水桃</v>
      </c>
      <c r="B52" s="343" t="s">
        <v>25</v>
      </c>
      <c r="C52" s="343" t="s">
        <v>71</v>
      </c>
      <c r="D52" s="343" t="s">
        <v>252</v>
      </c>
      <c r="E52" s="344" t="s">
        <v>373</v>
      </c>
      <c r="F52" s="343" t="s">
        <v>341</v>
      </c>
      <c r="G52" s="343" t="s">
        <v>374</v>
      </c>
      <c r="H52" s="343" t="s">
        <v>375</v>
      </c>
      <c r="I52" s="343" t="s">
        <v>375</v>
      </c>
      <c r="J52" s="343" t="s">
        <v>257</v>
      </c>
      <c r="K52" s="345">
        <f t="shared" si="15"/>
        <v>4155.8</v>
      </c>
      <c r="L52" s="346">
        <f t="shared" si="16"/>
        <v>4000</v>
      </c>
      <c r="M52"/>
      <c r="N52" s="347">
        <v>6</v>
      </c>
      <c r="O52" s="361">
        <v>4000</v>
      </c>
      <c r="P52" s="348"/>
      <c r="Q52" s="348">
        <f>VLOOKUP(I52,考勤调整记录!I:W,15,0)</f>
        <v>0</v>
      </c>
      <c r="R52" s="348"/>
      <c r="S52" s="348">
        <v>155.8</v>
      </c>
      <c r="T52" s="348"/>
      <c r="U52" s="349">
        <f t="shared" si="17"/>
        <v>4155.8</v>
      </c>
      <c r="V52" s="350"/>
      <c r="W52" s="350"/>
      <c r="X52" s="350"/>
      <c r="Y52" s="350"/>
      <c r="Z52" s="350"/>
      <c r="AA52" s="350"/>
      <c r="AB52" s="350"/>
      <c r="AC52" s="349">
        <f t="shared" si="18"/>
        <v>4155.8</v>
      </c>
      <c r="AD52" s="351"/>
      <c r="AE52" s="352">
        <v>202606</v>
      </c>
      <c r="AF52" s="348">
        <f>VLOOKUP(BW52,'HR|社保明细'!C:F,4,0)</f>
        <v>0</v>
      </c>
      <c r="AG52" s="348">
        <f>VLOOKUP($BW52,'HR|社保明细'!$C:G,5,0)</f>
        <v>0</v>
      </c>
      <c r="AH52" s="348">
        <f>VLOOKUP($BW52,'HR|社保明细'!$C:H,6,0)</f>
        <v>0</v>
      </c>
      <c r="AI52" s="348">
        <f>VLOOKUP($BW52,'HR|社保明细'!$C:I,7,0)</f>
        <v>0</v>
      </c>
      <c r="AJ52" s="348">
        <f>VLOOKUP($BW52,'HR|社保明细'!$C:J,8,0)</f>
        <v>0</v>
      </c>
      <c r="AK52" s="348">
        <f>VLOOKUP($BW52,'HR|社保明细'!$C:K,9,0)</f>
        <v>0</v>
      </c>
      <c r="AL52" s="353">
        <f>VLOOKUP($BW52,'HR|社保明细'!$C:L,10,0)</f>
        <v>0</v>
      </c>
      <c r="AM52" s="349">
        <f t="shared" si="19"/>
        <v>0</v>
      </c>
      <c r="AN52" s="348"/>
      <c r="AO52" s="348"/>
      <c r="AP52" s="348"/>
      <c r="AQ52" s="348"/>
      <c r="AR52" s="348"/>
      <c r="AS52" s="348">
        <f t="shared" si="31"/>
        <v>4155.8</v>
      </c>
      <c r="AT52" s="354"/>
      <c r="AU52" s="355">
        <f>VLOOKUP(BW52,hr.个税累计数据!C:DS,121,0)</f>
        <v>24901.95</v>
      </c>
      <c r="AV52" s="348">
        <f>IF(AU52-5000*N52-VLOOKUP(A52,hr.个税累计数据!C:DT,122,0)-VLOOKUP(A52,hr.个税累计数据!C:DU,123,0)&gt;0,AU52-5000*N52-VLOOKUP(A52,hr.个税累计数据!C:DT,122,0)-VLOOKUP(A52,hr.个税累计数据!C:DU,123,0),0)</f>
        <v>0</v>
      </c>
      <c r="AW52" s="348">
        <f>VLOOKUP(BW52,hr.个税累计数据!C:DV,124,0)</f>
        <v>0</v>
      </c>
      <c r="AX52" s="348"/>
      <c r="AY52" s="349">
        <f>IF(ROUND(MAX(AV52*{0.03,0.1,0.2,0.25,0.3,0.35,0.45}-{0,210,1410,2660,4410,7160,15160}*12)-AW52,2)&lt;=0,0,ROUND(MAX(AV52*{0.03,0.1,0.2,0.25,0.3,0.35,0.45}-{0,210,1410,2660,4410,7160,15160}*12)-AW52,2))</f>
        <v>0</v>
      </c>
      <c r="AZ52" s="348">
        <f t="shared" si="20"/>
        <v>-155.8</v>
      </c>
      <c r="BA52" s="348"/>
      <c r="BB52" s="348">
        <f t="shared" si="21"/>
        <v>4000</v>
      </c>
      <c r="BC52" s="353"/>
      <c r="BD52" s="349">
        <f t="shared" si="22"/>
        <v>4000</v>
      </c>
      <c r="BE52" s="356">
        <f>VLOOKUP($BW52,'HR|社保明细'!C:T,11,0)</f>
        <v>0</v>
      </c>
      <c r="BF52" s="348">
        <f>VLOOKUP($BW52,'HR|社保明细'!$C:U,12,0)</f>
        <v>0</v>
      </c>
      <c r="BG52" s="348">
        <f>VLOOKUP($BW52,'HR|社保明细'!$C:V,13,0)</f>
        <v>0</v>
      </c>
      <c r="BH52" s="348">
        <f>VLOOKUP($BW52,'HR|社保明细'!$C:W,14,0)</f>
        <v>0</v>
      </c>
      <c r="BI52" s="348">
        <f>VLOOKUP($BW52,'HR|社保明细'!$C:X,15,0)</f>
        <v>0</v>
      </c>
      <c r="BJ52" s="348">
        <f>VLOOKUP($BW52,'HR|社保明细'!$C:Y,16,0)</f>
        <v>0</v>
      </c>
      <c r="BK52" s="353">
        <f>VLOOKUP($BW52,'HR|社保明细'!$C:Z,17,0)</f>
        <v>0</v>
      </c>
      <c r="BL52" s="349">
        <f t="shared" si="23"/>
        <v>0</v>
      </c>
      <c r="BM52" s="354"/>
      <c r="BN52" s="350"/>
      <c r="BO52" s="350"/>
      <c r="BP52" s="350"/>
      <c r="BQ52" s="350"/>
      <c r="BR52" s="349">
        <f t="shared" si="24"/>
        <v>0</v>
      </c>
      <c r="BS52" s="349">
        <f t="shared" si="25"/>
        <v>0</v>
      </c>
      <c r="BT52" s="357">
        <v>1250</v>
      </c>
      <c r="BU52" s="357"/>
      <c r="BV52" s="358"/>
      <c r="BW52" s="359" t="str">
        <f t="shared" si="26"/>
        <v>开弈投资林水桃</v>
      </c>
      <c r="BX52" s="360" t="s">
        <v>258</v>
      </c>
      <c r="BY52" s="360" t="s">
        <v>273</v>
      </c>
      <c r="BZ52" s="360"/>
      <c r="CA52" s="360" t="str">
        <f>VLOOKUP(A52,hr.个税累计数据!C:C,1,0)</f>
        <v>开弈投资林水桃</v>
      </c>
      <c r="CB52" s="360" t="s">
        <v>376</v>
      </c>
      <c r="CC52" s="360" t="s">
        <v>273</v>
      </c>
      <c r="CD52" s="243" t="b">
        <f t="shared" si="27"/>
        <v>1</v>
      </c>
    </row>
    <row r="53" s="243" customFormat="1" ht="23" customHeight="1" spans="1:82">
      <c r="A53" s="343" t="str">
        <f t="shared" si="14"/>
        <v>开弈投资邵吴慧</v>
      </c>
      <c r="B53" s="343" t="s">
        <v>41</v>
      </c>
      <c r="C53" s="343" t="s">
        <v>71</v>
      </c>
      <c r="D53" s="343" t="s">
        <v>252</v>
      </c>
      <c r="E53" s="344" t="s">
        <v>350</v>
      </c>
      <c r="F53" s="343" t="s">
        <v>352</v>
      </c>
      <c r="G53" s="343" t="s">
        <v>377</v>
      </c>
      <c r="H53" s="343" t="s">
        <v>378</v>
      </c>
      <c r="I53" s="343" t="s">
        <v>378</v>
      </c>
      <c r="J53" s="343" t="s">
        <v>257</v>
      </c>
      <c r="K53" s="345">
        <f t="shared" si="15"/>
        <v>12650.89</v>
      </c>
      <c r="L53" s="346">
        <f t="shared" si="16"/>
        <v>8643.08</v>
      </c>
      <c r="M53"/>
      <c r="N53" s="347">
        <v>6</v>
      </c>
      <c r="O53" s="361">
        <v>11000</v>
      </c>
      <c r="P53" s="348"/>
      <c r="Q53" s="348">
        <f>VLOOKUP(I53,考勤调整记录!I:W,15,0)</f>
        <v>-531.03</v>
      </c>
      <c r="R53" s="348"/>
      <c r="S53" s="348">
        <v>155.8</v>
      </c>
      <c r="T53" s="348"/>
      <c r="U53" s="349">
        <f t="shared" si="17"/>
        <v>10624.77</v>
      </c>
      <c r="V53" s="350"/>
      <c r="W53" s="350">
        <v>-408.1</v>
      </c>
      <c r="X53" s="350"/>
      <c r="Y53" s="350"/>
      <c r="Z53" s="350"/>
      <c r="AA53" s="350"/>
      <c r="AB53" s="350"/>
      <c r="AC53" s="349">
        <f t="shared" si="18"/>
        <v>10216.67</v>
      </c>
      <c r="AD53" s="351"/>
      <c r="AE53" s="352">
        <v>202606</v>
      </c>
      <c r="AF53" s="348">
        <f>VLOOKUP(BW53,'HR|社保明细'!C:F,4,0)</f>
        <v>7460</v>
      </c>
      <c r="AG53" s="348">
        <f>VLOOKUP($BW53,'HR|社保明细'!$C:G,5,0)</f>
        <v>7384</v>
      </c>
      <c r="AH53" s="348">
        <f>VLOOKUP($BW53,'HR|社保明细'!$C:H,6,0)</f>
        <v>596.8</v>
      </c>
      <c r="AI53" s="348">
        <f>VLOOKUP($BW53,'HR|社保明细'!$C:I,7,0)</f>
        <v>149.2</v>
      </c>
      <c r="AJ53" s="348">
        <f>VLOOKUP($BW53,'HR|社保明细'!$C:J,8,0)</f>
        <v>37.3</v>
      </c>
      <c r="AK53" s="348">
        <f>VLOOKUP($BW53,'HR|社保明细'!$C:K,9,0)</f>
        <v>517</v>
      </c>
      <c r="AL53" s="353">
        <f>VLOOKUP($BW53,'HR|社保明细'!$C:L,10,0)</f>
        <v>0</v>
      </c>
      <c r="AM53" s="349">
        <f t="shared" si="19"/>
        <v>1300.3</v>
      </c>
      <c r="AN53" s="348"/>
      <c r="AO53" s="348"/>
      <c r="AP53" s="348"/>
      <c r="AQ53" s="348"/>
      <c r="AR53" s="348"/>
      <c r="AS53" s="348">
        <f t="shared" si="31"/>
        <v>8916.37</v>
      </c>
      <c r="AT53" s="354"/>
      <c r="AU53" s="355">
        <f>VLOOKUP(BW53,hr.个税累计数据!C:DS,121,0)</f>
        <v>59374.47</v>
      </c>
      <c r="AV53" s="348">
        <f>IF(AU53-5000*N53-VLOOKUP(A53,hr.个税累计数据!C:DT,122,0)-VLOOKUP(A53,hr.个税累计数据!C:DU,123,0)&gt;0,AU53-5000*N53-VLOOKUP(A53,hr.个税累计数据!C:DT,122,0)-VLOOKUP(A53,hr.个税累计数据!C:DU,123,0),0)</f>
        <v>21572.67</v>
      </c>
      <c r="AW53" s="348">
        <f>VLOOKUP(BW53,hr.个税累计数据!C:DV,124,0)</f>
        <v>529.69</v>
      </c>
      <c r="AX53" s="348"/>
      <c r="AY53" s="349">
        <f>IF(ROUND(MAX(AV53*{0.03,0.1,0.2,0.25,0.3,0.35,0.45}-{0,210,1410,2660,4410,7160,15160}*12)-AW53,2)&lt;=0,0,ROUND(MAX(AV53*{0.03,0.1,0.2,0.25,0.3,0.35,0.45}-{0,210,1410,2660,4410,7160,15160}*12)-AW53,2))</f>
        <v>117.49</v>
      </c>
      <c r="AZ53" s="348">
        <f t="shared" si="20"/>
        <v>-155.8</v>
      </c>
      <c r="BA53" s="348"/>
      <c r="BB53" s="348">
        <f t="shared" si="21"/>
        <v>8643.08</v>
      </c>
      <c r="BC53" s="353"/>
      <c r="BD53" s="349">
        <f t="shared" si="22"/>
        <v>8643.08</v>
      </c>
      <c r="BE53" s="356">
        <f>VLOOKUP($BW53,'HR|社保明细'!C:T,11,0)</f>
        <v>1193.6</v>
      </c>
      <c r="BF53" s="348">
        <f>VLOOKUP($BW53,'HR|社保明细'!$C:U,12,0)</f>
        <v>596.8</v>
      </c>
      <c r="BG53" s="348">
        <f>VLOOKUP($BW53,'HR|社保明细'!$C:V,13,0)</f>
        <v>37.3</v>
      </c>
      <c r="BH53" s="348">
        <f>VLOOKUP($BW53,'HR|社保明细'!$C:W,14,0)</f>
        <v>14.92</v>
      </c>
      <c r="BI53" s="348">
        <f>VLOOKUP($BW53,'HR|社保明细'!$C:X,15,0)</f>
        <v>74.6</v>
      </c>
      <c r="BJ53" s="348">
        <f>VLOOKUP($BW53,'HR|社保明细'!$C:Y,16,0)</f>
        <v>517</v>
      </c>
      <c r="BK53" s="353">
        <f>VLOOKUP($BW53,'HR|社保明细'!$C:Z,17,0)</f>
        <v>0</v>
      </c>
      <c r="BL53" s="349">
        <f t="shared" si="23"/>
        <v>2434.22</v>
      </c>
      <c r="BM53" s="354"/>
      <c r="BN53" s="350"/>
      <c r="BO53" s="350"/>
      <c r="BP53" s="350"/>
      <c r="BQ53" s="350"/>
      <c r="BR53" s="349">
        <f t="shared" si="24"/>
        <v>0</v>
      </c>
      <c r="BS53" s="349">
        <f t="shared" si="25"/>
        <v>-408.1</v>
      </c>
      <c r="BT53" s="357">
        <v>1250</v>
      </c>
      <c r="BU53" s="357"/>
      <c r="BV53" s="358"/>
      <c r="BW53" s="359" t="str">
        <f t="shared" si="26"/>
        <v>开弈投资邵吴慧</v>
      </c>
      <c r="BX53" s="360"/>
      <c r="BY53" s="360" t="s">
        <v>273</v>
      </c>
      <c r="BZ53" s="360" t="s">
        <v>321</v>
      </c>
      <c r="CA53" s="360" t="str">
        <f>VLOOKUP(A53,hr.个税累计数据!C:C,1,0)</f>
        <v>开弈投资邵吴慧</v>
      </c>
      <c r="CB53" s="360" t="s">
        <v>379</v>
      </c>
      <c r="CC53" s="360" t="s">
        <v>273</v>
      </c>
      <c r="CD53" s="243" t="b">
        <f t="shared" si="27"/>
        <v>1</v>
      </c>
    </row>
    <row r="54" s="243" customFormat="1" ht="23" hidden="1" customHeight="1" spans="1:82">
      <c r="A54" s="343" t="str">
        <f t="shared" si="14"/>
        <v>开弈投资王建平</v>
      </c>
      <c r="B54" s="343" t="s">
        <v>52</v>
      </c>
      <c r="C54" s="343" t="s">
        <v>71</v>
      </c>
      <c r="D54" s="343" t="s">
        <v>252</v>
      </c>
      <c r="E54" s="344" t="s">
        <v>52</v>
      </c>
      <c r="F54" s="343" t="s">
        <v>380</v>
      </c>
      <c r="G54" s="343" t="s">
        <v>366</v>
      </c>
      <c r="H54" s="343" t="s">
        <v>381</v>
      </c>
      <c r="I54" s="343" t="s">
        <v>381</v>
      </c>
      <c r="J54" s="343" t="s">
        <v>257</v>
      </c>
      <c r="K54" s="345">
        <f t="shared" si="15"/>
        <v>9644.02</v>
      </c>
      <c r="L54" s="346">
        <f t="shared" si="16"/>
        <v>5726.42</v>
      </c>
      <c r="M54"/>
      <c r="N54" s="347">
        <v>6</v>
      </c>
      <c r="O54" s="361">
        <v>6754</v>
      </c>
      <c r="P54" s="348"/>
      <c r="Q54" s="348">
        <f>VLOOKUP(I54,考勤调整记录!I:W,15,0)</f>
        <v>0</v>
      </c>
      <c r="R54" s="348"/>
      <c r="S54" s="348">
        <v>155.8</v>
      </c>
      <c r="T54" s="348"/>
      <c r="U54" s="349">
        <f t="shared" si="17"/>
        <v>6909.8</v>
      </c>
      <c r="V54" s="350"/>
      <c r="W54" s="350"/>
      <c r="X54" s="350"/>
      <c r="Y54" s="350">
        <v>300</v>
      </c>
      <c r="Z54" s="350"/>
      <c r="AA54" s="350"/>
      <c r="AB54" s="350"/>
      <c r="AC54" s="349">
        <f t="shared" si="18"/>
        <v>7209.8</v>
      </c>
      <c r="AD54" s="351"/>
      <c r="AE54" s="352">
        <v>202606</v>
      </c>
      <c r="AF54" s="348">
        <f>VLOOKUP(BW54,'HR|社保明细'!C:F,4,0)</f>
        <v>7460</v>
      </c>
      <c r="AG54" s="348">
        <f>VLOOKUP($BW54,'HR|社保明细'!$C:G,5,0)</f>
        <v>7384</v>
      </c>
      <c r="AH54" s="348">
        <f>VLOOKUP($BW54,'HR|社保明细'!$C:H,6,0)</f>
        <v>596.8</v>
      </c>
      <c r="AI54" s="348">
        <f>VLOOKUP($BW54,'HR|社保明细'!$C:I,7,0)</f>
        <v>149.2</v>
      </c>
      <c r="AJ54" s="348">
        <f>VLOOKUP($BW54,'HR|社保明细'!$C:J,8,0)</f>
        <v>37.3</v>
      </c>
      <c r="AK54" s="348">
        <f>VLOOKUP($BW54,'HR|社保明细'!$C:K,9,0)</f>
        <v>517</v>
      </c>
      <c r="AL54" s="353">
        <f>VLOOKUP($BW54,'HR|社保明细'!$C:L,10,0)</f>
        <v>0</v>
      </c>
      <c r="AM54" s="349">
        <f t="shared" si="19"/>
        <v>1300.3</v>
      </c>
      <c r="AN54" s="348"/>
      <c r="AO54" s="348"/>
      <c r="AP54" s="348"/>
      <c r="AQ54" s="348"/>
      <c r="AR54" s="348"/>
      <c r="AS54" s="348">
        <f t="shared" si="31"/>
        <v>5909.5</v>
      </c>
      <c r="AT54" s="354"/>
      <c r="AU54" s="355">
        <f>VLOOKUP(BW54,hr.个税累计数据!C:DS,121,0)</f>
        <v>41725.95</v>
      </c>
      <c r="AV54" s="348">
        <f>IF(AU54-5000*N54-VLOOKUP(A54,hr.个税累计数据!C:DT,122,0)-VLOOKUP(A54,hr.个税累计数据!C:DU,123,0)&gt;0,AU54-5000*N54-VLOOKUP(A54,hr.个税累计数据!C:DT,122,0)-VLOOKUP(A54,hr.个税累计数据!C:DU,123,0),0)</f>
        <v>3924.15</v>
      </c>
      <c r="AW54" s="348">
        <f>VLOOKUP(BW54,hr.个税累计数据!C:DV,124,0)</f>
        <v>90.44</v>
      </c>
      <c r="AX54" s="348"/>
      <c r="AY54" s="349">
        <f>IF(ROUND(MAX(AV54*{0.03,0.1,0.2,0.25,0.3,0.35,0.45}-{0,210,1410,2660,4410,7160,15160}*12)-AW54,2)&lt;=0,0,ROUND(MAX(AV54*{0.03,0.1,0.2,0.25,0.3,0.35,0.45}-{0,210,1410,2660,4410,7160,15160}*12)-AW54,2))</f>
        <v>27.28</v>
      </c>
      <c r="AZ54" s="348">
        <f t="shared" si="20"/>
        <v>-155.8</v>
      </c>
      <c r="BA54" s="348"/>
      <c r="BB54" s="348">
        <f t="shared" si="21"/>
        <v>5726.42</v>
      </c>
      <c r="BC54" s="353"/>
      <c r="BD54" s="349">
        <f t="shared" si="22"/>
        <v>5726.42</v>
      </c>
      <c r="BE54" s="356">
        <f>VLOOKUP($BW54,'HR|社保明细'!C:T,11,0)</f>
        <v>1193.6</v>
      </c>
      <c r="BF54" s="348">
        <f>VLOOKUP($BW54,'HR|社保明细'!$C:U,12,0)</f>
        <v>596.8</v>
      </c>
      <c r="BG54" s="348">
        <f>VLOOKUP($BW54,'HR|社保明细'!$C:V,13,0)</f>
        <v>37.3</v>
      </c>
      <c r="BH54" s="348">
        <f>VLOOKUP($BW54,'HR|社保明细'!$C:W,14,0)</f>
        <v>14.92</v>
      </c>
      <c r="BI54" s="348">
        <f>VLOOKUP($BW54,'HR|社保明细'!$C:X,15,0)</f>
        <v>74.6</v>
      </c>
      <c r="BJ54" s="348">
        <f>VLOOKUP($BW54,'HR|社保明细'!$C:Y,16,0)</f>
        <v>517</v>
      </c>
      <c r="BK54" s="353">
        <f>VLOOKUP($BW54,'HR|社保明细'!$C:Z,17,0)</f>
        <v>0</v>
      </c>
      <c r="BL54" s="349">
        <f t="shared" si="23"/>
        <v>2434.22</v>
      </c>
      <c r="BM54" s="354"/>
      <c r="BN54" s="350"/>
      <c r="BO54" s="350"/>
      <c r="BP54" s="350"/>
      <c r="BQ54" s="350"/>
      <c r="BR54" s="349">
        <f t="shared" si="24"/>
        <v>0</v>
      </c>
      <c r="BS54" s="349">
        <f t="shared" si="25"/>
        <v>300</v>
      </c>
      <c r="BT54" s="357">
        <v>1250</v>
      </c>
      <c r="BU54" s="357"/>
      <c r="BV54" s="358"/>
      <c r="BW54" s="359" t="str">
        <f t="shared" si="26"/>
        <v>开弈投资王建平</v>
      </c>
      <c r="BX54" s="360"/>
      <c r="BY54" s="360" t="s">
        <v>273</v>
      </c>
      <c r="BZ54" s="360"/>
      <c r="CA54" s="360" t="str">
        <f>VLOOKUP(A54,hr.个税累计数据!C:C,1,0)</f>
        <v>开弈投资王建平</v>
      </c>
      <c r="CB54" s="360" t="s">
        <v>382</v>
      </c>
      <c r="CC54" s="360" t="s">
        <v>273</v>
      </c>
      <c r="CD54" s="243" t="b">
        <f t="shared" si="27"/>
        <v>1</v>
      </c>
    </row>
    <row r="55" s="243" customFormat="1" ht="23" hidden="1" customHeight="1" spans="1:82">
      <c r="A55" s="343" t="str">
        <f t="shared" si="14"/>
        <v>开弈投资王韬</v>
      </c>
      <c r="B55" s="343" t="s">
        <v>49</v>
      </c>
      <c r="C55" s="343" t="s">
        <v>71</v>
      </c>
      <c r="D55" s="343" t="s">
        <v>252</v>
      </c>
      <c r="E55" s="344" t="s">
        <v>49</v>
      </c>
      <c r="F55" s="343" t="s">
        <v>383</v>
      </c>
      <c r="G55" s="343" t="s">
        <v>384</v>
      </c>
      <c r="H55" s="343" t="s">
        <v>385</v>
      </c>
      <c r="I55" s="343" t="s">
        <v>385</v>
      </c>
      <c r="J55" s="343" t="s">
        <v>257</v>
      </c>
      <c r="K55" s="345">
        <f t="shared" si="15"/>
        <v>21543.75</v>
      </c>
      <c r="L55" s="346">
        <f t="shared" si="16"/>
        <v>16451.42</v>
      </c>
      <c r="M55"/>
      <c r="N55" s="347">
        <v>6</v>
      </c>
      <c r="O55" s="361">
        <v>12600</v>
      </c>
      <c r="P55" s="348"/>
      <c r="Q55" s="348">
        <f>VLOOKUP(I55,考勤调整记录!I:W,15,0)</f>
        <v>0</v>
      </c>
      <c r="R55" s="348"/>
      <c r="S55" s="348">
        <v>155.8</v>
      </c>
      <c r="T55" s="348"/>
      <c r="U55" s="349">
        <f t="shared" si="17"/>
        <v>12755.8</v>
      </c>
      <c r="V55" s="350"/>
      <c r="W55" s="350">
        <v>1171.95</v>
      </c>
      <c r="X55" s="350"/>
      <c r="Y55" s="350"/>
      <c r="Z55" s="350">
        <v>5000</v>
      </c>
      <c r="AA55" s="350"/>
      <c r="AB55" s="350"/>
      <c r="AC55" s="349">
        <f t="shared" si="18"/>
        <v>18927.75</v>
      </c>
      <c r="AD55" s="351"/>
      <c r="AE55" s="352">
        <v>202606</v>
      </c>
      <c r="AF55" s="348">
        <f>VLOOKUP(BW55,'HR|社保明细'!C:F,4,0)</f>
        <v>8000</v>
      </c>
      <c r="AG55" s="348">
        <f>VLOOKUP($BW55,'HR|社保明细'!$C:G,5,0)</f>
        <v>8000</v>
      </c>
      <c r="AH55" s="348">
        <f>VLOOKUP($BW55,'HR|社保明细'!$C:H,6,0)</f>
        <v>640</v>
      </c>
      <c r="AI55" s="348">
        <f>VLOOKUP($BW55,'HR|社保明细'!$C:I,7,0)</f>
        <v>160</v>
      </c>
      <c r="AJ55" s="348">
        <f>VLOOKUP($BW55,'HR|社保明细'!$C:J,8,0)</f>
        <v>40</v>
      </c>
      <c r="AK55" s="348">
        <f>VLOOKUP($BW55,'HR|社保明细'!$C:K,9,0)</f>
        <v>560</v>
      </c>
      <c r="AL55" s="353">
        <f>VLOOKUP($BW55,'HR|社保明细'!$C:L,10,0)</f>
        <v>0</v>
      </c>
      <c r="AM55" s="349">
        <f t="shared" si="19"/>
        <v>1400</v>
      </c>
      <c r="AN55" s="348">
        <v>1000</v>
      </c>
      <c r="AO55" s="348"/>
      <c r="AP55" s="348"/>
      <c r="AQ55" s="348">
        <v>3000</v>
      </c>
      <c r="AR55" s="348"/>
      <c r="AS55" s="348">
        <f t="shared" si="31"/>
        <v>13527.75</v>
      </c>
      <c r="AT55" s="354"/>
      <c r="AU55" s="355">
        <f>VLOOKUP(BW55,hr.个税累计数据!C:DS,121,0)</f>
        <v>104467.05</v>
      </c>
      <c r="AV55" s="348">
        <f>IF(AU55-5000*N55-VLOOKUP(A55,hr.个税累计数据!C:DT,122,0)-VLOOKUP(A55,hr.个税累计数据!C:DU,123,0)&gt;0,AU55-5000*N55-VLOOKUP(A55,hr.个税累计数据!C:DT,122,0)-VLOOKUP(A55,hr.个税累计数据!C:DU,123,0),0)</f>
        <v>45067.05</v>
      </c>
      <c r="AW55" s="348">
        <f>VLOOKUP(BW55,hr.个税累计数据!C:DV,124,0)</f>
        <v>1066.18</v>
      </c>
      <c r="AX55" s="348"/>
      <c r="AY55" s="349" cm="1">
        <f t="array" ref="AY55">IF(ROUND(MAX(AV55*{0.03,0.1,0.2,0.25,0.3,0.35,0.45}-{0,210,1410,2660,4410,7160,15160}*12)-AW55,2)&lt;=0,0,ROUND(MAX(AV55*{0.03,0.1,0.2,0.25,0.3,0.35,0.45}-{0,210,1410,2660,4410,7160,15160}*12)-AW55,2))+0.01</f>
        <v>920.53</v>
      </c>
      <c r="AZ55" s="348">
        <f t="shared" si="20"/>
        <v>-155.8</v>
      </c>
      <c r="BA55" s="348"/>
      <c r="BB55" s="348">
        <f t="shared" si="21"/>
        <v>16451.42</v>
      </c>
      <c r="BC55" s="353"/>
      <c r="BD55" s="349">
        <f t="shared" si="22"/>
        <v>16451.42</v>
      </c>
      <c r="BE55" s="356">
        <f>VLOOKUP($BW55,'HR|社保明细'!C:T,11,0)</f>
        <v>1280</v>
      </c>
      <c r="BF55" s="348">
        <f>VLOOKUP($BW55,'HR|社保明细'!$C:U,12,0)</f>
        <v>640</v>
      </c>
      <c r="BG55" s="348">
        <f>VLOOKUP($BW55,'HR|社保明细'!$C:V,13,0)</f>
        <v>40</v>
      </c>
      <c r="BH55" s="348">
        <f>VLOOKUP($BW55,'HR|社保明细'!$C:W,14,0)</f>
        <v>16</v>
      </c>
      <c r="BI55" s="348">
        <f>VLOOKUP($BW55,'HR|社保明细'!$C:X,15,0)</f>
        <v>80</v>
      </c>
      <c r="BJ55" s="348">
        <f>VLOOKUP($BW55,'HR|社保明细'!$C:Y,16,0)</f>
        <v>560</v>
      </c>
      <c r="BK55" s="353">
        <f>VLOOKUP($BW55,'HR|社保明细'!$C:Z,17,0)</f>
        <v>0</v>
      </c>
      <c r="BL55" s="349">
        <f t="shared" si="23"/>
        <v>2616</v>
      </c>
      <c r="BM55" s="354"/>
      <c r="BN55" s="350"/>
      <c r="BO55" s="350"/>
      <c r="BP55" s="350"/>
      <c r="BQ55" s="350"/>
      <c r="BR55" s="349">
        <f t="shared" si="24"/>
        <v>0</v>
      </c>
      <c r="BS55" s="349">
        <f t="shared" si="25"/>
        <v>6171.95</v>
      </c>
      <c r="BT55" s="357">
        <v>1250</v>
      </c>
      <c r="BU55" s="357"/>
      <c r="BV55" s="358"/>
      <c r="BW55" s="359" t="str">
        <f t="shared" si="26"/>
        <v>开弈投资王韬</v>
      </c>
      <c r="BX55" s="360"/>
      <c r="BY55" s="360" t="s">
        <v>273</v>
      </c>
      <c r="BZ55" s="360" t="s">
        <v>48</v>
      </c>
      <c r="CA55" s="360" t="str">
        <f>VLOOKUP(A55,hr.个税累计数据!C:C,1,0)</f>
        <v>开弈投资王韬</v>
      </c>
      <c r="CB55" s="360" t="s">
        <v>386</v>
      </c>
      <c r="CC55" s="360" t="s">
        <v>273</v>
      </c>
      <c r="CD55" s="243" t="b">
        <f t="shared" si="27"/>
        <v>1</v>
      </c>
    </row>
    <row r="56" s="243" customFormat="1" ht="23" hidden="1" customHeight="1" spans="1:82">
      <c r="A56" s="343" t="str">
        <f t="shared" si="14"/>
        <v>开弈投资王永佳</v>
      </c>
      <c r="B56" s="343" t="s">
        <v>29</v>
      </c>
      <c r="C56" s="343" t="s">
        <v>71</v>
      </c>
      <c r="D56" s="343" t="s">
        <v>252</v>
      </c>
      <c r="E56" s="344" t="s">
        <v>318</v>
      </c>
      <c r="F56" s="343" t="s">
        <v>341</v>
      </c>
      <c r="G56" s="343" t="s">
        <v>342</v>
      </c>
      <c r="H56" s="343" t="s">
        <v>387</v>
      </c>
      <c r="I56" s="343" t="s">
        <v>387</v>
      </c>
      <c r="J56" s="343" t="s">
        <v>257</v>
      </c>
      <c r="K56" s="345">
        <f t="shared" si="15"/>
        <v>12400.8</v>
      </c>
      <c r="L56" s="346">
        <f t="shared" si="16"/>
        <v>8127.45</v>
      </c>
      <c r="M56"/>
      <c r="N56" s="347">
        <v>6</v>
      </c>
      <c r="O56" s="361">
        <v>10000</v>
      </c>
      <c r="P56" s="348"/>
      <c r="Q56" s="348">
        <f>VLOOKUP(I56,考勤调整记录!I:W,15,0)</f>
        <v>0</v>
      </c>
      <c r="R56" s="348"/>
      <c r="S56" s="348">
        <v>155.8</v>
      </c>
      <c r="T56" s="348"/>
      <c r="U56" s="349">
        <f t="shared" si="17"/>
        <v>10155.8</v>
      </c>
      <c r="V56" s="350"/>
      <c r="W56" s="350">
        <f>ROUND((O56)*(0.9629-1),2)</f>
        <v>-371</v>
      </c>
      <c r="X56" s="350"/>
      <c r="Y56" s="350"/>
      <c r="Z56" s="350"/>
      <c r="AA56" s="350"/>
      <c r="AB56" s="350"/>
      <c r="AC56" s="349">
        <f t="shared" si="18"/>
        <v>9784.8</v>
      </c>
      <c r="AD56" s="351"/>
      <c r="AE56" s="352">
        <v>202606</v>
      </c>
      <c r="AF56" s="348">
        <f>VLOOKUP(BW56,'HR|社保明细'!C:F,4,0)</f>
        <v>8000</v>
      </c>
      <c r="AG56" s="348">
        <f>VLOOKUP($BW56,'HR|社保明细'!$C:G,5,0)</f>
        <v>8000</v>
      </c>
      <c r="AH56" s="348">
        <f>VLOOKUP($BW56,'HR|社保明细'!$C:H,6,0)</f>
        <v>640</v>
      </c>
      <c r="AI56" s="348">
        <f>VLOOKUP($BW56,'HR|社保明细'!$C:I,7,0)</f>
        <v>160</v>
      </c>
      <c r="AJ56" s="348">
        <f>VLOOKUP($BW56,'HR|社保明细'!$C:J,8,0)</f>
        <v>40</v>
      </c>
      <c r="AK56" s="348">
        <f>VLOOKUP($BW56,'HR|社保明细'!$C:K,9,0)</f>
        <v>560</v>
      </c>
      <c r="AL56" s="353">
        <f>VLOOKUP($BW56,'HR|社保明细'!$C:L,10,0)</f>
        <v>0</v>
      </c>
      <c r="AM56" s="349">
        <f t="shared" si="19"/>
        <v>1400</v>
      </c>
      <c r="AN56" s="348"/>
      <c r="AO56" s="348"/>
      <c r="AP56" s="348"/>
      <c r="AQ56" s="348"/>
      <c r="AR56" s="348"/>
      <c r="AS56" s="348">
        <f t="shared" si="31"/>
        <v>8384.8</v>
      </c>
      <c r="AT56" s="354"/>
      <c r="AU56" s="355">
        <f>VLOOKUP(BW56,hr.个税累计数据!C:DS,121,0)</f>
        <v>59111.63</v>
      </c>
      <c r="AV56" s="348">
        <f>IF(AU56-5000*N56-VLOOKUP(A56,hr.个税累计数据!C:DT,122,0)-VLOOKUP(A56,hr.个税累计数据!C:DU,123,0)&gt;0,AU56-5000*N56-VLOOKUP(A56,hr.个税累计数据!C:DT,122,0)-VLOOKUP(A56,hr.个税累计数据!C:DU,123,0),0)</f>
        <v>20711.63</v>
      </c>
      <c r="AW56" s="348">
        <f>VLOOKUP(BW56,hr.个税累计数据!C:DV,124,0)</f>
        <v>519.8</v>
      </c>
      <c r="AX56" s="348"/>
      <c r="AY56" s="349">
        <f>IF(ROUND(MAX(AV56*{0.03,0.1,0.2,0.25,0.3,0.35,0.45}-{0,210,1410,2660,4410,7160,15160}*12)-AW56,2)&lt;=0,0,ROUND(MAX(AV56*{0.03,0.1,0.2,0.25,0.3,0.35,0.45}-{0,210,1410,2660,4410,7160,15160}*12)-AW56,2))</f>
        <v>101.55</v>
      </c>
      <c r="AZ56" s="348">
        <f t="shared" si="20"/>
        <v>-155.8</v>
      </c>
      <c r="BA56" s="348"/>
      <c r="BB56" s="348">
        <f t="shared" si="21"/>
        <v>8127.45</v>
      </c>
      <c r="BC56" s="353"/>
      <c r="BD56" s="349">
        <f t="shared" si="22"/>
        <v>8127.45</v>
      </c>
      <c r="BE56" s="356">
        <f>VLOOKUP($BW56,'HR|社保明细'!C:T,11,0)</f>
        <v>1280</v>
      </c>
      <c r="BF56" s="348">
        <f>VLOOKUP($BW56,'HR|社保明细'!$C:U,12,0)</f>
        <v>640</v>
      </c>
      <c r="BG56" s="348">
        <f>VLOOKUP($BW56,'HR|社保明细'!$C:V,13,0)</f>
        <v>40</v>
      </c>
      <c r="BH56" s="348">
        <f>VLOOKUP($BW56,'HR|社保明细'!$C:W,14,0)</f>
        <v>16</v>
      </c>
      <c r="BI56" s="348">
        <f>VLOOKUP($BW56,'HR|社保明细'!$C:X,15,0)</f>
        <v>80</v>
      </c>
      <c r="BJ56" s="348">
        <f>VLOOKUP($BW56,'HR|社保明细'!$C:Y,16,0)</f>
        <v>560</v>
      </c>
      <c r="BK56" s="353">
        <f>VLOOKUP($BW56,'HR|社保明细'!$C:Z,17,0)</f>
        <v>0</v>
      </c>
      <c r="BL56" s="349">
        <f t="shared" si="23"/>
        <v>2616</v>
      </c>
      <c r="BM56" s="354"/>
      <c r="BN56" s="350"/>
      <c r="BO56" s="350"/>
      <c r="BP56" s="350"/>
      <c r="BQ56" s="350"/>
      <c r="BR56" s="349">
        <f t="shared" si="24"/>
        <v>0</v>
      </c>
      <c r="BS56" s="349">
        <f t="shared" si="25"/>
        <v>-371</v>
      </c>
      <c r="BT56" s="357">
        <v>1250</v>
      </c>
      <c r="BU56" s="357"/>
      <c r="BV56" s="358"/>
      <c r="BW56" s="359" t="str">
        <f t="shared" si="26"/>
        <v>开弈投资王永佳</v>
      </c>
      <c r="BX56" s="360"/>
      <c r="BY56" s="360" t="s">
        <v>273</v>
      </c>
      <c r="BZ56" s="360" t="s">
        <v>321</v>
      </c>
      <c r="CA56" s="360" t="str">
        <f>VLOOKUP(A56,hr.个税累计数据!C:C,1,0)</f>
        <v>开弈投资王永佳</v>
      </c>
      <c r="CB56" s="360" t="s">
        <v>388</v>
      </c>
      <c r="CC56" s="360" t="s">
        <v>273</v>
      </c>
      <c r="CD56" s="243" t="b">
        <f t="shared" si="27"/>
        <v>1</v>
      </c>
    </row>
    <row r="57" s="243" customFormat="1" ht="23" hidden="1" customHeight="1" spans="1:82">
      <c r="A57" s="343" t="str">
        <f t="shared" si="14"/>
        <v>开弈投资杨美玲</v>
      </c>
      <c r="B57" s="343" t="s">
        <v>43</v>
      </c>
      <c r="C57" s="343" t="s">
        <v>71</v>
      </c>
      <c r="D57" s="343" t="s">
        <v>252</v>
      </c>
      <c r="E57" s="344" t="s">
        <v>359</v>
      </c>
      <c r="F57" s="343" t="s">
        <v>380</v>
      </c>
      <c r="G57" s="343" t="s">
        <v>366</v>
      </c>
      <c r="H57" s="343" t="s">
        <v>389</v>
      </c>
      <c r="I57" s="343" t="s">
        <v>389</v>
      </c>
      <c r="J57" s="343" t="s">
        <v>257</v>
      </c>
      <c r="K57" s="345">
        <f t="shared" si="15"/>
        <v>6279.25</v>
      </c>
      <c r="L57" s="346">
        <f t="shared" si="16"/>
        <v>6106.8</v>
      </c>
      <c r="M57"/>
      <c r="N57" s="347">
        <v>6</v>
      </c>
      <c r="O57" s="361">
        <v>4216.8</v>
      </c>
      <c r="P57" s="348"/>
      <c r="Q57" s="348">
        <f>VLOOKUP(I57,考勤调整记录!I:W,15,0)</f>
        <v>1890</v>
      </c>
      <c r="R57" s="348"/>
      <c r="S57" s="348">
        <v>172.45</v>
      </c>
      <c r="T57" s="348"/>
      <c r="U57" s="349">
        <f t="shared" si="17"/>
        <v>6279.25</v>
      </c>
      <c r="V57" s="350"/>
      <c r="W57" s="350"/>
      <c r="X57" s="350"/>
      <c r="Y57" s="350"/>
      <c r="Z57" s="350"/>
      <c r="AA57" s="350"/>
      <c r="AB57" s="350"/>
      <c r="AC57" s="349">
        <f t="shared" si="18"/>
        <v>6279.25</v>
      </c>
      <c r="AD57" s="351"/>
      <c r="AE57" s="352">
        <v>202606</v>
      </c>
      <c r="AF57" s="348">
        <f>VLOOKUP(BW57,'HR|社保明细'!C:F,4,0)</f>
        <v>0</v>
      </c>
      <c r="AG57" s="348">
        <f>VLOOKUP($BW57,'HR|社保明细'!$C:G,5,0)</f>
        <v>0</v>
      </c>
      <c r="AH57" s="348">
        <f>VLOOKUP($BW57,'HR|社保明细'!$C:H,6,0)</f>
        <v>0</v>
      </c>
      <c r="AI57" s="348">
        <f>VLOOKUP($BW57,'HR|社保明细'!$C:I,7,0)</f>
        <v>0</v>
      </c>
      <c r="AJ57" s="348">
        <f>VLOOKUP($BW57,'HR|社保明细'!$C:J,8,0)</f>
        <v>0</v>
      </c>
      <c r="AK57" s="348">
        <f>VLOOKUP($BW57,'HR|社保明细'!$C:K,9,0)</f>
        <v>0</v>
      </c>
      <c r="AL57" s="353">
        <f>VLOOKUP($BW57,'HR|社保明细'!$C:L,10,0)</f>
        <v>0</v>
      </c>
      <c r="AM57" s="349">
        <f t="shared" si="19"/>
        <v>0</v>
      </c>
      <c r="AN57" s="348"/>
      <c r="AO57" s="348"/>
      <c r="AP57" s="348"/>
      <c r="AQ57" s="348"/>
      <c r="AR57" s="348"/>
      <c r="AS57" s="348">
        <f t="shared" si="31"/>
        <v>6279.25</v>
      </c>
      <c r="AT57" s="354"/>
      <c r="AU57" s="355">
        <f>VLOOKUP(BW57,hr.个税累计数据!C:DS,121,0)</f>
        <v>37361.7</v>
      </c>
      <c r="AV57" s="348">
        <f>IF(AU57-5000*N57-VLOOKUP(A57,hr.个税累计数据!C:DT,122,0)-VLOOKUP(A57,hr.个税累计数据!C:DU,123,0)&gt;0,AU57-5000*N57-VLOOKUP(A57,hr.个税累计数据!C:DT,122,0)-VLOOKUP(A57,hr.个税累计数据!C:DU,123,0),0)</f>
        <v>0</v>
      </c>
      <c r="AW57" s="348">
        <f>VLOOKUP(BW57,hr.个税累计数据!C:DV,124,0)</f>
        <v>0</v>
      </c>
      <c r="AX57" s="348"/>
      <c r="AY57" s="349" cm="1">
        <f t="array" ref="AY57">IF(ROUND(MAX(AV57*{0.03,0.1,0.2,0.25,0.3,0.35,0.45}-{0,210,1410,2660,4410,7160,15160}*12)-AW57,2)&lt;=0,0,ROUND(MAX(AV57*{0.03,0.1,0.2,0.25,0.3,0.35,0.45}-{0,210,1410,2660,4410,7160,15160}*12)-AW57,2))</f>
        <v>0</v>
      </c>
      <c r="AZ57" s="348">
        <f t="shared" si="20"/>
        <v>-172.45</v>
      </c>
      <c r="BA57" s="348"/>
      <c r="BB57" s="348">
        <f t="shared" si="21"/>
        <v>6106.8</v>
      </c>
      <c r="BC57" s="353"/>
      <c r="BD57" s="349">
        <f t="shared" si="22"/>
        <v>6106.8</v>
      </c>
      <c r="BE57" s="356">
        <f>VLOOKUP($BW57,'HR|社保明细'!C:T,11,0)</f>
        <v>0</v>
      </c>
      <c r="BF57" s="348">
        <f>VLOOKUP($BW57,'HR|社保明细'!$C:U,12,0)</f>
        <v>0</v>
      </c>
      <c r="BG57" s="348">
        <f>VLOOKUP($BW57,'HR|社保明细'!$C:V,13,0)</f>
        <v>0</v>
      </c>
      <c r="BH57" s="348">
        <f>VLOOKUP($BW57,'HR|社保明细'!$C:W,14,0)</f>
        <v>0</v>
      </c>
      <c r="BI57" s="348">
        <f>VLOOKUP($BW57,'HR|社保明细'!$C:X,15,0)</f>
        <v>0</v>
      </c>
      <c r="BJ57" s="348">
        <f>VLOOKUP($BW57,'HR|社保明细'!$C:Y,16,0)</f>
        <v>0</v>
      </c>
      <c r="BK57" s="353">
        <f>VLOOKUP($BW57,'HR|社保明细'!$C:Z,17,0)</f>
        <v>0</v>
      </c>
      <c r="BL57" s="349">
        <f t="shared" si="23"/>
        <v>0</v>
      </c>
      <c r="BM57" s="354"/>
      <c r="BN57" s="350"/>
      <c r="BO57" s="350"/>
      <c r="BP57" s="350"/>
      <c r="BQ57" s="350"/>
      <c r="BR57" s="349">
        <f t="shared" si="24"/>
        <v>0</v>
      </c>
      <c r="BS57" s="349">
        <f t="shared" si="25"/>
        <v>0</v>
      </c>
      <c r="BT57" s="357">
        <v>1250</v>
      </c>
      <c r="BU57" s="357"/>
      <c r="BV57" s="358"/>
      <c r="BW57" s="359" t="str">
        <f t="shared" si="26"/>
        <v>开弈投资杨美玲</v>
      </c>
      <c r="BX57" s="360" t="s">
        <v>258</v>
      </c>
      <c r="BY57" s="360" t="s">
        <v>273</v>
      </c>
      <c r="BZ57" s="360"/>
      <c r="CA57" s="360" t="str">
        <f>VLOOKUP(A57,hr.个税累计数据!C:C,1,0)</f>
        <v>开弈投资杨美玲</v>
      </c>
      <c r="CB57" s="360" t="s">
        <v>390</v>
      </c>
      <c r="CC57" s="360" t="s">
        <v>273</v>
      </c>
      <c r="CD57" s="243" t="b">
        <f t="shared" si="27"/>
        <v>1</v>
      </c>
    </row>
    <row r="58" s="243" customFormat="1" ht="23" hidden="1" customHeight="1" spans="1:82">
      <c r="A58" s="343" t="str">
        <f t="shared" si="14"/>
        <v>开弈信息杜宪</v>
      </c>
      <c r="B58" s="343" t="s">
        <v>41</v>
      </c>
      <c r="C58" s="343" t="s">
        <v>57</v>
      </c>
      <c r="D58" s="343" t="s">
        <v>252</v>
      </c>
      <c r="E58" s="344" t="s">
        <v>350</v>
      </c>
      <c r="F58" s="343" t="s">
        <v>352</v>
      </c>
      <c r="G58" s="343" t="s">
        <v>391</v>
      </c>
      <c r="H58" s="343" t="s">
        <v>392</v>
      </c>
      <c r="I58" s="343" t="s">
        <v>392</v>
      </c>
      <c r="J58" s="343" t="s">
        <v>257</v>
      </c>
      <c r="K58" s="345">
        <f t="shared" si="15"/>
        <v>31718.2</v>
      </c>
      <c r="L58" s="346">
        <f t="shared" si="16"/>
        <v>20187.58</v>
      </c>
      <c r="M58"/>
      <c r="N58" s="347">
        <v>6</v>
      </c>
      <c r="O58" s="361">
        <v>14000</v>
      </c>
      <c r="P58" s="348"/>
      <c r="Q58" s="348">
        <f>VLOOKUP(I58,考勤调整记录!I:W,15,0)</f>
        <v>0</v>
      </c>
      <c r="R58" s="348"/>
      <c r="S58" s="348">
        <v>155.8</v>
      </c>
      <c r="T58" s="348">
        <v>11000</v>
      </c>
      <c r="U58" s="349">
        <f t="shared" si="17"/>
        <v>25155.8</v>
      </c>
      <c r="V58" s="350">
        <v>1152.4</v>
      </c>
      <c r="W58" s="350">
        <v>-1575</v>
      </c>
      <c r="X58" s="350"/>
      <c r="Y58" s="350"/>
      <c r="Z58" s="350"/>
      <c r="AA58" s="350"/>
      <c r="AB58" s="350"/>
      <c r="AC58" s="349">
        <f t="shared" si="18"/>
        <v>24733.2</v>
      </c>
      <c r="AD58" s="351"/>
      <c r="AE58" s="352">
        <v>202606</v>
      </c>
      <c r="AF58" s="348">
        <f>VLOOKUP(BW58,'HR|社保明细'!C:F,4,0)</f>
        <v>25000</v>
      </c>
      <c r="AG58" s="348">
        <f>VLOOKUP($BW58,'HR|社保明细'!$C:G,5,0)</f>
        <v>8000</v>
      </c>
      <c r="AH58" s="348">
        <f>VLOOKUP($BW58,'HR|社保明细'!$C:H,6,0)</f>
        <v>2000</v>
      </c>
      <c r="AI58" s="348">
        <f>VLOOKUP($BW58,'HR|社保明细'!$C:I,7,0)</f>
        <v>500</v>
      </c>
      <c r="AJ58" s="348">
        <f>VLOOKUP($BW58,'HR|社保明细'!$C:J,8,0)</f>
        <v>125</v>
      </c>
      <c r="AK58" s="348">
        <f>VLOOKUP($BW58,'HR|社保明细'!$C:K,9,0)</f>
        <v>560</v>
      </c>
      <c r="AL58" s="353">
        <f>VLOOKUP($BW58,'HR|社保明细'!$C:L,10,0)</f>
        <v>0</v>
      </c>
      <c r="AM58" s="349">
        <f t="shared" si="19"/>
        <v>3185</v>
      </c>
      <c r="AN58" s="348"/>
      <c r="AO58" s="348"/>
      <c r="AP58" s="348"/>
      <c r="AQ58" s="348"/>
      <c r="AR58" s="348"/>
      <c r="AS58" s="348">
        <f t="shared" si="31"/>
        <v>21548.2</v>
      </c>
      <c r="AT58" s="354"/>
      <c r="AU58" s="355">
        <f>VLOOKUP(BW58,hr.个税累计数据!C:DS,121,0)</f>
        <v>153034.85</v>
      </c>
      <c r="AV58" s="348">
        <f>IF(AU58-5000*N58-VLOOKUP(A58,hr.个税累计数据!C:DT,122,0)-VLOOKUP(A58,hr.个税累计数据!C:DU,123,0)&gt;0,AU58-5000*N58-VLOOKUP(A58,hr.个税累计数据!C:DT,122,0)-VLOOKUP(A58,hr.个税累计数据!C:DU,123,0),0)</f>
        <v>88924.85</v>
      </c>
      <c r="AW58" s="348">
        <f>VLOOKUP(BW58,hr.个税累计数据!C:DV,124,0)</f>
        <v>5167.67</v>
      </c>
      <c r="AX58" s="348"/>
      <c r="AY58" s="349">
        <f>IF(ROUND(MAX(AV58*{0.03,0.1,0.2,0.25,0.3,0.35,0.45}-{0,210,1410,2660,4410,7160,15160}*12)-AW58,2)&lt;=0,0,ROUND(MAX(AV58*{0.03,0.1,0.2,0.25,0.3,0.35,0.45}-{0,210,1410,2660,4410,7160,15160}*12)-AW58,2))</f>
        <v>1204.82</v>
      </c>
      <c r="AZ58" s="348">
        <f t="shared" si="20"/>
        <v>-155.8</v>
      </c>
      <c r="BA58" s="348"/>
      <c r="BB58" s="348">
        <f t="shared" si="21"/>
        <v>20187.58</v>
      </c>
      <c r="BC58" s="353"/>
      <c r="BD58" s="349">
        <f t="shared" si="22"/>
        <v>20187.58</v>
      </c>
      <c r="BE58" s="356">
        <f>VLOOKUP($BW58,'HR|社保明细'!C:T,11,0)</f>
        <v>4000</v>
      </c>
      <c r="BF58" s="348">
        <f>VLOOKUP($BW58,'HR|社保明细'!$C:U,12,0)</f>
        <v>2000</v>
      </c>
      <c r="BG58" s="348">
        <f>VLOOKUP($BW58,'HR|社保明细'!$C:V,13,0)</f>
        <v>125</v>
      </c>
      <c r="BH58" s="348">
        <f>VLOOKUP($BW58,'HR|社保明细'!$C:W,14,0)</f>
        <v>50</v>
      </c>
      <c r="BI58" s="348">
        <f>VLOOKUP($BW58,'HR|社保明细'!$C:X,15,0)</f>
        <v>250</v>
      </c>
      <c r="BJ58" s="348">
        <f>VLOOKUP($BW58,'HR|社保明细'!$C:Y,16,0)</f>
        <v>560</v>
      </c>
      <c r="BK58" s="353">
        <f>VLOOKUP($BW58,'HR|社保明细'!$C:Z,17,0)</f>
        <v>0</v>
      </c>
      <c r="BL58" s="349">
        <f t="shared" si="23"/>
        <v>6985</v>
      </c>
      <c r="BM58" s="354"/>
      <c r="BN58" s="350"/>
      <c r="BO58" s="350"/>
      <c r="BP58" s="350"/>
      <c r="BQ58" s="350"/>
      <c r="BR58" s="349">
        <f t="shared" si="24"/>
        <v>0</v>
      </c>
      <c r="BS58" s="349">
        <f t="shared" si="25"/>
        <v>-422.6</v>
      </c>
      <c r="BT58" s="357">
        <v>1250</v>
      </c>
      <c r="BU58" s="357"/>
      <c r="BV58" s="358"/>
      <c r="BW58" s="359" t="str">
        <f t="shared" si="26"/>
        <v>开弈信息杜宪</v>
      </c>
      <c r="BX58" s="360"/>
      <c r="BY58" s="360" t="s">
        <v>273</v>
      </c>
      <c r="BZ58" s="360"/>
      <c r="CA58" s="360" t="str">
        <f>VLOOKUP(A58,hr.个税累计数据!C:C,1,0)</f>
        <v>开弈信息杜宪</v>
      </c>
      <c r="CB58" s="360" t="s">
        <v>393</v>
      </c>
      <c r="CC58" s="360" t="s">
        <v>273</v>
      </c>
      <c r="CD58" s="243" t="b">
        <f t="shared" si="27"/>
        <v>1</v>
      </c>
    </row>
    <row r="59" s="243" customFormat="1" ht="23" hidden="1" customHeight="1" spans="1:82">
      <c r="A59" s="343" t="str">
        <f t="shared" si="14"/>
        <v>开弈信息黄欢欢</v>
      </c>
      <c r="B59" s="343" t="s">
        <v>30</v>
      </c>
      <c r="C59" s="343" t="s">
        <v>57</v>
      </c>
      <c r="D59" s="343" t="s">
        <v>252</v>
      </c>
      <c r="E59" s="344" t="s">
        <v>355</v>
      </c>
      <c r="F59" s="343" t="s">
        <v>134</v>
      </c>
      <c r="G59" s="343" t="s">
        <v>394</v>
      </c>
      <c r="H59" s="343" t="s">
        <v>105</v>
      </c>
      <c r="I59" s="343" t="s">
        <v>105</v>
      </c>
      <c r="J59" s="343" t="s">
        <v>257</v>
      </c>
      <c r="K59" s="345">
        <f t="shared" si="15"/>
        <v>31353.3</v>
      </c>
      <c r="L59" s="346">
        <f t="shared" si="16"/>
        <v>19307.17</v>
      </c>
      <c r="M59"/>
      <c r="N59" s="347">
        <v>6</v>
      </c>
      <c r="O59" s="361">
        <v>25000</v>
      </c>
      <c r="P59" s="348"/>
      <c r="Q59" s="348">
        <f>VLOOKUP(I59,考勤调整记录!I:W,15,0)</f>
        <v>0</v>
      </c>
      <c r="R59" s="348"/>
      <c r="S59" s="348">
        <v>155.8</v>
      </c>
      <c r="T59" s="348"/>
      <c r="U59" s="349">
        <f t="shared" si="17"/>
        <v>25155.8</v>
      </c>
      <c r="V59" s="350"/>
      <c r="W59" s="350">
        <f>ROUND((O59)*(0.9629-1),2)</f>
        <v>-927.5</v>
      </c>
      <c r="X59" s="350"/>
      <c r="Y59" s="350"/>
      <c r="Z59" s="350"/>
      <c r="AA59" s="350"/>
      <c r="AB59" s="350"/>
      <c r="AC59" s="349">
        <f t="shared" si="18"/>
        <v>24228.3</v>
      </c>
      <c r="AD59" s="351"/>
      <c r="AE59" s="352">
        <v>202606</v>
      </c>
      <c r="AF59" s="348">
        <f>VLOOKUP(BW59,'HR|社保明细'!C:F,4,0)</f>
        <v>25000</v>
      </c>
      <c r="AG59" s="348">
        <f>VLOOKUP($BW59,'HR|社保明细'!$C:G,5,0)</f>
        <v>10000</v>
      </c>
      <c r="AH59" s="348">
        <f>VLOOKUP($BW59,'HR|社保明细'!$C:H,6,0)</f>
        <v>2000</v>
      </c>
      <c r="AI59" s="348">
        <f>VLOOKUP($BW59,'HR|社保明细'!$C:I,7,0)</f>
        <v>500</v>
      </c>
      <c r="AJ59" s="348">
        <f>VLOOKUP($BW59,'HR|社保明细'!$C:J,8,0)</f>
        <v>125</v>
      </c>
      <c r="AK59" s="348">
        <f>VLOOKUP($BW59,'HR|社保明细'!$C:K,9,0)</f>
        <v>700</v>
      </c>
      <c r="AL59" s="353">
        <f>VLOOKUP($BW59,'HR|社保明细'!$C:L,10,0)</f>
        <v>0</v>
      </c>
      <c r="AM59" s="349">
        <f t="shared" si="19"/>
        <v>3325</v>
      </c>
      <c r="AN59" s="348"/>
      <c r="AO59" s="348"/>
      <c r="AP59" s="348">
        <v>1500</v>
      </c>
      <c r="AQ59" s="348"/>
      <c r="AR59" s="348"/>
      <c r="AS59" s="348">
        <f t="shared" si="31"/>
        <v>19403.3</v>
      </c>
      <c r="AT59" s="354"/>
      <c r="AU59" s="355">
        <f>VLOOKUP(BW59,hr.个税累计数据!C:DS,121,0)</f>
        <v>135445.65</v>
      </c>
      <c r="AV59" s="348">
        <f>IF(AU59-5000*N59-VLOOKUP(A59,hr.个税累计数据!C:DT,122,0)-VLOOKUP(A59,hr.个税累计数据!C:DU,123,0)&gt;0,AU59-5000*N59-VLOOKUP(A59,hr.个税累计数据!C:DT,122,0)-VLOOKUP(A59,hr.个税累计数据!C:DU,123,0),0)</f>
        <v>76495.65</v>
      </c>
      <c r="AW59" s="348">
        <f>VLOOKUP(BW59,hr.个税累计数据!C:DV,124,0)</f>
        <v>3689.24</v>
      </c>
      <c r="AX59" s="348"/>
      <c r="AY59" s="349">
        <f>IF(ROUND(MAX(AV59*{0.03,0.1,0.2,0.25,0.3,0.35,0.45}-{0,210,1410,2660,4410,7160,15160}*12)-AW59,2)&lt;=0,0,ROUND(MAX(AV59*{0.03,0.1,0.2,0.25,0.3,0.35,0.45}-{0,210,1410,2660,4410,7160,15160}*12)-AW59,2))</f>
        <v>1440.33</v>
      </c>
      <c r="AZ59" s="348">
        <f t="shared" si="20"/>
        <v>-155.8</v>
      </c>
      <c r="BA59" s="348"/>
      <c r="BB59" s="348">
        <f t="shared" si="21"/>
        <v>19307.17</v>
      </c>
      <c r="BC59" s="353"/>
      <c r="BD59" s="349">
        <f t="shared" si="22"/>
        <v>19307.17</v>
      </c>
      <c r="BE59" s="356">
        <f>VLOOKUP($BW59,'HR|社保明细'!C:T,11,0)</f>
        <v>4000</v>
      </c>
      <c r="BF59" s="348">
        <f>VLOOKUP($BW59,'HR|社保明细'!$C:U,12,0)</f>
        <v>2000</v>
      </c>
      <c r="BG59" s="348">
        <f>VLOOKUP($BW59,'HR|社保明细'!$C:V,13,0)</f>
        <v>125</v>
      </c>
      <c r="BH59" s="348">
        <f>VLOOKUP($BW59,'HR|社保明细'!$C:W,14,0)</f>
        <v>50</v>
      </c>
      <c r="BI59" s="348">
        <f>VLOOKUP($BW59,'HR|社保明细'!$C:X,15,0)</f>
        <v>250</v>
      </c>
      <c r="BJ59" s="348">
        <f>VLOOKUP($BW59,'HR|社保明细'!$C:Y,16,0)</f>
        <v>700</v>
      </c>
      <c r="BK59" s="353">
        <f>VLOOKUP($BW59,'HR|社保明细'!$C:Z,17,0)</f>
        <v>0</v>
      </c>
      <c r="BL59" s="349">
        <f t="shared" si="23"/>
        <v>7125</v>
      </c>
      <c r="BM59" s="354"/>
      <c r="BN59" s="350"/>
      <c r="BO59" s="350"/>
      <c r="BP59" s="350"/>
      <c r="BQ59" s="350"/>
      <c r="BR59" s="349">
        <f t="shared" si="24"/>
        <v>0</v>
      </c>
      <c r="BS59" s="349">
        <f t="shared" si="25"/>
        <v>-927.5</v>
      </c>
      <c r="BT59" s="357">
        <v>1250</v>
      </c>
      <c r="BU59" s="357"/>
      <c r="BV59" s="358"/>
      <c r="BW59" s="359" t="str">
        <f t="shared" si="26"/>
        <v>开弈信息黄欢欢</v>
      </c>
      <c r="BX59" s="360"/>
      <c r="BY59" s="360" t="s">
        <v>273</v>
      </c>
      <c r="BZ59" s="360" t="s">
        <v>321</v>
      </c>
      <c r="CA59" s="360" t="str">
        <f>VLOOKUP(A59,hr.个税累计数据!C:C,1,0)</f>
        <v>开弈信息黄欢欢</v>
      </c>
      <c r="CB59" s="360" t="s">
        <v>395</v>
      </c>
      <c r="CC59" s="360" t="s">
        <v>273</v>
      </c>
      <c r="CD59" s="243" t="b">
        <f t="shared" si="27"/>
        <v>1</v>
      </c>
    </row>
    <row r="60" s="243" customFormat="1" ht="23" hidden="1" customHeight="1" spans="1:82">
      <c r="A60" s="343" t="str">
        <f t="shared" si="14"/>
        <v>开弈信息沈明明</v>
      </c>
      <c r="B60" s="343" t="s">
        <v>30</v>
      </c>
      <c r="C60" s="343" t="s">
        <v>57</v>
      </c>
      <c r="D60" s="343" t="s">
        <v>252</v>
      </c>
      <c r="E60" s="344" t="s">
        <v>355</v>
      </c>
      <c r="F60" s="343" t="s">
        <v>105</v>
      </c>
      <c r="G60" s="343" t="s">
        <v>396</v>
      </c>
      <c r="H60" s="343" t="s">
        <v>397</v>
      </c>
      <c r="I60" s="343" t="s">
        <v>397</v>
      </c>
      <c r="J60" s="343" t="s">
        <v>257</v>
      </c>
      <c r="K60" s="345">
        <f t="shared" si="15"/>
        <v>12090.02</v>
      </c>
      <c r="L60" s="346">
        <f t="shared" si="16"/>
        <v>8144.03</v>
      </c>
      <c r="M60"/>
      <c r="N60" s="347">
        <v>6</v>
      </c>
      <c r="O60" s="361">
        <v>9500</v>
      </c>
      <c r="P60" s="348"/>
      <c r="Q60" s="348">
        <f>VLOOKUP(I60,考勤调整记录!I:W,15,0)</f>
        <v>0</v>
      </c>
      <c r="R60" s="348"/>
      <c r="S60" s="348">
        <v>155.8</v>
      </c>
      <c r="T60" s="348"/>
      <c r="U60" s="349">
        <f t="shared" si="17"/>
        <v>9655.8</v>
      </c>
      <c r="V60" s="350"/>
      <c r="W60" s="350"/>
      <c r="X60" s="350"/>
      <c r="Y60" s="350"/>
      <c r="Z60" s="350"/>
      <c r="AA60" s="350"/>
      <c r="AB60" s="350"/>
      <c r="AC60" s="349">
        <f t="shared" si="18"/>
        <v>9655.8</v>
      </c>
      <c r="AD60" s="351"/>
      <c r="AE60" s="352">
        <v>202606</v>
      </c>
      <c r="AF60" s="348">
        <f>VLOOKUP(BW60,'HR|社保明细'!C:F,4,0)</f>
        <v>7460</v>
      </c>
      <c r="AG60" s="348">
        <f>VLOOKUP($BW60,'HR|社保明细'!$C:G,5,0)</f>
        <v>7384</v>
      </c>
      <c r="AH60" s="348">
        <f>VLOOKUP($BW60,'HR|社保明细'!$C:H,6,0)</f>
        <v>596.8</v>
      </c>
      <c r="AI60" s="348">
        <f>VLOOKUP($BW60,'HR|社保明细'!$C:I,7,0)</f>
        <v>149.2</v>
      </c>
      <c r="AJ60" s="348">
        <f>VLOOKUP($BW60,'HR|社保明细'!$C:J,8,0)</f>
        <v>37.3</v>
      </c>
      <c r="AK60" s="348">
        <f>VLOOKUP($BW60,'HR|社保明细'!$C:K,9,0)</f>
        <v>517</v>
      </c>
      <c r="AL60" s="353">
        <f>VLOOKUP($BW60,'HR|社保明细'!$C:L,10,0)</f>
        <v>0</v>
      </c>
      <c r="AM60" s="349">
        <f t="shared" si="19"/>
        <v>1300.3</v>
      </c>
      <c r="AN60" s="348"/>
      <c r="AO60" s="348"/>
      <c r="AP60" s="348">
        <v>1500</v>
      </c>
      <c r="AQ60" s="348"/>
      <c r="AR60" s="348"/>
      <c r="AS60" s="348">
        <f t="shared" si="31"/>
        <v>6855.5</v>
      </c>
      <c r="AT60" s="354"/>
      <c r="AU60" s="355">
        <f>VLOOKUP(BW60,hr.个税累计数据!C:DS,121,0)</f>
        <v>56459.01</v>
      </c>
      <c r="AV60" s="348">
        <f>IF(AU60-5000*N60-VLOOKUP(A60,hr.个税累计数据!C:DT,122,0)-VLOOKUP(A60,hr.个税累计数据!C:DU,123,0)&gt;0,AU60-5000*N60-VLOOKUP(A60,hr.个税累计数据!C:DT,122,0)-VLOOKUP(A60,hr.个税累计数据!C:DU,123,0),0)</f>
        <v>9657.21000000001</v>
      </c>
      <c r="AW60" s="348">
        <f>VLOOKUP(BW60,hr.个税累计数据!C:DV,124,0)</f>
        <v>234.05</v>
      </c>
      <c r="AX60" s="348"/>
      <c r="AY60" s="349">
        <f>IF(ROUND(MAX(AV60*{0.03,0.1,0.2,0.25,0.3,0.35,0.45}-{0,210,1410,2660,4410,7160,15160}*12)-AW60,2)&lt;=0,0,ROUND(MAX(AV60*{0.03,0.1,0.2,0.25,0.3,0.35,0.45}-{0,210,1410,2660,4410,7160,15160}*12)-AW60,2))</f>
        <v>55.67</v>
      </c>
      <c r="AZ60" s="348">
        <f t="shared" si="20"/>
        <v>-155.8</v>
      </c>
      <c r="BA60" s="348"/>
      <c r="BB60" s="348">
        <f t="shared" si="21"/>
        <v>8144.03</v>
      </c>
      <c r="BC60" s="353"/>
      <c r="BD60" s="349">
        <f t="shared" si="22"/>
        <v>8144.03</v>
      </c>
      <c r="BE60" s="356">
        <f>VLOOKUP($BW60,'HR|社保明细'!C:T,11,0)</f>
        <v>1193.6</v>
      </c>
      <c r="BF60" s="348">
        <f>VLOOKUP($BW60,'HR|社保明细'!$C:U,12,0)</f>
        <v>596.8</v>
      </c>
      <c r="BG60" s="348">
        <f>VLOOKUP($BW60,'HR|社保明细'!$C:V,13,0)</f>
        <v>37.3</v>
      </c>
      <c r="BH60" s="348">
        <f>VLOOKUP($BW60,'HR|社保明细'!$C:W,14,0)</f>
        <v>14.92</v>
      </c>
      <c r="BI60" s="348">
        <f>VLOOKUP($BW60,'HR|社保明细'!$C:X,15,0)</f>
        <v>74.6</v>
      </c>
      <c r="BJ60" s="348">
        <f>VLOOKUP($BW60,'HR|社保明细'!$C:Y,16,0)</f>
        <v>517</v>
      </c>
      <c r="BK60" s="353">
        <f>VLOOKUP($BW60,'HR|社保明细'!$C:Z,17,0)</f>
        <v>0</v>
      </c>
      <c r="BL60" s="349">
        <f t="shared" si="23"/>
        <v>2434.22</v>
      </c>
      <c r="BM60" s="354"/>
      <c r="BN60" s="350"/>
      <c r="BO60" s="350"/>
      <c r="BP60" s="350"/>
      <c r="BQ60" s="350"/>
      <c r="BR60" s="349">
        <f t="shared" si="24"/>
        <v>0</v>
      </c>
      <c r="BS60" s="349">
        <f t="shared" si="25"/>
        <v>0</v>
      </c>
      <c r="BT60" s="357">
        <v>1250</v>
      </c>
      <c r="BU60" s="357"/>
      <c r="BV60" s="358"/>
      <c r="BW60" s="359" t="str">
        <f t="shared" si="26"/>
        <v>开弈信息沈明明</v>
      </c>
      <c r="BX60" s="360"/>
      <c r="BY60" s="360" t="s">
        <v>273</v>
      </c>
      <c r="BZ60" s="360" t="s">
        <v>321</v>
      </c>
      <c r="CA60" s="360" t="str">
        <f>VLOOKUP(A60,hr.个税累计数据!C:C,1,0)</f>
        <v>开弈信息沈明明</v>
      </c>
      <c r="CB60" s="360" t="s">
        <v>398</v>
      </c>
      <c r="CC60" s="360" t="s">
        <v>273</v>
      </c>
      <c r="CD60" s="243" t="b">
        <f t="shared" si="27"/>
        <v>1</v>
      </c>
    </row>
    <row r="61" s="243" customFormat="1" ht="23" hidden="1" customHeight="1" spans="1:82">
      <c r="A61" s="343" t="str">
        <f t="shared" si="14"/>
        <v>开弈信息黄燕婷</v>
      </c>
      <c r="B61" s="343" t="s">
        <v>45</v>
      </c>
      <c r="C61" s="343" t="s">
        <v>57</v>
      </c>
      <c r="D61" s="343" t="s">
        <v>252</v>
      </c>
      <c r="E61" s="344" t="s">
        <v>399</v>
      </c>
      <c r="F61" s="343" t="s">
        <v>400</v>
      </c>
      <c r="G61" s="343" t="s">
        <v>401</v>
      </c>
      <c r="H61" s="343" t="s">
        <v>108</v>
      </c>
      <c r="I61" s="343" t="s">
        <v>108</v>
      </c>
      <c r="J61" s="343" t="s">
        <v>257</v>
      </c>
      <c r="K61" s="345">
        <f t="shared" si="15"/>
        <v>14979.67</v>
      </c>
      <c r="L61" s="346">
        <f t="shared" si="16"/>
        <v>10892.3</v>
      </c>
      <c r="M61"/>
      <c r="N61" s="347">
        <v>6</v>
      </c>
      <c r="O61" s="361">
        <v>8500</v>
      </c>
      <c r="P61" s="348"/>
      <c r="Q61" s="348">
        <f>VLOOKUP(I61,考勤调整记录!I:W,15,0)</f>
        <v>4200</v>
      </c>
      <c r="R61" s="348"/>
      <c r="S61" s="348">
        <v>155.8</v>
      </c>
      <c r="T61" s="348"/>
      <c r="U61" s="349">
        <f t="shared" si="17"/>
        <v>12855.8</v>
      </c>
      <c r="V61" s="350"/>
      <c r="W61" s="350">
        <v>-315.35</v>
      </c>
      <c r="X61" s="350"/>
      <c r="Y61" s="350"/>
      <c r="Z61" s="350"/>
      <c r="AA61" s="350"/>
      <c r="AB61" s="350"/>
      <c r="AC61" s="349">
        <f t="shared" si="18"/>
        <v>12540.45</v>
      </c>
      <c r="AD61" s="351"/>
      <c r="AE61" s="352">
        <v>202606</v>
      </c>
      <c r="AF61" s="348">
        <f>VLOOKUP(BW61,'HR|社保明细'!C:F,4,0)</f>
        <v>7460</v>
      </c>
      <c r="AG61" s="348">
        <f>VLOOKUP($BW61,'HR|社保明细'!$C:G,5,0)</f>
        <v>7460</v>
      </c>
      <c r="AH61" s="348">
        <f>VLOOKUP($BW61,'HR|社保明细'!$C:H,6,0)</f>
        <v>596.8</v>
      </c>
      <c r="AI61" s="348">
        <f>VLOOKUP($BW61,'HR|社保明细'!$C:I,7,0)</f>
        <v>149.2</v>
      </c>
      <c r="AJ61" s="348">
        <f>VLOOKUP($BW61,'HR|社保明细'!$C:J,8,0)</f>
        <v>37.3</v>
      </c>
      <c r="AK61" s="348">
        <f>VLOOKUP($BW61,'HR|社保明细'!$C:K,9,0)</f>
        <v>522</v>
      </c>
      <c r="AL61" s="353">
        <f>VLOOKUP($BW61,'HR|社保明细'!$C:L,10,0)</f>
        <v>0</v>
      </c>
      <c r="AM61" s="349">
        <f t="shared" si="19"/>
        <v>1305.3</v>
      </c>
      <c r="AN61" s="348"/>
      <c r="AO61" s="348"/>
      <c r="AP61" s="348"/>
      <c r="AQ61" s="348"/>
      <c r="AR61" s="348"/>
      <c r="AS61" s="348">
        <f t="shared" si="31"/>
        <v>11235.15</v>
      </c>
      <c r="AT61" s="354"/>
      <c r="AU61" s="355">
        <f>VLOOKUP(BW61,hr.个税累计数据!C:DS,121,0)</f>
        <v>50989.59</v>
      </c>
      <c r="AV61" s="348">
        <f>IF(AU61-5000*N61-VLOOKUP(A61,hr.个税累计数据!C:DT,122,0)-VLOOKUP(A61,hr.个税累计数据!C:DU,123,0)&gt;0,AU61-5000*N61-VLOOKUP(A61,hr.个税累计数据!C:DT,122,0)-VLOOKUP(A61,hr.个税累计数据!C:DU,123,0),0)</f>
        <v>13157.79</v>
      </c>
      <c r="AW61" s="348">
        <f>VLOOKUP(BW61,hr.个税累计数据!C:DV,124,0)</f>
        <v>207.68</v>
      </c>
      <c r="AX61" s="348"/>
      <c r="AY61" s="349">
        <f>IF(ROUND(MAX(AV61*{0.03,0.1,0.2,0.25,0.3,0.35,0.45}-{0,210,1410,2660,4410,7160,15160}*12)-AW61,2)&lt;=0,0,ROUND(MAX(AV61*{0.03,0.1,0.2,0.25,0.3,0.35,0.45}-{0,210,1410,2660,4410,7160,15160}*12)-AW61,2))</f>
        <v>187.05</v>
      </c>
      <c r="AZ61" s="348">
        <f t="shared" si="20"/>
        <v>-155.8</v>
      </c>
      <c r="BA61" s="348"/>
      <c r="BB61" s="348">
        <f t="shared" si="21"/>
        <v>10892.3</v>
      </c>
      <c r="BC61" s="353"/>
      <c r="BD61" s="349">
        <f t="shared" si="22"/>
        <v>10892.3</v>
      </c>
      <c r="BE61" s="356">
        <f>VLOOKUP($BW61,'HR|社保明细'!C:T,11,0)</f>
        <v>1193.6</v>
      </c>
      <c r="BF61" s="348">
        <f>VLOOKUP($BW61,'HR|社保明细'!$C:U,12,0)</f>
        <v>596.8</v>
      </c>
      <c r="BG61" s="348">
        <f>VLOOKUP($BW61,'HR|社保明细'!$C:V,13,0)</f>
        <v>37.3</v>
      </c>
      <c r="BH61" s="348">
        <f>VLOOKUP($BW61,'HR|社保明细'!$C:W,14,0)</f>
        <v>14.92</v>
      </c>
      <c r="BI61" s="348">
        <f>VLOOKUP($BW61,'HR|社保明细'!$C:X,15,0)</f>
        <v>74.6</v>
      </c>
      <c r="BJ61" s="348">
        <f>VLOOKUP($BW61,'HR|社保明细'!$C:Y,16,0)</f>
        <v>522</v>
      </c>
      <c r="BK61" s="353">
        <f>VLOOKUP($BW61,'HR|社保明细'!$C:Z,17,0)</f>
        <v>0</v>
      </c>
      <c r="BL61" s="349">
        <f t="shared" si="23"/>
        <v>2439.22</v>
      </c>
      <c r="BM61" s="354"/>
      <c r="BN61" s="350"/>
      <c r="BO61" s="350"/>
      <c r="BP61" s="350"/>
      <c r="BQ61" s="350"/>
      <c r="BR61" s="349">
        <f t="shared" si="24"/>
        <v>0</v>
      </c>
      <c r="BS61" s="349">
        <f t="shared" si="25"/>
        <v>-315.35</v>
      </c>
      <c r="BT61" s="357">
        <v>1250</v>
      </c>
      <c r="BU61" s="357"/>
      <c r="BV61" s="358"/>
      <c r="BW61" s="359" t="str">
        <f t="shared" si="26"/>
        <v>开弈信息黄燕婷</v>
      </c>
      <c r="BX61" s="360"/>
      <c r="BY61" s="360" t="s">
        <v>273</v>
      </c>
      <c r="BZ61" s="360" t="s">
        <v>321</v>
      </c>
      <c r="CA61" s="360" t="str">
        <f>VLOOKUP(A61,hr.个税累计数据!C:C,1,0)</f>
        <v>开弈信息黄燕婷</v>
      </c>
      <c r="CB61" s="360" t="s">
        <v>402</v>
      </c>
      <c r="CC61" s="360" t="s">
        <v>273</v>
      </c>
      <c r="CD61" s="243" t="b">
        <f t="shared" si="27"/>
        <v>1</v>
      </c>
    </row>
    <row r="62" s="243" customFormat="1" ht="23" customHeight="1" spans="1:82">
      <c r="A62" s="343" t="str">
        <f t="shared" si="14"/>
        <v>开弈信息王倩</v>
      </c>
      <c r="B62" s="343" t="s">
        <v>31</v>
      </c>
      <c r="C62" s="343" t="s">
        <v>57</v>
      </c>
      <c r="D62" s="343" t="s">
        <v>267</v>
      </c>
      <c r="E62" s="344" t="s">
        <v>268</v>
      </c>
      <c r="F62" s="343" t="s">
        <v>134</v>
      </c>
      <c r="G62" s="343" t="s">
        <v>269</v>
      </c>
      <c r="H62" s="343" t="s">
        <v>270</v>
      </c>
      <c r="I62" s="343" t="s">
        <v>270</v>
      </c>
      <c r="J62" s="343" t="s">
        <v>271</v>
      </c>
      <c r="K62" s="345">
        <f t="shared" si="15"/>
        <v>1000</v>
      </c>
      <c r="L62" s="346">
        <f t="shared" si="16"/>
        <v>960</v>
      </c>
      <c r="M62"/>
      <c r="N62" s="347">
        <v>6</v>
      </c>
      <c r="O62" s="361">
        <v>1000</v>
      </c>
      <c r="P62" s="348"/>
      <c r="Q62" s="348"/>
      <c r="R62" s="348"/>
      <c r="S62" s="348"/>
      <c r="T62" s="348"/>
      <c r="U62" s="349">
        <f t="shared" si="17"/>
        <v>1000</v>
      </c>
      <c r="V62" s="350"/>
      <c r="W62" s="350"/>
      <c r="X62" s="350"/>
      <c r="Y62" s="350"/>
      <c r="Z62" s="350"/>
      <c r="AA62" s="350"/>
      <c r="AB62" s="350"/>
      <c r="AC62" s="349">
        <f t="shared" si="18"/>
        <v>1000</v>
      </c>
      <c r="AD62" s="351"/>
      <c r="AE62" s="352">
        <v>202606</v>
      </c>
      <c r="AF62" s="348">
        <f>VLOOKUP(BW62,'HR|社保明细'!C:F,4,0)</f>
        <v>0</v>
      </c>
      <c r="AG62" s="348">
        <f>VLOOKUP($BW62,'HR|社保明细'!$C:G,5,0)</f>
        <v>0</v>
      </c>
      <c r="AH62" s="348">
        <f>VLOOKUP($BW62,'HR|社保明细'!$C:H,6,0)</f>
        <v>0</v>
      </c>
      <c r="AI62" s="348">
        <f>VLOOKUP($BW62,'HR|社保明细'!$C:I,7,0)</f>
        <v>0</v>
      </c>
      <c r="AJ62" s="348">
        <f>VLOOKUP($BW62,'HR|社保明细'!$C:J,8,0)</f>
        <v>0</v>
      </c>
      <c r="AK62" s="348">
        <f>VLOOKUP($BW62,'HR|社保明细'!$C:K,9,0)</f>
        <v>0</v>
      </c>
      <c r="AL62" s="353">
        <f>VLOOKUP($BW62,'HR|社保明细'!$C:L,10,0)</f>
        <v>0</v>
      </c>
      <c r="AM62" s="349">
        <f t="shared" si="19"/>
        <v>0</v>
      </c>
      <c r="AN62" s="348"/>
      <c r="AO62" s="348"/>
      <c r="AP62" s="348"/>
      <c r="AQ62" s="348"/>
      <c r="AR62" s="348"/>
      <c r="AS62" s="348">
        <v>1000</v>
      </c>
      <c r="AT62" s="354"/>
      <c r="AU62" s="355">
        <f>VLOOKUP(BW62,hr.个税累计数据!C:DS,121,0)</f>
        <v>6000</v>
      </c>
      <c r="AV62" s="348">
        <f>IF(AU62-5000*N62-VLOOKUP(A62,hr.个税累计数据!C:DT,122,0)-VLOOKUP(A62,hr.个税累计数据!C:DU,123,0)&gt;0,AU62-5000*N62-VLOOKUP(A62,hr.个税累计数据!C:DT,122,0)-VLOOKUP(A62,hr.个税累计数据!C:DU,123,0),0)</f>
        <v>0</v>
      </c>
      <c r="AW62" s="348">
        <f>VLOOKUP(BW62,hr.个税累计数据!C:DV,124,0)</f>
        <v>200</v>
      </c>
      <c r="AX62" s="348"/>
      <c r="AY62" s="349">
        <f>IF(D62="国内不计税",0,IF(D62="正常计税",ROUND(MAX(AS62*{0.03,0.1,0.2,0.25,0.3,0.35,0.45}-{0,210,1410,2660,4410,7160,15160},0),2),IF(D62="外籍人",ROUND(MAX(AS62*{0.03,0.1,0.2,0.25,0.3,0.35,0.45}-{0,210,1410,2660,4410,7160,15160},0),2),ROUND(MAX((AS62-IF(AS62&lt;4000,800,AS62*0.2))*10%*{2,3,4}-1000*{0,2,7},0),2))))</f>
        <v>40</v>
      </c>
      <c r="AZ62" s="348">
        <f t="shared" si="20"/>
        <v>0</v>
      </c>
      <c r="BA62" s="348"/>
      <c r="BB62" s="348">
        <f t="shared" si="21"/>
        <v>960</v>
      </c>
      <c r="BC62" s="353"/>
      <c r="BD62" s="349">
        <f t="shared" si="22"/>
        <v>960</v>
      </c>
      <c r="BE62" s="356">
        <f>VLOOKUP($BW62,'HR|社保明细'!C:T,11,0)</f>
        <v>0</v>
      </c>
      <c r="BF62" s="348">
        <f>VLOOKUP($BW62,'HR|社保明细'!$C:U,12,0)</f>
        <v>0</v>
      </c>
      <c r="BG62" s="348">
        <f>VLOOKUP($BW62,'HR|社保明细'!$C:V,13,0)</f>
        <v>0</v>
      </c>
      <c r="BH62" s="348">
        <f>VLOOKUP($BW62,'HR|社保明细'!$C:W,14,0)</f>
        <v>0</v>
      </c>
      <c r="BI62" s="348">
        <f>VLOOKUP($BW62,'HR|社保明细'!$C:X,15,0)</f>
        <v>0</v>
      </c>
      <c r="BJ62" s="348">
        <f>VLOOKUP($BW62,'HR|社保明细'!$C:Y,16,0)</f>
        <v>0</v>
      </c>
      <c r="BK62" s="353">
        <f>VLOOKUP($BW62,'HR|社保明细'!$C:Z,17,0)</f>
        <v>0</v>
      </c>
      <c r="BL62" s="349">
        <f t="shared" si="23"/>
        <v>0</v>
      </c>
      <c r="BM62" s="354"/>
      <c r="BN62" s="350"/>
      <c r="BO62" s="350"/>
      <c r="BP62" s="350"/>
      <c r="BQ62" s="350"/>
      <c r="BR62" s="349">
        <f t="shared" si="24"/>
        <v>0</v>
      </c>
      <c r="BS62" s="349">
        <f t="shared" si="25"/>
        <v>0</v>
      </c>
      <c r="BT62" s="357"/>
      <c r="BU62" s="357"/>
      <c r="BV62" s="358"/>
      <c r="BW62" s="359" t="str">
        <f t="shared" si="26"/>
        <v>开弈信息王倩</v>
      </c>
      <c r="BX62" s="360" t="s">
        <v>258</v>
      </c>
      <c r="BY62" s="360" t="s">
        <v>259</v>
      </c>
      <c r="BZ62" s="360"/>
      <c r="CA62" s="360" t="str">
        <f>VLOOKUP(A62,hr.个税累计数据!C:C,1,0)</f>
        <v>开弈信息王倩</v>
      </c>
      <c r="CB62" s="360" t="s">
        <v>403</v>
      </c>
      <c r="CC62" s="360"/>
      <c r="CD62" s="243" t="b">
        <f t="shared" si="27"/>
        <v>1</v>
      </c>
    </row>
    <row r="63" s="243" customFormat="1" ht="23" hidden="1" customHeight="1" spans="1:82">
      <c r="A63" s="343" t="str">
        <f t="shared" si="14"/>
        <v>人力资源研究院王妤扬</v>
      </c>
      <c r="B63" s="343" t="s">
        <v>44</v>
      </c>
      <c r="C63" s="343" t="s">
        <v>75</v>
      </c>
      <c r="D63" s="343" t="s">
        <v>252</v>
      </c>
      <c r="E63" s="344" t="s">
        <v>404</v>
      </c>
      <c r="F63" s="343" t="s">
        <v>134</v>
      </c>
      <c r="G63" s="343" t="s">
        <v>405</v>
      </c>
      <c r="H63" s="343" t="s">
        <v>400</v>
      </c>
      <c r="I63" s="343" t="s">
        <v>400</v>
      </c>
      <c r="J63" s="343" t="s">
        <v>257</v>
      </c>
      <c r="K63" s="345">
        <f t="shared" si="15"/>
        <v>3899.27</v>
      </c>
      <c r="L63" s="346">
        <f t="shared" si="16"/>
        <v>0</v>
      </c>
      <c r="M63"/>
      <c r="N63" s="347">
        <v>6</v>
      </c>
      <c r="O63" s="361">
        <v>12000</v>
      </c>
      <c r="P63" s="348"/>
      <c r="Q63" s="348">
        <f>VLOOKUP(I63,考勤调整记录!I:W,15,0)</f>
        <v>0</v>
      </c>
      <c r="R63" s="348">
        <f>-10280.9+764.4+1336.8-2074.8</f>
        <v>-10254.5</v>
      </c>
      <c r="S63" s="348">
        <v>155.8</v>
      </c>
      <c r="T63" s="348"/>
      <c r="U63" s="349">
        <f t="shared" si="17"/>
        <v>1901.3</v>
      </c>
      <c r="V63" s="350"/>
      <c r="W63" s="350">
        <f t="shared" ref="W63:W67" si="32">ROUND((O63)*(0.9629-1),2)</f>
        <v>-445.2</v>
      </c>
      <c r="X63" s="350"/>
      <c r="Y63" s="350"/>
      <c r="Z63" s="350"/>
      <c r="AA63" s="350"/>
      <c r="AB63" s="350"/>
      <c r="AC63" s="349">
        <f t="shared" si="18"/>
        <v>1456.1</v>
      </c>
      <c r="AD63" s="351"/>
      <c r="AE63" s="352">
        <v>202606</v>
      </c>
      <c r="AF63" s="348">
        <f>VLOOKUP(BW63,'HR|社保明细'!C:F,4,0)</f>
        <v>7460</v>
      </c>
      <c r="AG63" s="348">
        <f>VLOOKUP($BW63,'HR|社保明细'!$C:G,5,0)</f>
        <v>7384</v>
      </c>
      <c r="AH63" s="348">
        <f>VLOOKUP($BW63,'HR|社保明细'!$C:H,6,0)</f>
        <v>596.8</v>
      </c>
      <c r="AI63" s="348">
        <f>VLOOKUP($BW63,'HR|社保明细'!$C:I,7,0)</f>
        <v>149.2</v>
      </c>
      <c r="AJ63" s="348">
        <f>VLOOKUP($BW63,'HR|社保明细'!$C:J,8,0)</f>
        <v>37.3</v>
      </c>
      <c r="AK63" s="348">
        <f>VLOOKUP($BW63,'HR|社保明细'!$C:K,9,0)</f>
        <v>517</v>
      </c>
      <c r="AL63" s="353">
        <f>VLOOKUP($BW63,'HR|社保明细'!$C:L,10,0)</f>
        <v>0</v>
      </c>
      <c r="AM63" s="349">
        <f t="shared" si="19"/>
        <v>1300.3</v>
      </c>
      <c r="AN63" s="348"/>
      <c r="AO63" s="348"/>
      <c r="AP63" s="348"/>
      <c r="AQ63" s="348"/>
      <c r="AR63" s="348"/>
      <c r="AS63" s="348">
        <f>AC63-AM63-SUM(AN63:AR63)</f>
        <v>155.8</v>
      </c>
      <c r="AT63" s="354"/>
      <c r="AU63" s="355">
        <f>VLOOKUP(BW63,hr.个税累计数据!C:DS,121,0)</f>
        <v>8858.83</v>
      </c>
      <c r="AV63" s="348">
        <f>IF(AU63-5000*N63-VLOOKUP(A63,hr.个税累计数据!C:DT,122,0)-VLOOKUP(A63,hr.个税累计数据!C:DU,123,0)&gt;0,AU63-5000*N63-VLOOKUP(A63,hr.个税累计数据!C:DT,122,0)-VLOOKUP(A63,hr.个税累计数据!C:DU,123,0),0)</f>
        <v>0</v>
      </c>
      <c r="AW63" s="348">
        <f>VLOOKUP(BW63,hr.个税累计数据!C:DV,124,0)</f>
        <v>0</v>
      </c>
      <c r="AX63" s="348"/>
      <c r="AY63" s="349">
        <f>IF(ROUND(MAX(AV63*{0.03,0.1,0.2,0.25,0.3,0.35,0.45}-{0,210,1410,2660,4410,7160,15160}*12)-AW63,2)&lt;=0,0,ROUND(MAX(AV63*{0.03,0.1,0.2,0.25,0.3,0.35,0.45}-{0,210,1410,2660,4410,7160,15160}*12)-AW63,2))</f>
        <v>0</v>
      </c>
      <c r="AZ63" s="348">
        <f t="shared" si="20"/>
        <v>-155.8</v>
      </c>
      <c r="BA63" s="348"/>
      <c r="BB63" s="348">
        <f t="shared" si="21"/>
        <v>0</v>
      </c>
      <c r="BC63" s="353"/>
      <c r="BD63" s="349">
        <f t="shared" si="22"/>
        <v>0</v>
      </c>
      <c r="BE63" s="356">
        <f>VLOOKUP($BW63,'HR|社保明细'!C:T,11,0)</f>
        <v>1193.6</v>
      </c>
      <c r="BF63" s="348">
        <f>VLOOKUP($BW63,'HR|社保明细'!$C:U,12,0)</f>
        <v>596.8</v>
      </c>
      <c r="BG63" s="348">
        <f>VLOOKUP($BW63,'HR|社保明细'!$C:V,13,0)</f>
        <v>37.3</v>
      </c>
      <c r="BH63" s="348">
        <f>VLOOKUP($BW63,'HR|社保明细'!$C:W,14,0)</f>
        <v>23.87</v>
      </c>
      <c r="BI63" s="348">
        <f>VLOOKUP($BW63,'HR|社保明细'!$C:X,15,0)</f>
        <v>74.6</v>
      </c>
      <c r="BJ63" s="348">
        <f>VLOOKUP($BW63,'HR|社保明细'!$C:Y,16,0)</f>
        <v>517</v>
      </c>
      <c r="BK63" s="353">
        <f>VLOOKUP($BW63,'HR|社保明细'!$C:Z,17,0)</f>
        <v>0</v>
      </c>
      <c r="BL63" s="349">
        <f t="shared" si="23"/>
        <v>2443.17</v>
      </c>
      <c r="BM63" s="354"/>
      <c r="BN63" s="350"/>
      <c r="BO63" s="350"/>
      <c r="BP63" s="350"/>
      <c r="BQ63" s="350"/>
      <c r="BR63" s="349">
        <f t="shared" si="24"/>
        <v>0</v>
      </c>
      <c r="BS63" s="349">
        <f t="shared" si="25"/>
        <v>-445.2</v>
      </c>
      <c r="BT63" s="357">
        <v>1250</v>
      </c>
      <c r="BU63" s="357"/>
      <c r="BV63" s="358"/>
      <c r="BW63" s="359" t="str">
        <f t="shared" si="26"/>
        <v>人力资源研究院王妤扬</v>
      </c>
      <c r="BX63" s="360"/>
      <c r="BY63" s="360" t="s">
        <v>273</v>
      </c>
      <c r="BZ63" s="360" t="s">
        <v>321</v>
      </c>
      <c r="CA63" s="360" t="str">
        <f>VLOOKUP(A63,hr.个税累计数据!C:C,1,0)</f>
        <v>人力资源研究院王妤扬</v>
      </c>
      <c r="CB63" s="360" t="s">
        <v>406</v>
      </c>
      <c r="CC63" s="360" t="s">
        <v>273</v>
      </c>
      <c r="CD63" s="243" t="b">
        <f t="shared" si="27"/>
        <v>1</v>
      </c>
    </row>
    <row r="64" s="243" customFormat="1" ht="23" customHeight="1" spans="1:82">
      <c r="A64" s="343" t="str">
        <f t="shared" si="14"/>
        <v>开弈信息张毅</v>
      </c>
      <c r="B64" s="343" t="s">
        <v>24</v>
      </c>
      <c r="C64" s="343" t="s">
        <v>57</v>
      </c>
      <c r="D64" s="343" t="s">
        <v>252</v>
      </c>
      <c r="E64" s="344" t="s">
        <v>407</v>
      </c>
      <c r="F64" s="343" t="s">
        <v>134</v>
      </c>
      <c r="G64" s="343" t="s">
        <v>408</v>
      </c>
      <c r="H64" s="343" t="s">
        <v>134</v>
      </c>
      <c r="I64" s="343" t="s">
        <v>134</v>
      </c>
      <c r="J64" s="343" t="s">
        <v>257</v>
      </c>
      <c r="K64" s="345">
        <f t="shared" si="15"/>
        <v>36908.76</v>
      </c>
      <c r="L64" s="346">
        <f t="shared" si="16"/>
        <v>24463.13</v>
      </c>
      <c r="M64"/>
      <c r="N64" s="347">
        <v>6</v>
      </c>
      <c r="O64" s="361">
        <v>30000</v>
      </c>
      <c r="P64" s="348"/>
      <c r="Q64" s="348"/>
      <c r="R64" s="348"/>
      <c r="S64" s="348">
        <v>368.76</v>
      </c>
      <c r="T64" s="348"/>
      <c r="U64" s="349">
        <f t="shared" si="17"/>
        <v>30368.76</v>
      </c>
      <c r="V64" s="350"/>
      <c r="W64" s="350"/>
      <c r="X64" s="350"/>
      <c r="Y64" s="350"/>
      <c r="Z64" s="350"/>
      <c r="AA64" s="350"/>
      <c r="AB64" s="350"/>
      <c r="AC64" s="349">
        <f t="shared" si="18"/>
        <v>30368.76</v>
      </c>
      <c r="AD64" s="351"/>
      <c r="AE64" s="352">
        <v>202606</v>
      </c>
      <c r="AF64" s="348">
        <f>VLOOKUP(BW64,'HR|社保明细'!C:F,4,0)</f>
        <v>20000</v>
      </c>
      <c r="AG64" s="348">
        <f>VLOOKUP($BW64,'HR|社保明细'!$C:G,5,0)</f>
        <v>20000</v>
      </c>
      <c r="AH64" s="348">
        <f>VLOOKUP($BW64,'HR|社保明细'!$C:H,6,0)</f>
        <v>1600</v>
      </c>
      <c r="AI64" s="348">
        <f>VLOOKUP($BW64,'HR|社保明细'!$C:I,7,0)</f>
        <v>400</v>
      </c>
      <c r="AJ64" s="348">
        <f>VLOOKUP($BW64,'HR|社保明细'!$C:J,8,0)</f>
        <v>100</v>
      </c>
      <c r="AK64" s="348">
        <f>VLOOKUP($BW64,'HR|社保明细'!$C:K,9,0)</f>
        <v>1400</v>
      </c>
      <c r="AL64" s="353">
        <f>VLOOKUP($BW64,'HR|社保明细'!$C:L,10,0)</f>
        <v>0</v>
      </c>
      <c r="AM64" s="349">
        <f t="shared" si="19"/>
        <v>3500</v>
      </c>
      <c r="AN64" s="348"/>
      <c r="AO64" s="348"/>
      <c r="AP64" s="348"/>
      <c r="AQ64" s="348">
        <v>1500</v>
      </c>
      <c r="AR64" s="348"/>
      <c r="AS64" s="348">
        <f>AC64-AM64-SUM(AN64:AR64)</f>
        <v>25368.76</v>
      </c>
      <c r="AT64" s="354"/>
      <c r="AU64" s="355">
        <f>VLOOKUP(BW64,hr.个税累计数据!C:DS,121,0)</f>
        <v>182041.92</v>
      </c>
      <c r="AV64" s="348">
        <f>IF(AU64-5000*N64-VLOOKUP(A64,hr.个税累计数据!C:DT,122,0)-VLOOKUP(A64,hr.个税累计数据!C:DU,123,0)&gt;0,AU64-5000*N64-VLOOKUP(A64,hr.个税累计数据!C:DT,122,0)-VLOOKUP(A64,hr.个税累计数据!C:DU,123,0),0)</f>
        <v>122041.92</v>
      </c>
      <c r="AW64" s="348">
        <f>VLOOKUP(BW64,hr.个税累计数据!C:DV,124,0)</f>
        <v>7647.32</v>
      </c>
      <c r="AX64" s="348"/>
      <c r="AY64" s="349">
        <f>IF(ROUND(MAX(AV64*{0.03,0.1,0.2,0.25,0.3,0.35,0.45}-{0,210,1410,2660,4410,7160,15160}*12)-AW64,2)&lt;=0,0,ROUND(MAX(AV64*{0.03,0.1,0.2,0.25,0.3,0.35,0.45}-{0,210,1410,2660,4410,7160,15160}*12)-AW64,2))</f>
        <v>2036.87</v>
      </c>
      <c r="AZ64" s="348">
        <f t="shared" si="20"/>
        <v>-368.76</v>
      </c>
      <c r="BA64" s="348"/>
      <c r="BB64" s="348">
        <f t="shared" si="21"/>
        <v>24463.13</v>
      </c>
      <c r="BC64" s="353"/>
      <c r="BD64" s="349">
        <f t="shared" si="22"/>
        <v>24463.13</v>
      </c>
      <c r="BE64" s="356">
        <f>VLOOKUP($BW64,'HR|社保明细'!C:T,11,0)</f>
        <v>3200</v>
      </c>
      <c r="BF64" s="348">
        <f>VLOOKUP($BW64,'HR|社保明细'!$C:U,12,0)</f>
        <v>1600</v>
      </c>
      <c r="BG64" s="348">
        <f>VLOOKUP($BW64,'HR|社保明细'!$C:V,13,0)</f>
        <v>100</v>
      </c>
      <c r="BH64" s="348">
        <f>VLOOKUP($BW64,'HR|社保明细'!$C:W,14,0)</f>
        <v>40</v>
      </c>
      <c r="BI64" s="348">
        <f>VLOOKUP($BW64,'HR|社保明细'!$C:X,15,0)</f>
        <v>200</v>
      </c>
      <c r="BJ64" s="348">
        <f>VLOOKUP($BW64,'HR|社保明细'!$C:Y,16,0)</f>
        <v>1400</v>
      </c>
      <c r="BK64" s="353">
        <f>VLOOKUP($BW64,'HR|社保明细'!$C:Z,17,0)</f>
        <v>0</v>
      </c>
      <c r="BL64" s="349">
        <f t="shared" si="23"/>
        <v>6540</v>
      </c>
      <c r="BM64" s="354"/>
      <c r="BN64" s="350"/>
      <c r="BO64" s="350"/>
      <c r="BP64" s="350"/>
      <c r="BQ64" s="350"/>
      <c r="BR64" s="349">
        <f t="shared" si="24"/>
        <v>0</v>
      </c>
      <c r="BS64" s="349">
        <f t="shared" si="25"/>
        <v>0</v>
      </c>
      <c r="BT64" s="357">
        <v>1250</v>
      </c>
      <c r="BU64" s="357"/>
      <c r="BV64" s="358"/>
      <c r="BW64" s="359" t="str">
        <f t="shared" si="26"/>
        <v>开弈信息张毅</v>
      </c>
      <c r="BX64" s="360"/>
      <c r="BY64" s="360" t="s">
        <v>273</v>
      </c>
      <c r="BZ64" s="360"/>
      <c r="CA64" s="360" t="str">
        <f>VLOOKUP(A64,hr.个税累计数据!C:C,1,0)</f>
        <v>开弈信息张毅</v>
      </c>
      <c r="CB64" s="360" t="s">
        <v>409</v>
      </c>
      <c r="CC64" s="360" t="s">
        <v>273</v>
      </c>
      <c r="CD64" s="243" t="b">
        <f t="shared" si="27"/>
        <v>1</v>
      </c>
    </row>
    <row r="65" s="243" customFormat="1" ht="23" hidden="1" customHeight="1" spans="1:82">
      <c r="A65" s="343" t="str">
        <f t="shared" si="14"/>
        <v>开弈信息郑昌杰</v>
      </c>
      <c r="B65" s="343" t="s">
        <v>33</v>
      </c>
      <c r="C65" s="343" t="s">
        <v>57</v>
      </c>
      <c r="D65" s="343" t="s">
        <v>252</v>
      </c>
      <c r="E65" s="344" t="s">
        <v>305</v>
      </c>
      <c r="F65" s="343" t="s">
        <v>306</v>
      </c>
      <c r="G65" s="343" t="s">
        <v>255</v>
      </c>
      <c r="H65" s="343" t="s">
        <v>410</v>
      </c>
      <c r="I65" s="343" t="s">
        <v>410</v>
      </c>
      <c r="J65" s="343" t="s">
        <v>257</v>
      </c>
      <c r="K65" s="345">
        <f t="shared" si="15"/>
        <v>10590.02</v>
      </c>
      <c r="L65" s="346">
        <f t="shared" si="16"/>
        <v>6699.7</v>
      </c>
      <c r="M65"/>
      <c r="N65" s="347">
        <v>6</v>
      </c>
      <c r="O65" s="361">
        <v>8000</v>
      </c>
      <c r="P65" s="348"/>
      <c r="Q65" s="348">
        <f>VLOOKUP(I65,考勤调整记录!I:W,15,0)</f>
        <v>0</v>
      </c>
      <c r="R65" s="348"/>
      <c r="S65" s="348">
        <v>155.8</v>
      </c>
      <c r="T65" s="348"/>
      <c r="U65" s="349">
        <f t="shared" si="17"/>
        <v>8155.8</v>
      </c>
      <c r="V65" s="350"/>
      <c r="W65" s="350"/>
      <c r="X65" s="350"/>
      <c r="Y65" s="350"/>
      <c r="Z65" s="350"/>
      <c r="AA65" s="350"/>
      <c r="AB65" s="350"/>
      <c r="AC65" s="349">
        <f t="shared" si="18"/>
        <v>8155.8</v>
      </c>
      <c r="AD65" s="351"/>
      <c r="AE65" s="352">
        <v>202606</v>
      </c>
      <c r="AF65" s="348">
        <f>VLOOKUP(BW65,'HR|社保明细'!C:F,4,0)</f>
        <v>7460</v>
      </c>
      <c r="AG65" s="348">
        <f>VLOOKUP($BW65,'HR|社保明细'!$C:G,5,0)</f>
        <v>7384</v>
      </c>
      <c r="AH65" s="348">
        <f>VLOOKUP($BW65,'HR|社保明细'!$C:H,6,0)</f>
        <v>596.8</v>
      </c>
      <c r="AI65" s="348">
        <f>VLOOKUP($BW65,'HR|社保明细'!$C:I,7,0)</f>
        <v>149.2</v>
      </c>
      <c r="AJ65" s="348">
        <f>VLOOKUP($BW65,'HR|社保明细'!$C:J,8,0)</f>
        <v>37.3</v>
      </c>
      <c r="AK65" s="348">
        <f>VLOOKUP($BW65,'HR|社保明细'!$C:K,9,0)</f>
        <v>517</v>
      </c>
      <c r="AL65" s="353">
        <f>VLOOKUP($BW65,'HR|社保明细'!$C:L,10,0)</f>
        <v>0</v>
      </c>
      <c r="AM65" s="349">
        <f t="shared" si="19"/>
        <v>1300.3</v>
      </c>
      <c r="AN65" s="348"/>
      <c r="AO65" s="348"/>
      <c r="AP65" s="348"/>
      <c r="AQ65" s="348">
        <v>3000</v>
      </c>
      <c r="AR65" s="348"/>
      <c r="AS65" s="348">
        <f>AC65-AM65-SUM(AN65:AR65)</f>
        <v>3855.5</v>
      </c>
      <c r="AT65" s="354"/>
      <c r="AU65" s="355">
        <f>VLOOKUP(BW65,hr.个税累计数据!C:DS,121,0)</f>
        <v>58051.93</v>
      </c>
      <c r="AV65" s="348">
        <f>IF(AU65-5000*N65-VLOOKUP(A65,hr.个税累计数据!C:DT,122,0)-VLOOKUP(A65,hr.个税累计数据!C:DU,123,0)&gt;0,AU65-5000*N65-VLOOKUP(A65,hr.个税累计数据!C:DT,122,0)-VLOOKUP(A65,hr.个税累计数据!C:DU,123,0),0)</f>
        <v>2250.13000000001</v>
      </c>
      <c r="AW65" s="348">
        <f>VLOOKUP(BW65,hr.个税累计数据!C:DV,124,0)</f>
        <v>101.84</v>
      </c>
      <c r="AX65" s="348"/>
      <c r="AY65" s="349">
        <f>IF(ROUND(MAX(AV65*{0.03,0.1,0.2,0.25,0.3,0.35,0.45}-{0,210,1410,2660,4410,7160,15160}*12)-AW65,2)&lt;=0,0,ROUND(MAX(AV65*{0.03,0.1,0.2,0.25,0.3,0.35,0.45}-{0,210,1410,2660,4410,7160,15160}*12)-AW65,2))</f>
        <v>0</v>
      </c>
      <c r="AZ65" s="348">
        <f t="shared" si="20"/>
        <v>-155.8</v>
      </c>
      <c r="BA65" s="348"/>
      <c r="BB65" s="348">
        <f t="shared" si="21"/>
        <v>6699.7</v>
      </c>
      <c r="BC65" s="353"/>
      <c r="BD65" s="349">
        <f t="shared" si="22"/>
        <v>6699.7</v>
      </c>
      <c r="BE65" s="356">
        <f>VLOOKUP($BW65,'HR|社保明细'!C:T,11,0)</f>
        <v>1193.6</v>
      </c>
      <c r="BF65" s="348">
        <f>VLOOKUP($BW65,'HR|社保明细'!$C:U,12,0)</f>
        <v>596.8</v>
      </c>
      <c r="BG65" s="348">
        <f>VLOOKUP($BW65,'HR|社保明细'!$C:V,13,0)</f>
        <v>37.3</v>
      </c>
      <c r="BH65" s="348">
        <f>VLOOKUP($BW65,'HR|社保明细'!$C:W,14,0)</f>
        <v>14.92</v>
      </c>
      <c r="BI65" s="348">
        <f>VLOOKUP($BW65,'HR|社保明细'!$C:X,15,0)</f>
        <v>74.6</v>
      </c>
      <c r="BJ65" s="348">
        <f>VLOOKUP($BW65,'HR|社保明细'!$C:Y,16,0)</f>
        <v>517</v>
      </c>
      <c r="BK65" s="353">
        <f>VLOOKUP($BW65,'HR|社保明细'!$C:Z,17,0)</f>
        <v>0</v>
      </c>
      <c r="BL65" s="349">
        <f t="shared" si="23"/>
        <v>2434.22</v>
      </c>
      <c r="BM65" s="354"/>
      <c r="BN65" s="350"/>
      <c r="BO65" s="350"/>
      <c r="BP65" s="350"/>
      <c r="BQ65" s="350"/>
      <c r="BR65" s="349">
        <f t="shared" si="24"/>
        <v>0</v>
      </c>
      <c r="BS65" s="349">
        <f t="shared" si="25"/>
        <v>0</v>
      </c>
      <c r="BT65" s="357">
        <v>1250</v>
      </c>
      <c r="BU65" s="357"/>
      <c r="BV65" s="358"/>
      <c r="BW65" s="359" t="str">
        <f t="shared" si="26"/>
        <v>开弈信息郑昌杰</v>
      </c>
      <c r="BX65" s="360"/>
      <c r="BY65" s="360" t="s">
        <v>273</v>
      </c>
      <c r="BZ65" s="360" t="s">
        <v>274</v>
      </c>
      <c r="CA65" s="360" t="str">
        <f>VLOOKUP(A65,hr.个税累计数据!C:C,1,0)</f>
        <v>开弈信息郑昌杰</v>
      </c>
      <c r="CB65" s="360" t="s">
        <v>411</v>
      </c>
      <c r="CC65" s="360" t="s">
        <v>273</v>
      </c>
      <c r="CD65" s="243" t="b">
        <f t="shared" si="27"/>
        <v>1</v>
      </c>
    </row>
    <row r="66" s="243" customFormat="1" ht="23" hidden="1" customHeight="1" spans="1:82">
      <c r="A66" s="343" t="str">
        <f t="shared" si="14"/>
        <v>开弈信息蔡心宇</v>
      </c>
      <c r="B66" s="343" t="s">
        <v>29</v>
      </c>
      <c r="C66" s="343" t="s">
        <v>57</v>
      </c>
      <c r="D66" s="343" t="s">
        <v>252</v>
      </c>
      <c r="E66" s="344" t="s">
        <v>318</v>
      </c>
      <c r="F66" s="343" t="s">
        <v>134</v>
      </c>
      <c r="G66" s="343" t="s">
        <v>319</v>
      </c>
      <c r="H66" s="343" t="s">
        <v>341</v>
      </c>
      <c r="I66" s="343" t="s">
        <v>341</v>
      </c>
      <c r="J66" s="343" t="s">
        <v>257</v>
      </c>
      <c r="K66" s="345">
        <f t="shared" si="15"/>
        <v>25953.8</v>
      </c>
      <c r="L66" s="346">
        <f t="shared" si="16"/>
        <v>14666.62</v>
      </c>
      <c r="M66"/>
      <c r="N66" s="347">
        <v>6</v>
      </c>
      <c r="O66" s="361">
        <v>20000</v>
      </c>
      <c r="P66" s="348"/>
      <c r="Q66" s="348">
        <f>VLOOKUP(I66,考勤调整记录!I:W,15,0)</f>
        <v>0</v>
      </c>
      <c r="R66" s="348"/>
      <c r="S66" s="348">
        <v>155.8</v>
      </c>
      <c r="T66" s="348"/>
      <c r="U66" s="349">
        <f t="shared" si="17"/>
        <v>20155.8</v>
      </c>
      <c r="V66" s="350"/>
      <c r="W66" s="350">
        <f t="shared" si="32"/>
        <v>-742</v>
      </c>
      <c r="X66" s="350"/>
      <c r="Y66" s="350"/>
      <c r="Z66" s="350"/>
      <c r="AA66" s="350"/>
      <c r="AB66" s="350"/>
      <c r="AC66" s="349">
        <f t="shared" si="18"/>
        <v>19413.8</v>
      </c>
      <c r="AD66" s="351"/>
      <c r="AE66" s="352">
        <v>202606</v>
      </c>
      <c r="AF66" s="348">
        <f>VLOOKUP(BW66,'HR|社保明细'!C:F,4,0)</f>
        <v>20000</v>
      </c>
      <c r="AG66" s="348">
        <f>VLOOKUP($BW66,'HR|社保明细'!$C:G,5,0)</f>
        <v>20000</v>
      </c>
      <c r="AH66" s="348">
        <f>VLOOKUP($BW66,'HR|社保明细'!$C:H,6,0)</f>
        <v>1600</v>
      </c>
      <c r="AI66" s="348">
        <f>VLOOKUP($BW66,'HR|社保明细'!$C:I,7,0)</f>
        <v>400</v>
      </c>
      <c r="AJ66" s="348">
        <f>VLOOKUP($BW66,'HR|社保明细'!$C:J,8,0)</f>
        <v>100</v>
      </c>
      <c r="AK66" s="348">
        <f>VLOOKUP($BW66,'HR|社保明细'!$C:K,9,0)</f>
        <v>1400</v>
      </c>
      <c r="AL66" s="353">
        <f>VLOOKUP($BW66,'HR|社保明细'!$C:L,10,0)</f>
        <v>0</v>
      </c>
      <c r="AM66" s="349">
        <f t="shared" si="19"/>
        <v>3500</v>
      </c>
      <c r="AN66" s="348"/>
      <c r="AO66" s="348"/>
      <c r="AP66" s="348"/>
      <c r="AQ66" s="348"/>
      <c r="AR66" s="348"/>
      <c r="AS66" s="348">
        <f>AC66-AM66-SUM(AN66:AR66)</f>
        <v>15913.8</v>
      </c>
      <c r="AT66" s="354"/>
      <c r="AU66" s="355">
        <f>VLOOKUP(BW66,hr.个税累计数据!C:DS,121,0)</f>
        <v>110711.95</v>
      </c>
      <c r="AV66" s="348">
        <f>IF(AU66-5000*N66-VLOOKUP(A66,hr.个税累计数据!C:DT,122,0)-VLOOKUP(A66,hr.个税累计数据!C:DU,123,0)&gt;0,AU66-5000*N66-VLOOKUP(A66,hr.个税累计数据!C:DT,122,0)-VLOOKUP(A66,hr.个税累计数据!C:DU,123,0),0)</f>
        <v>59711.95</v>
      </c>
      <c r="AW66" s="348">
        <f>VLOOKUP(BW66,hr.个税累计数据!C:DV,124,0)</f>
        <v>2359.82</v>
      </c>
      <c r="AX66" s="348"/>
      <c r="AY66" s="349">
        <f>IF(ROUND(MAX(AV66*{0.03,0.1,0.2,0.25,0.3,0.35,0.45}-{0,210,1410,2660,4410,7160,15160}*12)-AW66,2)&lt;=0,0,ROUND(MAX(AV66*{0.03,0.1,0.2,0.25,0.3,0.35,0.45}-{0,210,1410,2660,4410,7160,15160}*12)-AW66,2))</f>
        <v>1091.38</v>
      </c>
      <c r="AZ66" s="348">
        <f t="shared" si="20"/>
        <v>-155.8</v>
      </c>
      <c r="BA66" s="348"/>
      <c r="BB66" s="348">
        <f t="shared" si="21"/>
        <v>14666.62</v>
      </c>
      <c r="BC66" s="353"/>
      <c r="BD66" s="349">
        <f t="shared" si="22"/>
        <v>14666.62</v>
      </c>
      <c r="BE66" s="356">
        <f>VLOOKUP($BW66,'HR|社保明细'!C:T,11,0)</f>
        <v>3200</v>
      </c>
      <c r="BF66" s="348">
        <f>VLOOKUP($BW66,'HR|社保明细'!$C:U,12,0)</f>
        <v>1600</v>
      </c>
      <c r="BG66" s="348">
        <f>VLOOKUP($BW66,'HR|社保明细'!$C:V,13,0)</f>
        <v>100</v>
      </c>
      <c r="BH66" s="348">
        <f>VLOOKUP($BW66,'HR|社保明细'!$C:W,14,0)</f>
        <v>40</v>
      </c>
      <c r="BI66" s="348">
        <f>VLOOKUP($BW66,'HR|社保明细'!$C:X,15,0)</f>
        <v>200</v>
      </c>
      <c r="BJ66" s="348">
        <f>VLOOKUP($BW66,'HR|社保明细'!$C:Y,16,0)</f>
        <v>1400</v>
      </c>
      <c r="BK66" s="353">
        <f>VLOOKUP($BW66,'HR|社保明细'!$C:Z,17,0)</f>
        <v>0</v>
      </c>
      <c r="BL66" s="349">
        <f t="shared" si="23"/>
        <v>6540</v>
      </c>
      <c r="BM66" s="354"/>
      <c r="BN66" s="350"/>
      <c r="BO66" s="350"/>
      <c r="BP66" s="350"/>
      <c r="BQ66" s="350"/>
      <c r="BR66" s="349">
        <f t="shared" si="24"/>
        <v>0</v>
      </c>
      <c r="BS66" s="349">
        <f t="shared" si="25"/>
        <v>-742</v>
      </c>
      <c r="BT66" s="357">
        <v>1250</v>
      </c>
      <c r="BU66" s="357"/>
      <c r="BV66" s="358"/>
      <c r="BW66" s="359" t="str">
        <f t="shared" si="26"/>
        <v>开弈信息蔡心宇</v>
      </c>
      <c r="BX66" s="360"/>
      <c r="BY66" s="360" t="s">
        <v>273</v>
      </c>
      <c r="BZ66" s="360" t="s">
        <v>321</v>
      </c>
      <c r="CA66" s="360" t="str">
        <f>VLOOKUP(A66,hr.个税累计数据!C:C,1,0)</f>
        <v>开弈信息蔡心宇</v>
      </c>
      <c r="CB66" s="360" t="s">
        <v>412</v>
      </c>
      <c r="CC66" s="360" t="s">
        <v>273</v>
      </c>
      <c r="CD66" s="243" t="b">
        <f t="shared" si="27"/>
        <v>1</v>
      </c>
    </row>
    <row r="67" s="243" customFormat="1" ht="23" hidden="1" customHeight="1" spans="1:82">
      <c r="A67" s="343" t="str">
        <f t="shared" si="14"/>
        <v>开弈中国王妤扬</v>
      </c>
      <c r="B67" s="343" t="s">
        <v>44</v>
      </c>
      <c r="C67" s="343" t="s">
        <v>58</v>
      </c>
      <c r="D67" s="343" t="s">
        <v>413</v>
      </c>
      <c r="E67" s="344" t="s">
        <v>404</v>
      </c>
      <c r="F67" s="343" t="s">
        <v>134</v>
      </c>
      <c r="G67" s="343" t="s">
        <v>405</v>
      </c>
      <c r="H67" s="343" t="s">
        <v>400</v>
      </c>
      <c r="I67" s="343" t="s">
        <v>400</v>
      </c>
      <c r="J67" s="343" t="s">
        <v>257</v>
      </c>
      <c r="K67" s="345">
        <f t="shared" si="15"/>
        <v>32606.05</v>
      </c>
      <c r="L67" s="346">
        <f t="shared" si="16"/>
        <v>29606.05</v>
      </c>
      <c r="M67"/>
      <c r="N67" s="347">
        <v>6</v>
      </c>
      <c r="O67" s="361">
        <v>20000</v>
      </c>
      <c r="P67" s="348"/>
      <c r="Q67" s="348">
        <f>考勤调整记录!W6</f>
        <v>0</v>
      </c>
      <c r="R67" s="348">
        <f>-ROUND(R63*1.1554,2)</f>
        <v>11848.05</v>
      </c>
      <c r="S67" s="348"/>
      <c r="T67" s="348"/>
      <c r="U67" s="349">
        <f t="shared" si="17"/>
        <v>31848.05</v>
      </c>
      <c r="V67" s="350"/>
      <c r="W67" s="350">
        <f t="shared" si="32"/>
        <v>-742</v>
      </c>
      <c r="X67" s="350"/>
      <c r="Y67" s="350"/>
      <c r="Z67" s="350"/>
      <c r="AA67" s="350"/>
      <c r="AB67" s="350"/>
      <c r="AC67" s="349">
        <f t="shared" si="18"/>
        <v>31106.05</v>
      </c>
      <c r="AD67" s="351"/>
      <c r="AE67" s="352">
        <v>202606</v>
      </c>
      <c r="AF67" s="348">
        <f>VLOOKUP(BW67,'HR|社保明细'!C:F,4,0)</f>
        <v>0</v>
      </c>
      <c r="AG67" s="348">
        <f>VLOOKUP($BW67,'HR|社保明细'!$C:G,5,0)</f>
        <v>0</v>
      </c>
      <c r="AH67" s="348">
        <f>VLOOKUP($BW67,'HR|社保明细'!$C:H,6,0)</f>
        <v>0</v>
      </c>
      <c r="AI67" s="348">
        <f>VLOOKUP($BW67,'HR|社保明细'!$C:I,7,0)</f>
        <v>0</v>
      </c>
      <c r="AJ67" s="348">
        <f>VLOOKUP($BW67,'HR|社保明细'!$C:J,8,0)</f>
        <v>0</v>
      </c>
      <c r="AK67" s="348">
        <v>1500</v>
      </c>
      <c r="AL67" s="353">
        <f>VLOOKUP($BW67,'HR|社保明细'!$C:L,10,0)</f>
        <v>0</v>
      </c>
      <c r="AM67" s="349">
        <f t="shared" si="19"/>
        <v>1500</v>
      </c>
      <c r="AN67" s="348"/>
      <c r="AO67" s="348"/>
      <c r="AP67" s="348"/>
      <c r="AQ67" s="348"/>
      <c r="AR67" s="348"/>
      <c r="AS67" s="348">
        <v>0</v>
      </c>
      <c r="AT67" s="354"/>
      <c r="AU67" s="355">
        <f>VLOOKUP(BW67,hr.个税累计数据!C:DS,121,0)</f>
        <v>199913.08</v>
      </c>
      <c r="AV67" s="348"/>
      <c r="AW67" s="348">
        <f>VLOOKUP(BW67,hr.个税累计数据!C:DV,124,0)</f>
        <v>0</v>
      </c>
      <c r="AX67" s="348"/>
      <c r="AY67" s="349"/>
      <c r="AZ67" s="348">
        <f t="shared" si="20"/>
        <v>0</v>
      </c>
      <c r="BA67" s="348"/>
      <c r="BB67" s="348">
        <f t="shared" si="21"/>
        <v>29606.05</v>
      </c>
      <c r="BC67" s="353"/>
      <c r="BD67" s="349">
        <f t="shared" si="22"/>
        <v>29606.05</v>
      </c>
      <c r="BE67" s="356">
        <f>VLOOKUP($BW67,'HR|社保明细'!C:T,11,0)</f>
        <v>0</v>
      </c>
      <c r="BF67" s="348">
        <f>VLOOKUP($BW67,'HR|社保明细'!$C:U,12,0)</f>
        <v>0</v>
      </c>
      <c r="BG67" s="348">
        <f>VLOOKUP($BW67,'HR|社保明细'!$C:V,13,0)</f>
        <v>0</v>
      </c>
      <c r="BH67" s="348">
        <f>VLOOKUP($BW67,'HR|社保明细'!$C:W,14,0)</f>
        <v>0</v>
      </c>
      <c r="BI67" s="348">
        <f>VLOOKUP($BW67,'HR|社保明细'!$C:X,15,0)</f>
        <v>0</v>
      </c>
      <c r="BJ67" s="348">
        <v>1500</v>
      </c>
      <c r="BK67" s="353">
        <f>VLOOKUP($BW67,'HR|社保明细'!$C:Z,17,0)</f>
        <v>0</v>
      </c>
      <c r="BL67" s="349">
        <f t="shared" si="23"/>
        <v>1500</v>
      </c>
      <c r="BM67" s="354"/>
      <c r="BN67" s="350"/>
      <c r="BO67" s="350"/>
      <c r="BP67" s="350"/>
      <c r="BQ67" s="350"/>
      <c r="BR67" s="349">
        <f t="shared" si="24"/>
        <v>0</v>
      </c>
      <c r="BS67" s="349">
        <f t="shared" si="25"/>
        <v>-742</v>
      </c>
      <c r="BT67" s="357"/>
      <c r="BU67" s="357"/>
      <c r="BV67" s="358"/>
      <c r="BW67" s="359" t="str">
        <f t="shared" si="26"/>
        <v>开弈中国王妤扬</v>
      </c>
      <c r="BX67" s="360" t="s">
        <v>258</v>
      </c>
      <c r="BY67" s="360" t="s">
        <v>259</v>
      </c>
      <c r="BZ67" s="360" t="s">
        <v>321</v>
      </c>
      <c r="CA67" s="360" t="str">
        <f>VLOOKUP(A67,hr.个税累计数据!C:C,1,0)</f>
        <v>开弈中国王妤扬</v>
      </c>
      <c r="CB67" s="360" t="s">
        <v>414</v>
      </c>
      <c r="CC67" s="360"/>
      <c r="CD67" s="243" t="b">
        <f t="shared" si="27"/>
        <v>1</v>
      </c>
    </row>
    <row r="68" s="243" customFormat="1" ht="23" hidden="1" customHeight="1" spans="1:82">
      <c r="A68" s="343" t="str">
        <f t="shared" si="14"/>
        <v>开弈中国李向榮</v>
      </c>
      <c r="B68" s="343" t="s">
        <v>26</v>
      </c>
      <c r="C68" s="343" t="s">
        <v>58</v>
      </c>
      <c r="D68" s="343" t="s">
        <v>413</v>
      </c>
      <c r="E68" s="344" t="s">
        <v>415</v>
      </c>
      <c r="F68" s="343" t="s">
        <v>400</v>
      </c>
      <c r="G68" s="343" t="s">
        <v>416</v>
      </c>
      <c r="H68" s="343" t="s">
        <v>417</v>
      </c>
      <c r="I68" s="343" t="s">
        <v>417</v>
      </c>
      <c r="J68" s="343" t="s">
        <v>257</v>
      </c>
      <c r="K68" s="345">
        <f t="shared" si="15"/>
        <v>13650</v>
      </c>
      <c r="L68" s="346">
        <f t="shared" si="16"/>
        <v>12350</v>
      </c>
      <c r="M68"/>
      <c r="N68" s="347">
        <v>6</v>
      </c>
      <c r="O68" s="361">
        <v>13000</v>
      </c>
      <c r="P68" s="348"/>
      <c r="Q68" s="348"/>
      <c r="R68" s="348"/>
      <c r="S68" s="348"/>
      <c r="T68" s="348"/>
      <c r="U68" s="349">
        <f t="shared" si="17"/>
        <v>13000</v>
      </c>
      <c r="V68" s="350"/>
      <c r="W68" s="350"/>
      <c r="X68" s="350"/>
      <c r="Y68" s="350"/>
      <c r="Z68" s="350"/>
      <c r="AA68" s="350"/>
      <c r="AB68" s="350"/>
      <c r="AC68" s="349">
        <f t="shared" si="18"/>
        <v>13000</v>
      </c>
      <c r="AD68" s="351"/>
      <c r="AE68" s="352">
        <v>202606</v>
      </c>
      <c r="AF68" s="348"/>
      <c r="AG68" s="348">
        <f>O68</f>
        <v>13000</v>
      </c>
      <c r="AH68" s="348"/>
      <c r="AI68" s="348"/>
      <c r="AJ68" s="348"/>
      <c r="AK68" s="348">
        <f>AG68*0.05</f>
        <v>650</v>
      </c>
      <c r="AL68" s="353"/>
      <c r="AM68" s="349">
        <f t="shared" si="19"/>
        <v>650</v>
      </c>
      <c r="AN68" s="348"/>
      <c r="AO68" s="348"/>
      <c r="AP68" s="348"/>
      <c r="AQ68" s="348"/>
      <c r="AR68" s="348"/>
      <c r="AS68" s="348">
        <v>0</v>
      </c>
      <c r="AT68" s="354"/>
      <c r="AU68" s="355"/>
      <c r="AV68" s="348"/>
      <c r="AW68" s="348"/>
      <c r="AX68" s="348"/>
      <c r="AY68" s="349"/>
      <c r="AZ68" s="348">
        <f t="shared" si="20"/>
        <v>0</v>
      </c>
      <c r="BA68" s="348"/>
      <c r="BB68" s="348">
        <f t="shared" si="21"/>
        <v>12350</v>
      </c>
      <c r="BC68" s="353"/>
      <c r="BD68" s="349">
        <f t="shared" si="22"/>
        <v>12350</v>
      </c>
      <c r="BE68" s="356"/>
      <c r="BF68" s="348"/>
      <c r="BG68" s="348"/>
      <c r="BH68" s="348"/>
      <c r="BI68" s="348"/>
      <c r="BJ68" s="348">
        <f>AK68</f>
        <v>650</v>
      </c>
      <c r="BK68" s="353"/>
      <c r="BL68" s="349">
        <f t="shared" si="23"/>
        <v>650</v>
      </c>
      <c r="BM68" s="354"/>
      <c r="BN68" s="350"/>
      <c r="BO68" s="350"/>
      <c r="BP68" s="350"/>
      <c r="BQ68" s="350"/>
      <c r="BR68" s="349">
        <f t="shared" si="24"/>
        <v>0</v>
      </c>
      <c r="BS68" s="349">
        <f t="shared" si="25"/>
        <v>0</v>
      </c>
      <c r="BT68" s="357"/>
      <c r="BU68" s="357"/>
      <c r="BV68" s="358"/>
      <c r="BW68" s="359" t="str">
        <f t="shared" si="26"/>
        <v>开弈中国李向榮</v>
      </c>
      <c r="BX68" s="360" t="s">
        <v>258</v>
      </c>
      <c r="BY68" s="360" t="s">
        <v>259</v>
      </c>
      <c r="BZ68" s="360"/>
      <c r="CA68" s="360" t="e">
        <f>VLOOKUP(A68,hr.个税累计数据!C:C,1,0)</f>
        <v>#N/A</v>
      </c>
      <c r="CB68" s="360" t="s">
        <v>418</v>
      </c>
      <c r="CC68" s="360"/>
      <c r="CD68" s="243" t="b">
        <f t="shared" si="27"/>
        <v>1</v>
      </c>
    </row>
    <row r="69" s="243" customFormat="1" ht="23" hidden="1" customHeight="1" spans="1:82">
      <c r="A69" s="343" t="str">
        <f t="shared" si="14"/>
        <v>开弈中国劉梓霖</v>
      </c>
      <c r="B69" s="343" t="s">
        <v>26</v>
      </c>
      <c r="C69" s="343" t="s">
        <v>58</v>
      </c>
      <c r="D69" s="343" t="s">
        <v>413</v>
      </c>
      <c r="E69" s="344" t="s">
        <v>415</v>
      </c>
      <c r="F69" s="343" t="s">
        <v>400</v>
      </c>
      <c r="G69" s="343" t="s">
        <v>419</v>
      </c>
      <c r="H69" s="343" t="s">
        <v>420</v>
      </c>
      <c r="I69" s="343" t="s">
        <v>420</v>
      </c>
      <c r="J69" s="343" t="s">
        <v>257</v>
      </c>
      <c r="K69" s="345">
        <f t="shared" si="15"/>
        <v>18900</v>
      </c>
      <c r="L69" s="346">
        <f t="shared" si="16"/>
        <v>17100</v>
      </c>
      <c r="M69"/>
      <c r="N69" s="347">
        <v>6</v>
      </c>
      <c r="O69" s="361">
        <v>18000</v>
      </c>
      <c r="P69" s="348"/>
      <c r="Q69" s="348"/>
      <c r="R69" s="348"/>
      <c r="S69" s="348"/>
      <c r="T69" s="348"/>
      <c r="U69" s="349">
        <f t="shared" si="17"/>
        <v>18000</v>
      </c>
      <c r="V69" s="350"/>
      <c r="W69" s="350"/>
      <c r="X69" s="350"/>
      <c r="Y69" s="350"/>
      <c r="Z69" s="350"/>
      <c r="AA69" s="350"/>
      <c r="AB69" s="350"/>
      <c r="AC69" s="349">
        <f t="shared" si="18"/>
        <v>18000</v>
      </c>
      <c r="AD69" s="351"/>
      <c r="AE69" s="352">
        <v>202606</v>
      </c>
      <c r="AF69" s="348"/>
      <c r="AG69" s="348">
        <f>O69</f>
        <v>18000</v>
      </c>
      <c r="AH69" s="348"/>
      <c r="AI69" s="348"/>
      <c r="AJ69" s="348"/>
      <c r="AK69" s="348">
        <f>AG69*0.05</f>
        <v>900</v>
      </c>
      <c r="AL69" s="353"/>
      <c r="AM69" s="349">
        <f t="shared" si="19"/>
        <v>900</v>
      </c>
      <c r="AN69" s="348"/>
      <c r="AO69" s="348"/>
      <c r="AP69" s="348"/>
      <c r="AQ69" s="348"/>
      <c r="AR69" s="348"/>
      <c r="AS69" s="348">
        <v>0</v>
      </c>
      <c r="AT69" s="354"/>
      <c r="AU69" s="355"/>
      <c r="AV69" s="348"/>
      <c r="AW69" s="348"/>
      <c r="AX69" s="348"/>
      <c r="AY69" s="349"/>
      <c r="AZ69" s="348">
        <f t="shared" si="20"/>
        <v>0</v>
      </c>
      <c r="BA69" s="348"/>
      <c r="BB69" s="348">
        <f t="shared" si="21"/>
        <v>17100</v>
      </c>
      <c r="BC69" s="353"/>
      <c r="BD69" s="349">
        <f t="shared" si="22"/>
        <v>17100</v>
      </c>
      <c r="BE69" s="356"/>
      <c r="BF69" s="348"/>
      <c r="BG69" s="348"/>
      <c r="BH69" s="348"/>
      <c r="BI69" s="348"/>
      <c r="BJ69" s="348">
        <f>AK69</f>
        <v>900</v>
      </c>
      <c r="BK69" s="353"/>
      <c r="BL69" s="349">
        <f t="shared" si="23"/>
        <v>900</v>
      </c>
      <c r="BM69" s="354"/>
      <c r="BN69" s="350"/>
      <c r="BO69" s="350"/>
      <c r="BP69" s="350"/>
      <c r="BQ69" s="350"/>
      <c r="BR69" s="349">
        <f t="shared" si="24"/>
        <v>0</v>
      </c>
      <c r="BS69" s="349">
        <f t="shared" si="25"/>
        <v>0</v>
      </c>
      <c r="BT69" s="357"/>
      <c r="BU69" s="357"/>
      <c r="BV69" s="358"/>
      <c r="BW69" s="359" t="str">
        <f t="shared" si="26"/>
        <v>开弈中国劉梓霖</v>
      </c>
      <c r="BX69" s="360" t="s">
        <v>258</v>
      </c>
      <c r="BY69" s="360" t="s">
        <v>259</v>
      </c>
      <c r="BZ69" s="360"/>
      <c r="CA69" s="360" t="e">
        <f>VLOOKUP(A69,hr.个税累计数据!C:C,1,0)</f>
        <v>#N/A</v>
      </c>
      <c r="CB69" s="360" t="s">
        <v>421</v>
      </c>
      <c r="CC69" s="360"/>
      <c r="CD69" s="243" t="b">
        <f t="shared" si="27"/>
        <v>1</v>
      </c>
    </row>
    <row r="70" s="243" customFormat="1" ht="23" hidden="1" customHeight="1" spans="1:82">
      <c r="A70" s="343" t="str">
        <f t="shared" si="14"/>
        <v>开弈中国賴淑賢</v>
      </c>
      <c r="B70" s="343" t="s">
        <v>26</v>
      </c>
      <c r="C70" s="343" t="s">
        <v>58</v>
      </c>
      <c r="D70" s="343" t="s">
        <v>413</v>
      </c>
      <c r="E70" s="344" t="s">
        <v>415</v>
      </c>
      <c r="F70" s="343" t="s">
        <v>422</v>
      </c>
      <c r="G70" s="343" t="s">
        <v>319</v>
      </c>
      <c r="H70" s="343" t="s">
        <v>423</v>
      </c>
      <c r="I70" s="343" t="s">
        <v>423</v>
      </c>
      <c r="J70" s="343" t="s">
        <v>257</v>
      </c>
      <c r="K70" s="345">
        <f t="shared" si="15"/>
        <v>31500</v>
      </c>
      <c r="L70" s="346">
        <f t="shared" si="16"/>
        <v>28500</v>
      </c>
      <c r="M70"/>
      <c r="N70" s="347">
        <v>6</v>
      </c>
      <c r="O70" s="361">
        <v>30000</v>
      </c>
      <c r="P70" s="348"/>
      <c r="Q70" s="348">
        <f>VLOOKUP(I70,考勤调整记录!I:W,15,0)</f>
        <v>0</v>
      </c>
      <c r="R70" s="348"/>
      <c r="S70" s="348"/>
      <c r="T70" s="348"/>
      <c r="U70" s="349">
        <f t="shared" si="17"/>
        <v>30000</v>
      </c>
      <c r="V70" s="350"/>
      <c r="W70" s="350"/>
      <c r="X70" s="350"/>
      <c r="Y70" s="350"/>
      <c r="Z70" s="350"/>
      <c r="AA70" s="350"/>
      <c r="AB70" s="350"/>
      <c r="AC70" s="349">
        <f t="shared" si="18"/>
        <v>30000</v>
      </c>
      <c r="AD70" s="351"/>
      <c r="AE70" s="352">
        <v>202606</v>
      </c>
      <c r="AF70" s="348"/>
      <c r="AG70" s="348">
        <f>O70</f>
        <v>30000</v>
      </c>
      <c r="AH70" s="348"/>
      <c r="AI70" s="348"/>
      <c r="AJ70" s="348"/>
      <c r="AK70" s="348">
        <f>AG70*0.05</f>
        <v>1500</v>
      </c>
      <c r="AL70" s="353"/>
      <c r="AM70" s="349">
        <f t="shared" si="19"/>
        <v>1500</v>
      </c>
      <c r="AN70" s="348"/>
      <c r="AO70" s="348"/>
      <c r="AP70" s="348"/>
      <c r="AQ70" s="348"/>
      <c r="AR70" s="348"/>
      <c r="AS70" s="348">
        <v>0</v>
      </c>
      <c r="AT70" s="354"/>
      <c r="AU70" s="355"/>
      <c r="AV70" s="348"/>
      <c r="AW70" s="348"/>
      <c r="AX70" s="348"/>
      <c r="AY70" s="349"/>
      <c r="AZ70" s="348">
        <f t="shared" si="20"/>
        <v>0</v>
      </c>
      <c r="BA70" s="348"/>
      <c r="BB70" s="348">
        <f t="shared" si="21"/>
        <v>28500</v>
      </c>
      <c r="BC70" s="353"/>
      <c r="BD70" s="349">
        <f t="shared" si="22"/>
        <v>28500</v>
      </c>
      <c r="BE70" s="356"/>
      <c r="BF70" s="348"/>
      <c r="BG70" s="348"/>
      <c r="BH70" s="348"/>
      <c r="BI70" s="348"/>
      <c r="BJ70" s="348">
        <f>AK70</f>
        <v>1500</v>
      </c>
      <c r="BK70" s="353"/>
      <c r="BL70" s="349">
        <f t="shared" si="23"/>
        <v>1500</v>
      </c>
      <c r="BM70" s="354"/>
      <c r="BN70" s="350"/>
      <c r="BO70" s="350"/>
      <c r="BP70" s="350"/>
      <c r="BQ70" s="350"/>
      <c r="BR70" s="349">
        <f t="shared" si="24"/>
        <v>0</v>
      </c>
      <c r="BS70" s="349">
        <f t="shared" si="25"/>
        <v>0</v>
      </c>
      <c r="BT70" s="357"/>
      <c r="BU70" s="357"/>
      <c r="BV70" s="358"/>
      <c r="BW70" s="359" t="str">
        <f t="shared" si="26"/>
        <v>开弈中国賴淑賢</v>
      </c>
      <c r="BX70" s="360" t="s">
        <v>258</v>
      </c>
      <c r="BY70" s="360" t="s">
        <v>259</v>
      </c>
      <c r="BZ70" s="360"/>
      <c r="CA70" s="360" t="e">
        <f>VLOOKUP(A70,hr.个税累计数据!C:C,1,0)</f>
        <v>#N/A</v>
      </c>
      <c r="CB70" s="360" t="s">
        <v>424</v>
      </c>
      <c r="CC70" s="360"/>
      <c r="CD70" s="243" t="b">
        <f t="shared" si="27"/>
        <v>1</v>
      </c>
    </row>
    <row r="71" s="243" customFormat="1" ht="23" customHeight="1" spans="1:82">
      <c r="A71" s="343" t="str">
        <f t="shared" si="14"/>
        <v>开弈中国张毅</v>
      </c>
      <c r="B71" s="343" t="s">
        <v>24</v>
      </c>
      <c r="C71" s="343" t="s">
        <v>58</v>
      </c>
      <c r="D71" s="343" t="s">
        <v>413</v>
      </c>
      <c r="E71" s="344" t="s">
        <v>407</v>
      </c>
      <c r="F71" s="343" t="s">
        <v>134</v>
      </c>
      <c r="G71" s="343" t="s">
        <v>408</v>
      </c>
      <c r="H71" s="343" t="s">
        <v>134</v>
      </c>
      <c r="I71" s="343" t="s">
        <v>134</v>
      </c>
      <c r="J71" s="343" t="s">
        <v>257</v>
      </c>
      <c r="K71" s="345">
        <f t="shared" si="15"/>
        <v>70000</v>
      </c>
      <c r="L71" s="346">
        <f t="shared" si="16"/>
        <v>70000</v>
      </c>
      <c r="M71"/>
      <c r="N71" s="347">
        <v>6</v>
      </c>
      <c r="O71" s="361">
        <v>70000</v>
      </c>
      <c r="P71" s="348"/>
      <c r="Q71" s="348"/>
      <c r="R71" s="348"/>
      <c r="S71" s="348"/>
      <c r="T71" s="348"/>
      <c r="U71" s="349">
        <f t="shared" ref="U71:U101" si="33">SUM(O71:T71)</f>
        <v>70000</v>
      </c>
      <c r="V71" s="350"/>
      <c r="W71" s="350"/>
      <c r="X71" s="350"/>
      <c r="Y71" s="350"/>
      <c r="Z71" s="350"/>
      <c r="AA71" s="350"/>
      <c r="AB71" s="350"/>
      <c r="AC71" s="349">
        <f t="shared" si="18"/>
        <v>70000</v>
      </c>
      <c r="AD71" s="351"/>
      <c r="AE71" s="352">
        <v>202606</v>
      </c>
      <c r="AF71" s="348">
        <f>VLOOKUP(BW71,'HR|社保明细'!C:F,4,0)</f>
        <v>0</v>
      </c>
      <c r="AG71" s="348">
        <f>VLOOKUP($BW71,'HR|社保明细'!$C:G,5,0)</f>
        <v>0</v>
      </c>
      <c r="AH71" s="348">
        <f>VLOOKUP($BW71,'HR|社保明细'!$C:H,6,0)</f>
        <v>0</v>
      </c>
      <c r="AI71" s="348">
        <f>VLOOKUP($BW71,'HR|社保明细'!$C:I,7,0)</f>
        <v>0</v>
      </c>
      <c r="AJ71" s="348">
        <f>VLOOKUP($BW71,'HR|社保明细'!$C:J,8,0)</f>
        <v>0</v>
      </c>
      <c r="AK71" s="348">
        <f>VLOOKUP($BW71,'HR|社保明细'!$C:K,9,0)</f>
        <v>0</v>
      </c>
      <c r="AL71" s="353">
        <f>VLOOKUP($BW71,'HR|社保明细'!$C:L,10,0)</f>
        <v>0</v>
      </c>
      <c r="AM71" s="349">
        <f t="shared" ref="AM71:AM90" si="34">SUM(AH71:AL71)</f>
        <v>0</v>
      </c>
      <c r="AN71" s="348"/>
      <c r="AO71" s="348"/>
      <c r="AP71" s="348"/>
      <c r="AQ71" s="348"/>
      <c r="AR71" s="348"/>
      <c r="AS71" s="348">
        <v>0</v>
      </c>
      <c r="AT71" s="354"/>
      <c r="AU71" s="355">
        <f>VLOOKUP(BW71,hr.个税累计数据!C:DS,121,0)</f>
        <v>420000</v>
      </c>
      <c r="AV71" s="348"/>
      <c r="AW71" s="348">
        <f>VLOOKUP(BW71,hr.个税累计数据!C:DV,124,0)</f>
        <v>0</v>
      </c>
      <c r="AX71" s="348"/>
      <c r="AY71" s="349"/>
      <c r="AZ71" s="348">
        <f t="shared" si="20"/>
        <v>0</v>
      </c>
      <c r="BA71" s="348"/>
      <c r="BB71" s="348">
        <f t="shared" si="21"/>
        <v>70000</v>
      </c>
      <c r="BC71" s="353"/>
      <c r="BD71" s="349">
        <f t="shared" si="22"/>
        <v>70000</v>
      </c>
      <c r="BE71" s="356">
        <f>VLOOKUP($BW71,'HR|社保明细'!C:T,11,0)</f>
        <v>0</v>
      </c>
      <c r="BF71" s="348">
        <f>VLOOKUP($BW71,'HR|社保明细'!$C:U,12,0)</f>
        <v>0</v>
      </c>
      <c r="BG71" s="348">
        <f>VLOOKUP($BW71,'HR|社保明细'!$C:V,13,0)</f>
        <v>0</v>
      </c>
      <c r="BH71" s="348">
        <f>VLOOKUP($BW71,'HR|社保明细'!$C:W,14,0)</f>
        <v>0</v>
      </c>
      <c r="BI71" s="348">
        <f>VLOOKUP($BW71,'HR|社保明细'!$C:X,15,0)</f>
        <v>0</v>
      </c>
      <c r="BJ71" s="348">
        <f>VLOOKUP($BW71,'HR|社保明细'!$C:Y,16,0)</f>
        <v>0</v>
      </c>
      <c r="BK71" s="353">
        <f>VLOOKUP($BW71,'HR|社保明细'!$C:Z,17,0)</f>
        <v>0</v>
      </c>
      <c r="BL71" s="349">
        <f t="shared" si="23"/>
        <v>0</v>
      </c>
      <c r="BM71" s="354"/>
      <c r="BN71" s="350"/>
      <c r="BO71" s="350"/>
      <c r="BP71" s="350"/>
      <c r="BQ71" s="350"/>
      <c r="BR71" s="349">
        <f t="shared" ref="BR71:BR90" si="35">SUM(BN71:BQ71)</f>
        <v>0</v>
      </c>
      <c r="BS71" s="349">
        <f t="shared" si="25"/>
        <v>0</v>
      </c>
      <c r="BT71" s="357"/>
      <c r="BU71" s="357"/>
      <c r="BV71" s="358"/>
      <c r="BW71" s="359" t="str">
        <f t="shared" si="26"/>
        <v>开弈中国张毅</v>
      </c>
      <c r="BX71" s="360" t="s">
        <v>258</v>
      </c>
      <c r="BY71" s="360" t="s">
        <v>259</v>
      </c>
      <c r="BZ71" s="360"/>
      <c r="CA71" s="360" t="str">
        <f>VLOOKUP(A71,hr.个税累计数据!C:C,1,0)</f>
        <v>开弈中国张毅</v>
      </c>
      <c r="CB71" s="360" t="s">
        <v>425</v>
      </c>
      <c r="CC71" s="360"/>
      <c r="CD71" s="243" t="b">
        <f t="shared" si="27"/>
        <v>1</v>
      </c>
    </row>
    <row r="72" s="243" customFormat="1" ht="23" hidden="1" customHeight="1" spans="1:82">
      <c r="A72" s="343" t="str">
        <f t="shared" si="14"/>
        <v>靠普人力杜宪</v>
      </c>
      <c r="B72" s="343" t="s">
        <v>31</v>
      </c>
      <c r="C72" s="343" t="s">
        <v>63</v>
      </c>
      <c r="D72" s="343" t="s">
        <v>267</v>
      </c>
      <c r="E72" s="344" t="s">
        <v>268</v>
      </c>
      <c r="F72" s="343" t="s">
        <v>134</v>
      </c>
      <c r="G72" s="343" t="s">
        <v>269</v>
      </c>
      <c r="H72" s="343" t="s">
        <v>392</v>
      </c>
      <c r="I72" s="343" t="s">
        <v>392</v>
      </c>
      <c r="J72" s="343" t="s">
        <v>271</v>
      </c>
      <c r="K72" s="345">
        <f t="shared" si="15"/>
        <v>1000</v>
      </c>
      <c r="L72" s="346">
        <f t="shared" si="16"/>
        <v>960</v>
      </c>
      <c r="M72"/>
      <c r="N72" s="347">
        <v>6</v>
      </c>
      <c r="O72" s="361">
        <v>1000</v>
      </c>
      <c r="P72" s="348"/>
      <c r="Q72" s="348"/>
      <c r="R72" s="348"/>
      <c r="S72" s="348"/>
      <c r="T72" s="348"/>
      <c r="U72" s="349">
        <f t="shared" si="33"/>
        <v>1000</v>
      </c>
      <c r="V72" s="350"/>
      <c r="W72" s="350"/>
      <c r="X72" s="350"/>
      <c r="Y72" s="350"/>
      <c r="Z72" s="350"/>
      <c r="AA72" s="350"/>
      <c r="AB72" s="350"/>
      <c r="AC72" s="349">
        <f t="shared" si="18"/>
        <v>1000</v>
      </c>
      <c r="AD72" s="351"/>
      <c r="AE72" s="352">
        <v>202606</v>
      </c>
      <c r="AF72" s="348">
        <f>VLOOKUP(BW72,'HR|社保明细'!C:F,4,0)</f>
        <v>0</v>
      </c>
      <c r="AG72" s="348">
        <f>VLOOKUP($BW72,'HR|社保明细'!$C:G,5,0)</f>
        <v>0</v>
      </c>
      <c r="AH72" s="348">
        <f>VLOOKUP($BW72,'HR|社保明细'!$C:H,6,0)</f>
        <v>0</v>
      </c>
      <c r="AI72" s="348">
        <f>VLOOKUP($BW72,'HR|社保明细'!$C:I,7,0)</f>
        <v>0</v>
      </c>
      <c r="AJ72" s="348">
        <f>VLOOKUP($BW72,'HR|社保明细'!$C:J,8,0)</f>
        <v>0</v>
      </c>
      <c r="AK72" s="348">
        <f>VLOOKUP($BW72,'HR|社保明细'!$C:K,9,0)</f>
        <v>0</v>
      </c>
      <c r="AL72" s="353">
        <f>VLOOKUP($BW72,'HR|社保明细'!$C:L,10,0)</f>
        <v>0</v>
      </c>
      <c r="AM72" s="349">
        <f t="shared" si="34"/>
        <v>0</v>
      </c>
      <c r="AN72" s="348"/>
      <c r="AO72" s="348"/>
      <c r="AP72" s="348"/>
      <c r="AQ72" s="348"/>
      <c r="AR72" s="348"/>
      <c r="AS72" s="348">
        <v>1000</v>
      </c>
      <c r="AT72" s="354"/>
      <c r="AU72" s="355">
        <f>VLOOKUP(BW72,hr.个税累计数据!C:DS,121,0)</f>
        <v>6000</v>
      </c>
      <c r="AV72" s="348">
        <f>IF(AU72-5000*N72-VLOOKUP(A72,hr.个税累计数据!C:DT,122,0)-VLOOKUP(A72,hr.个税累计数据!C:DU,123,0)&gt;0,AU72-5000*N72-VLOOKUP(A72,hr.个税累计数据!C:DT,122,0)-VLOOKUP(A72,hr.个税累计数据!C:DU,123,0),0)</f>
        <v>0</v>
      </c>
      <c r="AW72" s="348">
        <f>VLOOKUP(BW72,hr.个税累计数据!C:DV,124,0)</f>
        <v>200</v>
      </c>
      <c r="AX72" s="348"/>
      <c r="AY72" s="349">
        <f>IF(D72="国内不计税",0,IF(D72="正常计税",ROUND(MAX(AS72*{0.03,0.1,0.2,0.25,0.3,0.35,0.45}-{0,210,1410,2660,4410,7160,15160},0),2),IF(D72="外籍人",ROUND(MAX(AS72*{0.03,0.1,0.2,0.25,0.3,0.35,0.45}-{0,210,1410,2660,4410,7160,15160},0),2),ROUND(MAX((AS72-IF(AS72&lt;4000,800,AS72*0.2))*10%*{2,3,4}-1000*{0,2,7},0),2))))</f>
        <v>40</v>
      </c>
      <c r="AZ72" s="348">
        <f t="shared" si="20"/>
        <v>0</v>
      </c>
      <c r="BA72" s="348"/>
      <c r="BB72" s="348">
        <f t="shared" si="21"/>
        <v>960</v>
      </c>
      <c r="BC72" s="353"/>
      <c r="BD72" s="349">
        <f t="shared" si="22"/>
        <v>960</v>
      </c>
      <c r="BE72" s="356">
        <f>VLOOKUP($BW72,'HR|社保明细'!C:T,11,0)</f>
        <v>0</v>
      </c>
      <c r="BF72" s="348">
        <f>VLOOKUP($BW72,'HR|社保明细'!$C:U,12,0)</f>
        <v>0</v>
      </c>
      <c r="BG72" s="348">
        <f>VLOOKUP($BW72,'HR|社保明细'!$C:V,13,0)</f>
        <v>0</v>
      </c>
      <c r="BH72" s="348">
        <f>VLOOKUP($BW72,'HR|社保明细'!$C:W,14,0)</f>
        <v>0</v>
      </c>
      <c r="BI72" s="348">
        <f>VLOOKUP($BW72,'HR|社保明细'!$C:X,15,0)</f>
        <v>0</v>
      </c>
      <c r="BJ72" s="348">
        <f>VLOOKUP($BW72,'HR|社保明细'!$C:Y,16,0)</f>
        <v>0</v>
      </c>
      <c r="BK72" s="353">
        <f>VLOOKUP($BW72,'HR|社保明细'!$C:Z,17,0)</f>
        <v>0</v>
      </c>
      <c r="BL72" s="349">
        <f t="shared" si="23"/>
        <v>0</v>
      </c>
      <c r="BM72" s="354"/>
      <c r="BN72" s="350"/>
      <c r="BO72" s="350"/>
      <c r="BP72" s="350"/>
      <c r="BQ72" s="350"/>
      <c r="BR72" s="349">
        <f t="shared" si="35"/>
        <v>0</v>
      </c>
      <c r="BS72" s="349">
        <f t="shared" si="25"/>
        <v>0</v>
      </c>
      <c r="BT72" s="357"/>
      <c r="BU72" s="357"/>
      <c r="BV72" s="358"/>
      <c r="BW72" s="359" t="str">
        <f t="shared" si="26"/>
        <v>靠普人力杜宪</v>
      </c>
      <c r="BX72" s="360" t="s">
        <v>258</v>
      </c>
      <c r="BY72" s="360" t="s">
        <v>259</v>
      </c>
      <c r="BZ72" s="360"/>
      <c r="CA72" s="360" t="str">
        <f>VLOOKUP(A72,hr.个税累计数据!C:C,1,0)</f>
        <v>靠普人力杜宪</v>
      </c>
      <c r="CB72" s="360" t="s">
        <v>426</v>
      </c>
      <c r="CC72" s="360"/>
      <c r="CD72" s="243" t="b">
        <f t="shared" si="27"/>
        <v>1</v>
      </c>
    </row>
    <row r="73" s="243" customFormat="1" ht="23" hidden="1" customHeight="1" spans="1:82">
      <c r="A73" s="343" t="str">
        <f t="shared" si="14"/>
        <v>靠普人力季嘉莉</v>
      </c>
      <c r="B73" s="343" t="s">
        <v>30</v>
      </c>
      <c r="C73" s="343" t="s">
        <v>63</v>
      </c>
      <c r="D73" s="343" t="s">
        <v>252</v>
      </c>
      <c r="E73" s="344" t="s">
        <v>355</v>
      </c>
      <c r="F73" s="343" t="s">
        <v>105</v>
      </c>
      <c r="G73" s="343" t="s">
        <v>356</v>
      </c>
      <c r="H73" s="343" t="s">
        <v>427</v>
      </c>
      <c r="I73" s="343" t="s">
        <v>427</v>
      </c>
      <c r="J73" s="343" t="s">
        <v>257</v>
      </c>
      <c r="K73" s="345">
        <f t="shared" si="15"/>
        <v>15967.97</v>
      </c>
      <c r="L73" s="346">
        <f t="shared" si="16"/>
        <v>11226.11</v>
      </c>
      <c r="M73"/>
      <c r="N73" s="347">
        <v>6</v>
      </c>
      <c r="O73" s="361">
        <v>9000</v>
      </c>
      <c r="P73" s="348"/>
      <c r="Q73" s="348">
        <f>VLOOKUP(I73,考勤调整记录!I:W,15,0)</f>
        <v>0</v>
      </c>
      <c r="R73" s="348"/>
      <c r="S73" s="348">
        <v>155.8</v>
      </c>
      <c r="T73" s="348">
        <v>4000</v>
      </c>
      <c r="U73" s="349">
        <f t="shared" si="33"/>
        <v>13155.8</v>
      </c>
      <c r="V73" s="350"/>
      <c r="W73" s="350"/>
      <c r="X73" s="350"/>
      <c r="Y73" s="350"/>
      <c r="Z73" s="350"/>
      <c r="AA73" s="350"/>
      <c r="AB73" s="350"/>
      <c r="AC73" s="349">
        <f t="shared" si="18"/>
        <v>13155.8</v>
      </c>
      <c r="AD73" s="351"/>
      <c r="AE73" s="352">
        <v>202606</v>
      </c>
      <c r="AF73" s="348">
        <f>VLOOKUP(BW73,'HR|社保明细'!C:F,4,0)</f>
        <v>7460</v>
      </c>
      <c r="AG73" s="348">
        <f>VLOOKUP($BW73,'HR|社保明细'!$C:G,5,0)</f>
        <v>7384</v>
      </c>
      <c r="AH73" s="348">
        <f>VLOOKUP($BW73,'HR|社保明细'!$C:H,6,0)</f>
        <v>596.8</v>
      </c>
      <c r="AI73" s="348">
        <f>VLOOKUP($BW73,'HR|社保明细'!$C:I,7,0)</f>
        <v>149.2</v>
      </c>
      <c r="AJ73" s="348">
        <f>VLOOKUP($BW73,'HR|社保明细'!$C:J,8,0)</f>
        <v>37.3</v>
      </c>
      <c r="AK73" s="348">
        <f>VLOOKUP($BW73,'HR|社保明细'!$C:K,9,0)</f>
        <v>517</v>
      </c>
      <c r="AL73" s="353">
        <f>VLOOKUP($BW73,'HR|社保明细'!$C:L,10,0)</f>
        <v>369</v>
      </c>
      <c r="AM73" s="349">
        <f t="shared" si="34"/>
        <v>1669.3</v>
      </c>
      <c r="AN73" s="348"/>
      <c r="AO73" s="348"/>
      <c r="AP73" s="348">
        <v>1500</v>
      </c>
      <c r="AQ73" s="348">
        <v>1500</v>
      </c>
      <c r="AR73" s="348"/>
      <c r="AS73" s="348">
        <f>AC73-AM73-SUM(AN73:AR73)</f>
        <v>8486.5</v>
      </c>
      <c r="AT73" s="354"/>
      <c r="AU73" s="355">
        <f>VLOOKUP(BW73,hr.个税累计数据!C:DS,121,0)</f>
        <v>77741.85</v>
      </c>
      <c r="AV73" s="348">
        <f>IF(AU73-5000*N73-VLOOKUP(A73,hr.个税累计数据!C:DT,122,0)-VLOOKUP(A73,hr.个税累计数据!C:DU,123,0)&gt;0,AU73-5000*N73-VLOOKUP(A73,hr.个税累计数据!C:DT,122,0)-VLOOKUP(A73,hr.个税累计数据!C:DU,123,0),0)</f>
        <v>19726.05</v>
      </c>
      <c r="AW73" s="348">
        <f>VLOOKUP(BW73,hr.个税累计数据!C:DV,124,0)</f>
        <v>487.19</v>
      </c>
      <c r="AX73" s="348"/>
      <c r="AY73" s="349">
        <f>IF(ROUND(MAX(AV73*{0.03,0.1,0.2,0.25,0.3,0.35,0.45}-{0,210,1410,2660,4410,7160,15160}*12)-AW73,2)&lt;=0,0,ROUND(MAX(AV73*{0.03,0.1,0.2,0.25,0.3,0.35,0.45}-{0,210,1410,2660,4410,7160,15160}*12)-AW73,2))</f>
        <v>104.59</v>
      </c>
      <c r="AZ73" s="348">
        <f t="shared" si="20"/>
        <v>-155.8</v>
      </c>
      <c r="BA73" s="348"/>
      <c r="BB73" s="348">
        <f t="shared" si="21"/>
        <v>11226.11</v>
      </c>
      <c r="BC73" s="353"/>
      <c r="BD73" s="349">
        <f t="shared" si="22"/>
        <v>11226.11</v>
      </c>
      <c r="BE73" s="356">
        <f>VLOOKUP($BW73,'HR|社保明细'!C:T,11,0)</f>
        <v>1193.6</v>
      </c>
      <c r="BF73" s="348">
        <f>VLOOKUP($BW73,'HR|社保明细'!$C:U,12,0)</f>
        <v>596.8</v>
      </c>
      <c r="BG73" s="348">
        <f>VLOOKUP($BW73,'HR|社保明细'!$C:V,13,0)</f>
        <v>37.3</v>
      </c>
      <c r="BH73" s="348">
        <f>VLOOKUP($BW73,'HR|社保明细'!$C:W,14,0)</f>
        <v>23.87</v>
      </c>
      <c r="BI73" s="348">
        <f>VLOOKUP($BW73,'HR|社保明细'!$C:X,15,0)</f>
        <v>74.6</v>
      </c>
      <c r="BJ73" s="348">
        <f>VLOOKUP($BW73,'HR|社保明细'!$C:Y,16,0)</f>
        <v>517</v>
      </c>
      <c r="BK73" s="353">
        <f>VLOOKUP($BW73,'HR|社保明细'!$C:Z,17,0)</f>
        <v>369</v>
      </c>
      <c r="BL73" s="349">
        <f t="shared" si="23"/>
        <v>2812.17</v>
      </c>
      <c r="BM73" s="354"/>
      <c r="BN73" s="350"/>
      <c r="BO73" s="350"/>
      <c r="BP73" s="350"/>
      <c r="BQ73" s="350"/>
      <c r="BR73" s="349">
        <f t="shared" si="35"/>
        <v>0</v>
      </c>
      <c r="BS73" s="349">
        <f t="shared" si="25"/>
        <v>0</v>
      </c>
      <c r="BT73" s="357">
        <v>1250</v>
      </c>
      <c r="BU73" s="357"/>
      <c r="BV73" s="358"/>
      <c r="BW73" s="359" t="str">
        <f t="shared" si="26"/>
        <v>靠普人力季嘉莉</v>
      </c>
      <c r="BX73" s="360"/>
      <c r="BY73" s="360" t="s">
        <v>273</v>
      </c>
      <c r="BZ73" s="360" t="s">
        <v>321</v>
      </c>
      <c r="CA73" s="360" t="str">
        <f>VLOOKUP(A73,hr.个税累计数据!C:C,1,0)</f>
        <v>靠普人力季嘉莉</v>
      </c>
      <c r="CB73" s="360" t="s">
        <v>428</v>
      </c>
      <c r="CC73" s="360" t="s">
        <v>273</v>
      </c>
      <c r="CD73" s="243" t="b">
        <f t="shared" si="27"/>
        <v>1</v>
      </c>
    </row>
    <row r="74" s="243" customFormat="1" ht="23" hidden="1" customHeight="1" spans="1:82">
      <c r="A74" s="343" t="str">
        <f t="shared" si="14"/>
        <v>开弈人力资源张家喜</v>
      </c>
      <c r="B74" s="343" t="s">
        <v>37</v>
      </c>
      <c r="C74" s="343" t="s">
        <v>61</v>
      </c>
      <c r="D74" s="343" t="s">
        <v>252</v>
      </c>
      <c r="E74" s="344" t="s">
        <v>261</v>
      </c>
      <c r="F74" s="343" t="s">
        <v>262</v>
      </c>
      <c r="G74" s="343" t="s">
        <v>263</v>
      </c>
      <c r="H74" s="343" t="s">
        <v>429</v>
      </c>
      <c r="I74" s="343" t="s">
        <v>429</v>
      </c>
      <c r="J74" s="343" t="s">
        <v>265</v>
      </c>
      <c r="K74" s="345">
        <f t="shared" si="15"/>
        <v>5449.47</v>
      </c>
      <c r="L74" s="346">
        <f t="shared" si="16"/>
        <v>2740</v>
      </c>
      <c r="M74"/>
      <c r="N74" s="347">
        <v>6</v>
      </c>
      <c r="O74" s="361">
        <f>3457.55+15.54-7.77+50+23.94-15.96</f>
        <v>3523.3</v>
      </c>
      <c r="P74" s="348"/>
      <c r="Q74" s="348"/>
      <c r="R74" s="348"/>
      <c r="S74" s="348"/>
      <c r="T74" s="348"/>
      <c r="U74" s="349">
        <f t="shared" si="33"/>
        <v>3523.3</v>
      </c>
      <c r="V74" s="350"/>
      <c r="W74" s="350"/>
      <c r="X74" s="350"/>
      <c r="Y74" s="350"/>
      <c r="Z74" s="350"/>
      <c r="AA74" s="350"/>
      <c r="AB74" s="350"/>
      <c r="AC74" s="349">
        <f t="shared" si="18"/>
        <v>3523.3</v>
      </c>
      <c r="AD74" s="351"/>
      <c r="AE74" s="352">
        <v>202606</v>
      </c>
      <c r="AF74" s="348">
        <f>VLOOKUP(BW74,'HR|社保明细'!C:F,4,0)</f>
        <v>7460</v>
      </c>
      <c r="AG74" s="348">
        <f>VLOOKUP($BW74,'HR|社保明细'!$C:G,5,0)</f>
        <v>0</v>
      </c>
      <c r="AH74" s="348">
        <f>VLOOKUP($BW74,'HR|社保明细'!$C:H,6,0)</f>
        <v>596.8</v>
      </c>
      <c r="AI74" s="348">
        <f>VLOOKUP($BW74,'HR|社保明细'!$C:I,7,0)</f>
        <v>149.2</v>
      </c>
      <c r="AJ74" s="348">
        <f>VLOOKUP($BW74,'HR|社保明细'!$C:J,8,0)</f>
        <v>37.3</v>
      </c>
      <c r="AK74" s="348">
        <f>VLOOKUP($BW74,'HR|社保明细'!$C:K,9,0)</f>
        <v>0</v>
      </c>
      <c r="AL74" s="353">
        <f>VLOOKUP($BW74,'HR|社保明细'!$C:L,10,0)</f>
        <v>0</v>
      </c>
      <c r="AM74" s="349">
        <f t="shared" si="34"/>
        <v>783.3</v>
      </c>
      <c r="AN74" s="348"/>
      <c r="AO74" s="348"/>
      <c r="AP74" s="348"/>
      <c r="AQ74" s="348"/>
      <c r="AR74" s="348"/>
      <c r="AS74" s="348">
        <f>AC74-AM74-SUM(AN74:AR74)</f>
        <v>2740</v>
      </c>
      <c r="AT74" s="354"/>
      <c r="AU74" s="355">
        <f>VLOOKUP(BW74,hr.个税累计数据!C:DS,121,0)</f>
        <v>21139.8</v>
      </c>
      <c r="AV74" s="348">
        <f>IF(AU74-5000*N74-VLOOKUP(A74,hr.个税累计数据!C:DT,122,0)-VLOOKUP(A74,hr.个税累计数据!C:DU,123,0)&gt;0,AU74-5000*N74-VLOOKUP(A74,hr.个税累计数据!C:DT,122,0)-VLOOKUP(A74,hr.个税累计数据!C:DU,123,0),0)</f>
        <v>0</v>
      </c>
      <c r="AW74" s="348">
        <f>VLOOKUP(BW74,hr.个税累计数据!C:DV,124,0)</f>
        <v>0</v>
      </c>
      <c r="AX74" s="348"/>
      <c r="AY74" s="349">
        <f>IF(ROUND(MAX(AV74*{0.03,0.1,0.2,0.25,0.3,0.35,0.45}-{0,210,1410,2660,4410,7160,15160}*12)-AW74,2)&lt;=0,0,ROUND(MAX(AV74*{0.03,0.1,0.2,0.25,0.3,0.35,0.45}-{0,210,1410,2660,4410,7160,15160}*12)-AW74,2))</f>
        <v>0</v>
      </c>
      <c r="AZ74" s="348">
        <f t="shared" si="20"/>
        <v>0</v>
      </c>
      <c r="BA74" s="348"/>
      <c r="BB74" s="348">
        <f t="shared" si="21"/>
        <v>2740</v>
      </c>
      <c r="BC74" s="353"/>
      <c r="BD74" s="349">
        <f t="shared" si="22"/>
        <v>2740</v>
      </c>
      <c r="BE74" s="356">
        <f>VLOOKUP($BW74,'HR|社保明细'!C:T,11,0)</f>
        <v>1193.6</v>
      </c>
      <c r="BF74" s="348">
        <f>VLOOKUP($BW74,'HR|社保明细'!$C:U,12,0)</f>
        <v>596.8</v>
      </c>
      <c r="BG74" s="348">
        <f>VLOOKUP($BW74,'HR|社保明细'!$C:V,13,0)</f>
        <v>37.3</v>
      </c>
      <c r="BH74" s="348">
        <f>VLOOKUP($BW74,'HR|社保明细'!$C:W,14,0)</f>
        <v>23.87</v>
      </c>
      <c r="BI74" s="348">
        <f>VLOOKUP($BW74,'HR|社保明细'!$C:X,15,0)</f>
        <v>74.6</v>
      </c>
      <c r="BJ74" s="348">
        <f>VLOOKUP($BW74,'HR|社保明细'!$C:Y,16,0)</f>
        <v>0</v>
      </c>
      <c r="BK74" s="353">
        <f>VLOOKUP($BW74,'HR|社保明细'!$C:Z,17,0)</f>
        <v>0</v>
      </c>
      <c r="BL74" s="349">
        <f t="shared" si="23"/>
        <v>1926.17</v>
      </c>
      <c r="BM74" s="354"/>
      <c r="BN74" s="350"/>
      <c r="BO74" s="350"/>
      <c r="BP74" s="350"/>
      <c r="BQ74" s="350"/>
      <c r="BR74" s="349">
        <f t="shared" si="35"/>
        <v>0</v>
      </c>
      <c r="BS74" s="349">
        <f t="shared" si="25"/>
        <v>0</v>
      </c>
      <c r="BT74" s="357"/>
      <c r="BU74" s="357"/>
      <c r="BV74" s="358"/>
      <c r="BW74" s="359" t="str">
        <f t="shared" si="26"/>
        <v>开弈人力资源张家喜</v>
      </c>
      <c r="BX74" s="360"/>
      <c r="BY74" s="360" t="s">
        <v>259</v>
      </c>
      <c r="BZ74" s="360"/>
      <c r="CA74" s="360" t="str">
        <f>VLOOKUP(A74,hr.个税累计数据!C:C,1,0)</f>
        <v>开弈人力资源张家喜</v>
      </c>
      <c r="CB74" s="360" t="s">
        <v>430</v>
      </c>
      <c r="CC74" s="360"/>
      <c r="CD74" s="243" t="b">
        <f t="shared" si="27"/>
        <v>1</v>
      </c>
    </row>
    <row r="75" s="243" customFormat="1" ht="23" hidden="1" customHeight="1" spans="1:82">
      <c r="A75" s="343" t="str">
        <f t="shared" si="14"/>
        <v>开弈人力资源杜宪</v>
      </c>
      <c r="B75" s="343" t="s">
        <v>31</v>
      </c>
      <c r="C75" s="343" t="s">
        <v>61</v>
      </c>
      <c r="D75" s="343" t="s">
        <v>267</v>
      </c>
      <c r="E75" s="344" t="s">
        <v>268</v>
      </c>
      <c r="F75" s="343" t="s">
        <v>134</v>
      </c>
      <c r="G75" s="343" t="s">
        <v>269</v>
      </c>
      <c r="H75" s="343" t="s">
        <v>392</v>
      </c>
      <c r="I75" s="343" t="s">
        <v>392</v>
      </c>
      <c r="J75" s="343" t="s">
        <v>271</v>
      </c>
      <c r="K75" s="345">
        <f t="shared" si="15"/>
        <v>1000</v>
      </c>
      <c r="L75" s="346">
        <f t="shared" si="16"/>
        <v>960</v>
      </c>
      <c r="M75"/>
      <c r="N75" s="347">
        <v>6</v>
      </c>
      <c r="O75" s="361">
        <v>1000</v>
      </c>
      <c r="P75" s="348"/>
      <c r="Q75" s="348"/>
      <c r="R75" s="348"/>
      <c r="S75" s="348"/>
      <c r="T75" s="348"/>
      <c r="U75" s="349">
        <f t="shared" si="33"/>
        <v>1000</v>
      </c>
      <c r="V75" s="350"/>
      <c r="W75" s="350"/>
      <c r="X75" s="350"/>
      <c r="Y75" s="350"/>
      <c r="Z75" s="350"/>
      <c r="AA75" s="350"/>
      <c r="AB75" s="350"/>
      <c r="AC75" s="349">
        <f t="shared" si="18"/>
        <v>1000</v>
      </c>
      <c r="AD75" s="351"/>
      <c r="AE75" s="352">
        <v>202606</v>
      </c>
      <c r="AF75" s="348">
        <f>VLOOKUP(BW75,'HR|社保明细'!C:F,4,0)</f>
        <v>0</v>
      </c>
      <c r="AG75" s="348">
        <f>VLOOKUP($BW75,'HR|社保明细'!$C:G,5,0)</f>
        <v>0</v>
      </c>
      <c r="AH75" s="348">
        <f>VLOOKUP($BW75,'HR|社保明细'!$C:H,6,0)</f>
        <v>0</v>
      </c>
      <c r="AI75" s="348">
        <f>VLOOKUP($BW75,'HR|社保明细'!$C:I,7,0)</f>
        <v>0</v>
      </c>
      <c r="AJ75" s="348">
        <f>VLOOKUP($BW75,'HR|社保明细'!$C:J,8,0)</f>
        <v>0</v>
      </c>
      <c r="AK75" s="348">
        <f>VLOOKUP($BW75,'HR|社保明细'!$C:K,9,0)</f>
        <v>0</v>
      </c>
      <c r="AL75" s="353">
        <f>VLOOKUP($BW75,'HR|社保明细'!$C:L,10,0)</f>
        <v>0</v>
      </c>
      <c r="AM75" s="349">
        <f t="shared" si="34"/>
        <v>0</v>
      </c>
      <c r="AN75" s="348"/>
      <c r="AO75" s="348"/>
      <c r="AP75" s="348"/>
      <c r="AQ75" s="348"/>
      <c r="AR75" s="348"/>
      <c r="AS75" s="348">
        <v>1000</v>
      </c>
      <c r="AT75" s="354"/>
      <c r="AU75" s="355">
        <f>VLOOKUP(BW75,hr.个税累计数据!C:DS,121,0)</f>
        <v>6000</v>
      </c>
      <c r="AV75" s="348">
        <f>IF(AU75-5000*N75-VLOOKUP(A75,hr.个税累计数据!C:DT,122,0)-VLOOKUP(A75,hr.个税累计数据!C:DU,123,0)&gt;0,AU75-5000*N75-VLOOKUP(A75,hr.个税累计数据!C:DT,122,0)-VLOOKUP(A75,hr.个税累计数据!C:DU,123,0),0)</f>
        <v>0</v>
      </c>
      <c r="AW75" s="348">
        <f>VLOOKUP(BW75,hr.个税累计数据!C:DV,124,0)</f>
        <v>200</v>
      </c>
      <c r="AX75" s="348"/>
      <c r="AY75" s="349">
        <f>IF(D75="国内不计税",0,IF(D75="正常计税",ROUND(MAX(AS75*{0.03,0.1,0.2,0.25,0.3,0.35,0.45}-{0,210,1410,2660,4410,7160,15160},0),2),IF(D75="外籍人",ROUND(MAX(AS75*{0.03,0.1,0.2,0.25,0.3,0.35,0.45}-{0,210,1410,2660,4410,7160,15160},0),2),ROUND(MAX((AS75-IF(AS75&lt;4000,800,AS75*0.2))*10%*{2,3,4}-1000*{0,2,7},0),2))))</f>
        <v>40</v>
      </c>
      <c r="AZ75" s="348">
        <f t="shared" si="20"/>
        <v>0</v>
      </c>
      <c r="BA75" s="348"/>
      <c r="BB75" s="348">
        <f t="shared" si="21"/>
        <v>960</v>
      </c>
      <c r="BC75" s="353"/>
      <c r="BD75" s="349">
        <f t="shared" si="22"/>
        <v>960</v>
      </c>
      <c r="BE75" s="356">
        <f>VLOOKUP($BW75,'HR|社保明细'!C:T,11,0)</f>
        <v>0</v>
      </c>
      <c r="BF75" s="348">
        <f>VLOOKUP($BW75,'HR|社保明细'!$C:U,12,0)</f>
        <v>0</v>
      </c>
      <c r="BG75" s="348">
        <f>VLOOKUP($BW75,'HR|社保明细'!$C:V,13,0)</f>
        <v>0</v>
      </c>
      <c r="BH75" s="348">
        <f>VLOOKUP($BW75,'HR|社保明细'!$C:W,14,0)</f>
        <v>0</v>
      </c>
      <c r="BI75" s="348">
        <f>VLOOKUP($BW75,'HR|社保明细'!$C:X,15,0)</f>
        <v>0</v>
      </c>
      <c r="BJ75" s="348">
        <f>VLOOKUP($BW75,'HR|社保明细'!$C:Y,16,0)</f>
        <v>0</v>
      </c>
      <c r="BK75" s="353">
        <f>VLOOKUP($BW75,'HR|社保明细'!$C:Z,17,0)</f>
        <v>0</v>
      </c>
      <c r="BL75" s="349">
        <f t="shared" si="23"/>
        <v>0</v>
      </c>
      <c r="BM75" s="354"/>
      <c r="BN75" s="350"/>
      <c r="BO75" s="350"/>
      <c r="BP75" s="350"/>
      <c r="BQ75" s="350"/>
      <c r="BR75" s="349">
        <f t="shared" si="35"/>
        <v>0</v>
      </c>
      <c r="BS75" s="349">
        <f t="shared" si="25"/>
        <v>0</v>
      </c>
      <c r="BT75" s="357"/>
      <c r="BU75" s="357"/>
      <c r="BV75" s="358"/>
      <c r="BW75" s="359" t="str">
        <f t="shared" si="26"/>
        <v>开弈人力资源杜宪</v>
      </c>
      <c r="BX75" s="360" t="s">
        <v>258</v>
      </c>
      <c r="BY75" s="360" t="s">
        <v>259</v>
      </c>
      <c r="BZ75" s="360"/>
      <c r="CA75" s="360" t="str">
        <f>VLOOKUP(A75,hr.个税累计数据!C:C,1,0)</f>
        <v>开弈人力资源杜宪</v>
      </c>
      <c r="CB75" s="360" t="s">
        <v>431</v>
      </c>
      <c r="CC75" s="360"/>
      <c r="CD75" s="243" t="b">
        <f t="shared" si="27"/>
        <v>1</v>
      </c>
    </row>
    <row r="76" s="243" customFormat="1" ht="23" hidden="1" customHeight="1" spans="1:82">
      <c r="A76" s="343" t="str">
        <f t="shared" si="14"/>
        <v>深圳和弈王雷</v>
      </c>
      <c r="B76" s="343" t="s">
        <v>34</v>
      </c>
      <c r="C76" s="343" t="s">
        <v>69</v>
      </c>
      <c r="D76" s="343" t="s">
        <v>252</v>
      </c>
      <c r="E76" s="344" t="s">
        <v>432</v>
      </c>
      <c r="F76" s="343" t="s">
        <v>121</v>
      </c>
      <c r="G76" s="343" t="s">
        <v>255</v>
      </c>
      <c r="H76" s="343" t="s">
        <v>433</v>
      </c>
      <c r="I76" s="343" t="s">
        <v>433</v>
      </c>
      <c r="J76" s="343" t="s">
        <v>257</v>
      </c>
      <c r="K76" s="345">
        <f t="shared" si="15"/>
        <v>7254.66</v>
      </c>
      <c r="L76" s="346">
        <f t="shared" si="16"/>
        <v>4605.46</v>
      </c>
      <c r="M76"/>
      <c r="N76" s="347">
        <v>6</v>
      </c>
      <c r="O76" s="361">
        <v>5400</v>
      </c>
      <c r="P76" s="348"/>
      <c r="Q76" s="348">
        <f>VLOOKUP(I76,考勤调整记录!I:W,15,0)</f>
        <v>0</v>
      </c>
      <c r="R76" s="348"/>
      <c r="S76" s="348">
        <v>267.4</v>
      </c>
      <c r="T76" s="348"/>
      <c r="U76" s="349">
        <f t="shared" si="33"/>
        <v>5667.4</v>
      </c>
      <c r="V76" s="350"/>
      <c r="W76" s="350"/>
      <c r="X76" s="350"/>
      <c r="Y76" s="350"/>
      <c r="Z76" s="350"/>
      <c r="AA76" s="350"/>
      <c r="AB76" s="350"/>
      <c r="AC76" s="349">
        <f t="shared" si="18"/>
        <v>5667.4</v>
      </c>
      <c r="AD76" s="351"/>
      <c r="AE76" s="352">
        <v>202606</v>
      </c>
      <c r="AF76" s="348">
        <f>VLOOKUP(BW76,'HR|社保明细'!C:F,4,0)</f>
        <v>5000</v>
      </c>
      <c r="AG76" s="348">
        <f>VLOOKUP($BW76,'HR|社保明细'!$C:G,5,0)</f>
        <v>5000</v>
      </c>
      <c r="AH76" s="348">
        <f>VLOOKUP($BW76,'HR|社保明细'!$C:H,6,0)</f>
        <v>400</v>
      </c>
      <c r="AI76" s="348">
        <f>VLOOKUP($BW76,'HR|社保明细'!$C:I,7,0)</f>
        <v>134.54</v>
      </c>
      <c r="AJ76" s="348">
        <f>VLOOKUP($BW76,'HR|社保明细'!$C:J,8,0)</f>
        <v>10</v>
      </c>
      <c r="AK76" s="348">
        <f>VLOOKUP($BW76,'HR|社保明细'!$C:K,9,0)</f>
        <v>250</v>
      </c>
      <c r="AL76" s="353">
        <f>VLOOKUP($BW76,'HR|社保明细'!$C:L,10,0)</f>
        <v>0</v>
      </c>
      <c r="AM76" s="349">
        <f t="shared" si="34"/>
        <v>794.54</v>
      </c>
      <c r="AN76" s="348"/>
      <c r="AO76" s="348"/>
      <c r="AP76" s="348"/>
      <c r="AQ76" s="348"/>
      <c r="AR76" s="348"/>
      <c r="AS76" s="348">
        <f>AC76-AM76-SUM(AN76:AR76)</f>
        <v>4872.86</v>
      </c>
      <c r="AT76" s="354"/>
      <c r="AU76" s="355">
        <f>VLOOKUP(BW76,hr.个税累计数据!C:DS,121,0)</f>
        <v>33462.87</v>
      </c>
      <c r="AV76" s="348">
        <f>IF(AU76-5000*N76-VLOOKUP(A76,hr.个税累计数据!C:DT,122,0)-VLOOKUP(A76,hr.个税累计数据!C:DU,123,0)&gt;0,AU76-5000*N76-VLOOKUP(A76,hr.个税累计数据!C:DT,122,0)-VLOOKUP(A76,hr.个税累计数据!C:DU,123,0),0)</f>
        <v>0</v>
      </c>
      <c r="AW76" s="348">
        <f>VLOOKUP(BW76,hr.个税累计数据!C:DV,124,0)</f>
        <v>0</v>
      </c>
      <c r="AX76" s="348"/>
      <c r="AY76" s="349">
        <f>IF(ROUND(MAX(AV76*{0.03,0.1,0.2,0.25,0.3,0.35,0.45}-{0,210,1410,2660,4410,7160,15160}*12)-AW76,2)&lt;=0,0,ROUND(MAX(AV76*{0.03,0.1,0.2,0.25,0.3,0.35,0.45}-{0,210,1410,2660,4410,7160,15160}*12)-AW76,2))</f>
        <v>0</v>
      </c>
      <c r="AZ76" s="348">
        <f t="shared" si="20"/>
        <v>-267.4</v>
      </c>
      <c r="BA76" s="348"/>
      <c r="BB76" s="348">
        <f t="shared" si="21"/>
        <v>4605.46</v>
      </c>
      <c r="BC76" s="353"/>
      <c r="BD76" s="349">
        <f t="shared" si="22"/>
        <v>4605.46</v>
      </c>
      <c r="BE76" s="356">
        <f>VLOOKUP($BW76,'HR|社保明细'!C:T,11,0)</f>
        <v>850</v>
      </c>
      <c r="BF76" s="348">
        <f>VLOOKUP($BW76,'HR|社保明细'!$C:U,12,0)</f>
        <v>403.62</v>
      </c>
      <c r="BG76" s="348">
        <f>VLOOKUP($BW76,'HR|社保明细'!$C:V,13,0)</f>
        <v>40</v>
      </c>
      <c r="BH76" s="348">
        <f>VLOOKUP($BW76,'HR|社保明细'!$C:W,14,0)</f>
        <v>10</v>
      </c>
      <c r="BI76" s="348">
        <f>VLOOKUP($BW76,'HR|社保明细'!$C:X,15,0)</f>
        <v>33.64</v>
      </c>
      <c r="BJ76" s="348">
        <f>VLOOKUP($BW76,'HR|社保明细'!$C:Y,16,0)</f>
        <v>250</v>
      </c>
      <c r="BK76" s="353">
        <f>VLOOKUP($BW76,'HR|社保明细'!$C:Z,17,0)</f>
        <v>0</v>
      </c>
      <c r="BL76" s="349">
        <f t="shared" si="23"/>
        <v>1587.26</v>
      </c>
      <c r="BM76" s="354"/>
      <c r="BN76" s="350"/>
      <c r="BO76" s="350"/>
      <c r="BP76" s="350"/>
      <c r="BQ76" s="350"/>
      <c r="BR76" s="349">
        <f t="shared" si="35"/>
        <v>0</v>
      </c>
      <c r="BS76" s="349">
        <f t="shared" si="25"/>
        <v>0</v>
      </c>
      <c r="BT76" s="357">
        <v>600</v>
      </c>
      <c r="BU76" s="357"/>
      <c r="BV76" s="358"/>
      <c r="BW76" s="359" t="str">
        <f t="shared" si="26"/>
        <v>深圳和弈王雷</v>
      </c>
      <c r="BX76" s="360"/>
      <c r="BY76" s="360" t="s">
        <v>273</v>
      </c>
      <c r="BZ76" s="360" t="s">
        <v>274</v>
      </c>
      <c r="CA76" s="360" t="str">
        <f>VLOOKUP(A76,hr.个税累计数据!C:C,1,0)</f>
        <v>深圳和弈王雷</v>
      </c>
      <c r="CB76" s="360" t="s">
        <v>434</v>
      </c>
      <c r="CC76" s="360" t="s">
        <v>273</v>
      </c>
      <c r="CD76" s="243" t="b">
        <f t="shared" si="27"/>
        <v>1</v>
      </c>
    </row>
    <row r="77" s="243" customFormat="1" ht="23" customHeight="1" spans="1:82">
      <c r="A77" s="343" t="str">
        <f t="shared" si="14"/>
        <v>深圳和弈王倩</v>
      </c>
      <c r="B77" s="343" t="s">
        <v>31</v>
      </c>
      <c r="C77" s="343" t="s">
        <v>69</v>
      </c>
      <c r="D77" s="343" t="s">
        <v>267</v>
      </c>
      <c r="E77" s="344" t="s">
        <v>268</v>
      </c>
      <c r="F77" s="343" t="s">
        <v>134</v>
      </c>
      <c r="G77" s="343" t="s">
        <v>269</v>
      </c>
      <c r="H77" s="343" t="s">
        <v>270</v>
      </c>
      <c r="I77" s="343" t="s">
        <v>270</v>
      </c>
      <c r="J77" s="343" t="s">
        <v>271</v>
      </c>
      <c r="K77" s="345">
        <f t="shared" si="15"/>
        <v>1000</v>
      </c>
      <c r="L77" s="346">
        <f t="shared" si="16"/>
        <v>960</v>
      </c>
      <c r="M77"/>
      <c r="N77" s="347">
        <v>6</v>
      </c>
      <c r="O77" s="361">
        <v>1000</v>
      </c>
      <c r="P77" s="348"/>
      <c r="Q77" s="348"/>
      <c r="R77" s="348"/>
      <c r="S77" s="348"/>
      <c r="T77" s="348"/>
      <c r="U77" s="349">
        <f t="shared" si="33"/>
        <v>1000</v>
      </c>
      <c r="V77" s="350"/>
      <c r="W77" s="350"/>
      <c r="X77" s="350"/>
      <c r="Y77" s="350"/>
      <c r="Z77" s="350"/>
      <c r="AA77" s="350"/>
      <c r="AB77" s="350"/>
      <c r="AC77" s="349">
        <f t="shared" si="18"/>
        <v>1000</v>
      </c>
      <c r="AD77" s="351"/>
      <c r="AE77" s="352">
        <v>202606</v>
      </c>
      <c r="AF77" s="348">
        <f>VLOOKUP(BW77,'HR|社保明细'!C:F,4,0)</f>
        <v>0</v>
      </c>
      <c r="AG77" s="348">
        <f>VLOOKUP($BW77,'HR|社保明细'!$C:G,5,0)</f>
        <v>0</v>
      </c>
      <c r="AH77" s="348">
        <f>VLOOKUP($BW77,'HR|社保明细'!$C:H,6,0)</f>
        <v>0</v>
      </c>
      <c r="AI77" s="348">
        <f>VLOOKUP($BW77,'HR|社保明细'!$C:I,7,0)</f>
        <v>0</v>
      </c>
      <c r="AJ77" s="348">
        <f>VLOOKUP($BW77,'HR|社保明细'!$C:J,8,0)</f>
        <v>0</v>
      </c>
      <c r="AK77" s="348">
        <f>VLOOKUP($BW77,'HR|社保明细'!$C:K,9,0)</f>
        <v>0</v>
      </c>
      <c r="AL77" s="353">
        <f>VLOOKUP($BW77,'HR|社保明细'!$C:L,10,0)</f>
        <v>0</v>
      </c>
      <c r="AM77" s="349">
        <f t="shared" si="34"/>
        <v>0</v>
      </c>
      <c r="AN77" s="348"/>
      <c r="AO77" s="348"/>
      <c r="AP77" s="348"/>
      <c r="AQ77" s="348"/>
      <c r="AR77" s="348"/>
      <c r="AS77" s="348">
        <v>1000</v>
      </c>
      <c r="AT77" s="354"/>
      <c r="AU77" s="355">
        <f>VLOOKUP(BW77,hr.个税累计数据!C:DS,121,0)</f>
        <v>6000</v>
      </c>
      <c r="AV77" s="348">
        <f>IF(AU77-5000*N77-VLOOKUP(A77,hr.个税累计数据!C:DT,122,0)-VLOOKUP(A77,hr.个税累计数据!C:DU,123,0)&gt;0,AU77-5000*N77-VLOOKUP(A77,hr.个税累计数据!C:DT,122,0)-VLOOKUP(A77,hr.个税累计数据!C:DU,123,0),0)</f>
        <v>0</v>
      </c>
      <c r="AW77" s="348">
        <f>VLOOKUP(BW77,hr.个税累计数据!C:DV,124,0)</f>
        <v>200</v>
      </c>
      <c r="AX77" s="348"/>
      <c r="AY77" s="349">
        <f>IF(D77="国内不计税",0,IF(D77="正常计税",ROUND(MAX(AS77*{0.03,0.1,0.2,0.25,0.3,0.35,0.45}-{0,210,1410,2660,4410,7160,15160},0),2),IF(D77="外籍人",ROUND(MAX(AS77*{0.03,0.1,0.2,0.25,0.3,0.35,0.45}-{0,210,1410,2660,4410,7160,15160},0),2),ROUND(MAX((AS77-IF(AS77&lt;4000,800,AS77*0.2))*10%*{2,3,4}-1000*{0,2,7},0),2))))</f>
        <v>40</v>
      </c>
      <c r="AZ77" s="348">
        <f t="shared" si="20"/>
        <v>0</v>
      </c>
      <c r="BA77" s="348"/>
      <c r="BB77" s="348">
        <f t="shared" si="21"/>
        <v>960</v>
      </c>
      <c r="BC77" s="353"/>
      <c r="BD77" s="349">
        <f t="shared" si="22"/>
        <v>960</v>
      </c>
      <c r="BE77" s="356">
        <f>VLOOKUP($BW77,'HR|社保明细'!C:T,11,0)</f>
        <v>0</v>
      </c>
      <c r="BF77" s="348">
        <f>VLOOKUP($BW77,'HR|社保明细'!$C:U,12,0)</f>
        <v>0</v>
      </c>
      <c r="BG77" s="348">
        <f>VLOOKUP($BW77,'HR|社保明细'!$C:V,13,0)</f>
        <v>0</v>
      </c>
      <c r="BH77" s="348">
        <f>VLOOKUP($BW77,'HR|社保明细'!$C:W,14,0)</f>
        <v>0</v>
      </c>
      <c r="BI77" s="348">
        <f>VLOOKUP($BW77,'HR|社保明细'!$C:X,15,0)</f>
        <v>0</v>
      </c>
      <c r="BJ77" s="348">
        <f>VLOOKUP($BW77,'HR|社保明细'!$C:Y,16,0)</f>
        <v>0</v>
      </c>
      <c r="BK77" s="353">
        <f>VLOOKUP($BW77,'HR|社保明细'!$C:Z,17,0)</f>
        <v>0</v>
      </c>
      <c r="BL77" s="349">
        <f t="shared" si="23"/>
        <v>0</v>
      </c>
      <c r="BM77" s="354"/>
      <c r="BN77" s="350"/>
      <c r="BO77" s="350"/>
      <c r="BP77" s="350"/>
      <c r="BQ77" s="350"/>
      <c r="BR77" s="349">
        <f t="shared" si="35"/>
        <v>0</v>
      </c>
      <c r="BS77" s="349">
        <f t="shared" si="25"/>
        <v>0</v>
      </c>
      <c r="BT77" s="357"/>
      <c r="BU77" s="357"/>
      <c r="BV77" s="358"/>
      <c r="BW77" s="359" t="str">
        <f t="shared" si="26"/>
        <v>深圳和弈王倩</v>
      </c>
      <c r="BX77" s="360" t="s">
        <v>258</v>
      </c>
      <c r="BY77" s="360" t="s">
        <v>259</v>
      </c>
      <c r="BZ77" s="360"/>
      <c r="CA77" s="360" t="str">
        <f>VLOOKUP(A77,hr.个税累计数据!C:C,1,0)</f>
        <v>深圳和弈王倩</v>
      </c>
      <c r="CB77" s="360" t="s">
        <v>435</v>
      </c>
      <c r="CC77" s="360"/>
      <c r="CD77" s="243" t="b">
        <f t="shared" si="27"/>
        <v>1</v>
      </c>
    </row>
    <row r="78" s="243" customFormat="1" ht="23" hidden="1" customHeight="1" spans="1:82">
      <c r="A78" s="343" t="str">
        <f t="shared" si="14"/>
        <v>弈工分信息安东生</v>
      </c>
      <c r="B78" s="343" t="s">
        <v>51</v>
      </c>
      <c r="C78" s="343" t="s">
        <v>72</v>
      </c>
      <c r="D78" s="343" t="s">
        <v>252</v>
      </c>
      <c r="E78" s="344" t="s">
        <v>51</v>
      </c>
      <c r="F78" s="343" t="s">
        <v>436</v>
      </c>
      <c r="G78" s="343" t="s">
        <v>437</v>
      </c>
      <c r="H78" s="343" t="s">
        <v>438</v>
      </c>
      <c r="I78" s="343" t="s">
        <v>438</v>
      </c>
      <c r="J78" s="343" t="s">
        <v>257</v>
      </c>
      <c r="K78" s="345">
        <f t="shared" si="15"/>
        <v>14043.69</v>
      </c>
      <c r="L78" s="346">
        <f t="shared" si="16"/>
        <v>10453.87</v>
      </c>
      <c r="M78"/>
      <c r="N78" s="347">
        <v>6</v>
      </c>
      <c r="O78" s="361">
        <v>11400</v>
      </c>
      <c r="P78" s="348"/>
      <c r="Q78" s="348">
        <f>VLOOKUP(I78,考勤调整记录!I:W,15,0)</f>
        <v>0</v>
      </c>
      <c r="R78" s="348"/>
      <c r="S78" s="348">
        <v>155.8</v>
      </c>
      <c r="T78" s="348"/>
      <c r="U78" s="349">
        <f t="shared" si="33"/>
        <v>11555.8</v>
      </c>
      <c r="V78" s="350"/>
      <c r="W78" s="350">
        <v>-9.33</v>
      </c>
      <c r="X78" s="350"/>
      <c r="Y78" s="350">
        <v>300</v>
      </c>
      <c r="Z78" s="350"/>
      <c r="AA78" s="350"/>
      <c r="AB78" s="350"/>
      <c r="AC78" s="349">
        <f t="shared" si="18"/>
        <v>11846.47</v>
      </c>
      <c r="AD78" s="351"/>
      <c r="AE78" s="352">
        <v>202606</v>
      </c>
      <c r="AF78" s="348">
        <f>VLOOKUP(BW78,'HR|社保明细'!C:F,4,0)</f>
        <v>7460</v>
      </c>
      <c r="AG78" s="348">
        <f>VLOOKUP($BW78,'HR|社保明细'!$C:G,5,0)</f>
        <v>4000</v>
      </c>
      <c r="AH78" s="348">
        <f>VLOOKUP($BW78,'HR|社保明细'!$C:H,6,0)</f>
        <v>596.8</v>
      </c>
      <c r="AI78" s="348">
        <f>VLOOKUP($BW78,'HR|社保明细'!$C:I,7,0)</f>
        <v>149.2</v>
      </c>
      <c r="AJ78" s="348">
        <f>VLOOKUP($BW78,'HR|社保明细'!$C:J,8,0)</f>
        <v>37.3</v>
      </c>
      <c r="AK78" s="348">
        <f>VLOOKUP($BW78,'HR|社保明细'!$C:K,9,0)</f>
        <v>280</v>
      </c>
      <c r="AL78" s="353">
        <f>VLOOKUP($BW78,'HR|社保明细'!$C:L,10,0)</f>
        <v>0</v>
      </c>
      <c r="AM78" s="349">
        <f t="shared" si="34"/>
        <v>1063.3</v>
      </c>
      <c r="AN78" s="348"/>
      <c r="AO78" s="348"/>
      <c r="AP78" s="348"/>
      <c r="AQ78" s="348"/>
      <c r="AR78" s="348"/>
      <c r="AS78" s="348">
        <f>AC78-AM78-SUM(AN78:AR78)</f>
        <v>10783.17</v>
      </c>
      <c r="AT78" s="354"/>
      <c r="AU78" s="355">
        <f>VLOOKUP(BW78,hr.个税累计数据!C:DS,121,0)</f>
        <v>67793.64</v>
      </c>
      <c r="AV78" s="348">
        <f>IF(AU78-5000*N78-VLOOKUP(A78,hr.个税累计数据!C:DT,122,0)-VLOOKUP(A78,hr.个税累计数据!C:DU,123,0)&gt;0,AU78-5000*N78-VLOOKUP(A78,hr.个税累计数据!C:DT,122,0)-VLOOKUP(A78,hr.个税累计数据!C:DU,123,0),0)</f>
        <v>31413.84</v>
      </c>
      <c r="AW78" s="348">
        <f>VLOOKUP(BW78,hr.个税累计数据!C:DV,124,0)</f>
        <v>768.92</v>
      </c>
      <c r="AX78" s="348"/>
      <c r="AY78" s="349">
        <f>IF(ROUND(MAX(AV78*{0.03,0.1,0.2,0.25,0.3,0.35,0.45}-{0,210,1410,2660,4410,7160,15160}*12)-AW78,2)&lt;=0,0,ROUND(MAX(AV78*{0.03,0.1,0.2,0.25,0.3,0.35,0.45}-{0,210,1410,2660,4410,7160,15160}*12)-AW78,2))</f>
        <v>173.5</v>
      </c>
      <c r="AZ78" s="348">
        <f t="shared" si="20"/>
        <v>-155.8</v>
      </c>
      <c r="BA78" s="348"/>
      <c r="BB78" s="348">
        <f t="shared" si="21"/>
        <v>10453.87</v>
      </c>
      <c r="BC78" s="353"/>
      <c r="BD78" s="349">
        <f t="shared" si="22"/>
        <v>10453.87</v>
      </c>
      <c r="BE78" s="356">
        <f>VLOOKUP($BW78,'HR|社保明细'!C:T,11,0)</f>
        <v>1193.6</v>
      </c>
      <c r="BF78" s="348">
        <f>VLOOKUP($BW78,'HR|社保明细'!$C:U,12,0)</f>
        <v>596.8</v>
      </c>
      <c r="BG78" s="348">
        <f>VLOOKUP($BW78,'HR|社保明细'!$C:V,13,0)</f>
        <v>37.3</v>
      </c>
      <c r="BH78" s="348">
        <f>VLOOKUP($BW78,'HR|社保明细'!$C:W,14,0)</f>
        <v>14.92</v>
      </c>
      <c r="BI78" s="348">
        <f>VLOOKUP($BW78,'HR|社保明细'!$C:X,15,0)</f>
        <v>74.6</v>
      </c>
      <c r="BJ78" s="348">
        <f>VLOOKUP($BW78,'HR|社保明细'!$C:Y,16,0)</f>
        <v>280</v>
      </c>
      <c r="BK78" s="353">
        <f>VLOOKUP($BW78,'HR|社保明细'!$C:Z,17,0)</f>
        <v>0</v>
      </c>
      <c r="BL78" s="349">
        <f t="shared" si="23"/>
        <v>2197.22</v>
      </c>
      <c r="BM78" s="354"/>
      <c r="BN78" s="350"/>
      <c r="BO78" s="350"/>
      <c r="BP78" s="350"/>
      <c r="BQ78" s="350"/>
      <c r="BR78" s="349">
        <f t="shared" si="35"/>
        <v>0</v>
      </c>
      <c r="BS78" s="349">
        <f t="shared" si="25"/>
        <v>290.67</v>
      </c>
      <c r="BT78" s="357">
        <v>1250</v>
      </c>
      <c r="BU78" s="357"/>
      <c r="BV78" s="358"/>
      <c r="BW78" s="359" t="str">
        <f t="shared" si="26"/>
        <v>弈工分信息安东生</v>
      </c>
      <c r="BX78" s="360"/>
      <c r="BY78" s="360" t="s">
        <v>273</v>
      </c>
      <c r="BZ78" s="360" t="s">
        <v>48</v>
      </c>
      <c r="CA78" s="360" t="str">
        <f>VLOOKUP(A78,hr.个税累计数据!C:C,1,0)</f>
        <v>弈工分信息安东生</v>
      </c>
      <c r="CB78" s="360" t="s">
        <v>439</v>
      </c>
      <c r="CC78" s="360" t="s">
        <v>273</v>
      </c>
      <c r="CD78" s="243" t="b">
        <f t="shared" si="27"/>
        <v>1</v>
      </c>
    </row>
    <row r="79" s="243" customFormat="1" ht="23" hidden="1" customHeight="1" spans="1:82">
      <c r="A79" s="343" t="str">
        <f t="shared" si="14"/>
        <v>时代人才常虹</v>
      </c>
      <c r="B79" s="343" t="s">
        <v>28</v>
      </c>
      <c r="C79" s="343" t="s">
        <v>78</v>
      </c>
      <c r="D79" s="343" t="s">
        <v>252</v>
      </c>
      <c r="E79" s="344" t="s">
        <v>78</v>
      </c>
      <c r="F79" s="343" t="s">
        <v>440</v>
      </c>
      <c r="G79" s="343" t="s">
        <v>311</v>
      </c>
      <c r="H79" s="343" t="s">
        <v>441</v>
      </c>
      <c r="I79" s="343" t="s">
        <v>441</v>
      </c>
      <c r="J79" s="343" t="s">
        <v>257</v>
      </c>
      <c r="K79" s="345">
        <f t="shared" si="15"/>
        <v>21666.67</v>
      </c>
      <c r="L79" s="346">
        <f t="shared" si="16"/>
        <v>20000</v>
      </c>
      <c r="M79"/>
      <c r="N79" s="347">
        <v>6</v>
      </c>
      <c r="O79" s="361">
        <f>21272.16+394.51</f>
        <v>21666.67</v>
      </c>
      <c r="P79" s="348"/>
      <c r="Q79" s="348">
        <f>VLOOKUP(I79,考勤调整记录!I:W,15,0)</f>
        <v>0</v>
      </c>
      <c r="R79" s="348"/>
      <c r="S79" s="348"/>
      <c r="T79" s="348"/>
      <c r="U79" s="349">
        <f t="shared" si="33"/>
        <v>21666.67</v>
      </c>
      <c r="V79" s="350"/>
      <c r="W79" s="350"/>
      <c r="X79" s="350"/>
      <c r="Y79" s="350"/>
      <c r="Z79" s="350"/>
      <c r="AA79" s="350"/>
      <c r="AB79" s="350"/>
      <c r="AC79" s="349">
        <f t="shared" si="18"/>
        <v>21666.67</v>
      </c>
      <c r="AD79" s="351"/>
      <c r="AE79" s="352">
        <v>202606</v>
      </c>
      <c r="AF79" s="348">
        <f>VLOOKUP(BW79,'HR|社保明细'!C:F,4,0)</f>
        <v>0</v>
      </c>
      <c r="AG79" s="348">
        <f>VLOOKUP($BW79,'HR|社保明细'!$C:G,5,0)</f>
        <v>0</v>
      </c>
      <c r="AH79" s="348">
        <f>VLOOKUP($BW79,'HR|社保明细'!$C:H,6,0)</f>
        <v>0</v>
      </c>
      <c r="AI79" s="348">
        <f>VLOOKUP($BW79,'HR|社保明细'!$C:I,7,0)</f>
        <v>0</v>
      </c>
      <c r="AJ79" s="348">
        <f>VLOOKUP($BW79,'HR|社保明细'!$C:J,8,0)</f>
        <v>0</v>
      </c>
      <c r="AK79" s="348">
        <f>VLOOKUP($BW79,'HR|社保明细'!$C:K,9,0)</f>
        <v>0</v>
      </c>
      <c r="AL79" s="353">
        <f>VLOOKUP($BW79,'HR|社保明细'!$C:L,10,0)</f>
        <v>0</v>
      </c>
      <c r="AM79" s="349">
        <f t="shared" si="34"/>
        <v>0</v>
      </c>
      <c r="AN79" s="348"/>
      <c r="AO79" s="348"/>
      <c r="AP79" s="348"/>
      <c r="AQ79" s="348"/>
      <c r="AR79" s="348"/>
      <c r="AS79" s="348">
        <f>AC79-AM79-SUM(AN79:AR79)</f>
        <v>21666.67</v>
      </c>
      <c r="AT79" s="354"/>
      <c r="AU79" s="355">
        <f>VLOOKUP(BW79,hr.个税累计数据!C:DS,121,0)</f>
        <v>127200</v>
      </c>
      <c r="AV79" s="348">
        <f>IF(AU79-5000*N79-VLOOKUP(A79,hr.个税累计数据!C:DT,122,0)-VLOOKUP(A79,hr.个税累计数据!C:DU,123,0)&gt;0,AU79-5000*N79-VLOOKUP(A79,hr.个税累计数据!C:DT,122,0)-VLOOKUP(A79,hr.个税累计数据!C:DU,123,0),0)</f>
        <v>97200</v>
      </c>
      <c r="AW79" s="348">
        <f>VLOOKUP(BW79,hr.个税累计数据!C:DV,124,0)</f>
        <v>5533.33</v>
      </c>
      <c r="AX79" s="348"/>
      <c r="AY79" s="349">
        <f>IF(ROUND(MAX(AV79*{0.03,0.1,0.2,0.25,0.3,0.35,0.45}-{0,210,1410,2660,4410,7160,15160}*12)-AW79,2)&lt;=0,0,ROUND(MAX(AV79*{0.03,0.1,0.2,0.25,0.3,0.35,0.45}-{0,210,1410,2660,4410,7160,15160}*12)-AW79,2))</f>
        <v>1666.67</v>
      </c>
      <c r="AZ79" s="348">
        <f t="shared" si="20"/>
        <v>0</v>
      </c>
      <c r="BA79" s="348"/>
      <c r="BB79" s="348">
        <f t="shared" si="21"/>
        <v>20000</v>
      </c>
      <c r="BC79" s="353"/>
      <c r="BD79" s="349">
        <f t="shared" si="22"/>
        <v>20000</v>
      </c>
      <c r="BE79" s="356">
        <f>VLOOKUP($BW79,'HR|社保明细'!C:T,11,0)</f>
        <v>0</v>
      </c>
      <c r="BF79" s="348">
        <f>VLOOKUP($BW79,'HR|社保明细'!$C:U,12,0)</f>
        <v>0</v>
      </c>
      <c r="BG79" s="348">
        <f>VLOOKUP($BW79,'HR|社保明细'!$C:V,13,0)</f>
        <v>0</v>
      </c>
      <c r="BH79" s="348">
        <f>VLOOKUP($BW79,'HR|社保明细'!$C:W,14,0)</f>
        <v>0</v>
      </c>
      <c r="BI79" s="348">
        <f>VLOOKUP($BW79,'HR|社保明细'!$C:X,15,0)</f>
        <v>0</v>
      </c>
      <c r="BJ79" s="348">
        <f>VLOOKUP($BW79,'HR|社保明细'!$C:Y,16,0)</f>
        <v>0</v>
      </c>
      <c r="BK79" s="353">
        <f>VLOOKUP($BW79,'HR|社保明细'!$C:Z,17,0)</f>
        <v>0</v>
      </c>
      <c r="BL79" s="349">
        <f t="shared" si="23"/>
        <v>0</v>
      </c>
      <c r="BM79" s="354"/>
      <c r="BN79" s="350"/>
      <c r="BO79" s="350"/>
      <c r="BP79" s="350"/>
      <c r="BQ79" s="350"/>
      <c r="BR79" s="349">
        <f t="shared" si="35"/>
        <v>0</v>
      </c>
      <c r="BS79" s="349">
        <f t="shared" si="25"/>
        <v>0</v>
      </c>
      <c r="BT79" s="357"/>
      <c r="BU79" s="357"/>
      <c r="BV79" s="358"/>
      <c r="BW79" s="359" t="str">
        <f t="shared" si="26"/>
        <v>时代人才常虹</v>
      </c>
      <c r="BX79" s="360" t="s">
        <v>258</v>
      </c>
      <c r="BY79" s="360" t="s">
        <v>259</v>
      </c>
      <c r="BZ79" s="360"/>
      <c r="CA79" s="360" t="str">
        <f>VLOOKUP(A79,hr.个税累计数据!C:C,1,0)</f>
        <v>时代人才常虹</v>
      </c>
      <c r="CB79" s="360" t="s">
        <v>442</v>
      </c>
      <c r="CC79" s="360"/>
      <c r="CD79" s="243" t="b">
        <f t="shared" si="27"/>
        <v>1</v>
      </c>
    </row>
    <row r="80" s="243" customFormat="1" ht="23" hidden="1" customHeight="1" spans="1:82">
      <c r="A80" s="343" t="str">
        <f t="shared" ref="A80:A108" si="36">C80&amp;I80</f>
        <v>时代人才蒋孝峰</v>
      </c>
      <c r="B80" s="343" t="s">
        <v>28</v>
      </c>
      <c r="C80" s="343" t="s">
        <v>78</v>
      </c>
      <c r="D80" s="343" t="s">
        <v>252</v>
      </c>
      <c r="E80" s="344" t="s">
        <v>78</v>
      </c>
      <c r="F80" s="343" t="s">
        <v>341</v>
      </c>
      <c r="G80" s="343" t="s">
        <v>443</v>
      </c>
      <c r="H80" s="343" t="s">
        <v>440</v>
      </c>
      <c r="I80" s="343" t="s">
        <v>440</v>
      </c>
      <c r="J80" s="343" t="s">
        <v>257</v>
      </c>
      <c r="K80" s="345">
        <f t="shared" ref="K80:K108" si="37">AC80+BL80</f>
        <v>13939.02</v>
      </c>
      <c r="L80" s="346">
        <f t="shared" ref="L80:L108" si="38">AC80-AM80-AX80-AY80+SUM(AZ80:BA80)</f>
        <v>10348.71</v>
      </c>
      <c r="M80"/>
      <c r="N80" s="347">
        <v>6</v>
      </c>
      <c r="O80" s="361">
        <v>11500</v>
      </c>
      <c r="P80" s="348"/>
      <c r="Q80" s="348">
        <f>VLOOKUP(I80,考勤调整记录!I:W,15,0)</f>
        <v>0</v>
      </c>
      <c r="R80" s="348">
        <v>30</v>
      </c>
      <c r="S80" s="348">
        <v>155.8</v>
      </c>
      <c r="T80" s="348"/>
      <c r="U80" s="349">
        <f t="shared" si="33"/>
        <v>11685.8</v>
      </c>
      <c r="V80" s="350"/>
      <c r="W80" s="350"/>
      <c r="X80" s="350"/>
      <c r="Y80" s="350"/>
      <c r="Z80" s="350"/>
      <c r="AA80" s="350"/>
      <c r="AB80" s="350"/>
      <c r="AC80" s="349">
        <f t="shared" ref="AC80:AC108" si="39">SUM(O80:T80)+SUM(V80:AB80)</f>
        <v>11685.8</v>
      </c>
      <c r="AD80" s="351"/>
      <c r="AE80" s="352">
        <v>202606</v>
      </c>
      <c r="AF80" s="348">
        <f>VLOOKUP(BW80,'HR|社保明细'!C:F,4,0)</f>
        <v>7460</v>
      </c>
      <c r="AG80" s="348">
        <f>VLOOKUP($BW80,'HR|社保明细'!$C:G,5,0)</f>
        <v>4800</v>
      </c>
      <c r="AH80" s="348">
        <f>VLOOKUP($BW80,'HR|社保明细'!$C:H,6,0)</f>
        <v>596.8</v>
      </c>
      <c r="AI80" s="348">
        <f>VLOOKUP($BW80,'HR|社保明细'!$C:I,7,0)</f>
        <v>149.2</v>
      </c>
      <c r="AJ80" s="348">
        <f>VLOOKUP($BW80,'HR|社保明细'!$C:J,8,0)</f>
        <v>37.3</v>
      </c>
      <c r="AK80" s="348">
        <f>VLOOKUP($BW80,'HR|社保明细'!$C:K,9,0)</f>
        <v>336</v>
      </c>
      <c r="AL80" s="353">
        <f>VLOOKUP($BW80,'HR|社保明细'!$C:L,10,0)</f>
        <v>0</v>
      </c>
      <c r="AM80" s="349">
        <f t="shared" si="34"/>
        <v>1119.3</v>
      </c>
      <c r="AN80" s="348"/>
      <c r="AO80" s="348"/>
      <c r="AP80" s="348"/>
      <c r="AQ80" s="348"/>
      <c r="AR80" s="348"/>
      <c r="AS80" s="348">
        <f>AC80-AM80-SUM(AN80:AR80)</f>
        <v>10566.5</v>
      </c>
      <c r="AT80" s="354"/>
      <c r="AU80" s="355">
        <f>VLOOKUP(BW80,hr.个税累计数据!C:DS,121,0)</f>
        <v>70081.95</v>
      </c>
      <c r="AV80" s="348">
        <f>IF(AU80-5000*N80-VLOOKUP(A80,hr.个税累计数据!C:DT,122,0)-VLOOKUP(A80,hr.个税累计数据!C:DU,123,0)&gt;0,AU80-5000*N80-VLOOKUP(A80,hr.个税累计数据!C:DT,122,0)-VLOOKUP(A80,hr.个税累计数据!C:DU,123,0),0)</f>
        <v>12366.15</v>
      </c>
      <c r="AW80" s="348">
        <f>VLOOKUP(BW80,hr.个税累计数据!C:DV,124,0)</f>
        <v>308.99</v>
      </c>
      <c r="AX80" s="348"/>
      <c r="AY80" s="349">
        <f>IF(ROUND(MAX(AV80*{0.03,0.1,0.2,0.25,0.3,0.35,0.45}-{0,210,1410,2660,4410,7160,15160}*12)-AW80,2)&lt;=0,0,ROUND(MAX(AV80*{0.03,0.1,0.2,0.25,0.3,0.35,0.45}-{0,210,1410,2660,4410,7160,15160}*12)-AW80,2))</f>
        <v>61.99</v>
      </c>
      <c r="AZ80" s="348">
        <f t="shared" ref="AZ80:AZ108" si="40">-S80</f>
        <v>-155.8</v>
      </c>
      <c r="BA80" s="348"/>
      <c r="BB80" s="348">
        <f t="shared" ref="BB80:BB108" si="41">AC80-AM80-AY80-AX80+SUM(AZ80:BA80)</f>
        <v>10348.71</v>
      </c>
      <c r="BC80" s="353"/>
      <c r="BD80" s="349">
        <f t="shared" ref="BD80:BD108" si="42">AC80-AM80-AX80-AY80+SUM(AZ80:BA80)</f>
        <v>10348.71</v>
      </c>
      <c r="BE80" s="356">
        <f>VLOOKUP($BW80,'HR|社保明细'!C:T,11,0)</f>
        <v>1193.6</v>
      </c>
      <c r="BF80" s="348">
        <f>VLOOKUP($BW80,'HR|社保明细'!$C:U,12,0)</f>
        <v>596.8</v>
      </c>
      <c r="BG80" s="348">
        <f>VLOOKUP($BW80,'HR|社保明细'!$C:V,13,0)</f>
        <v>37.3</v>
      </c>
      <c r="BH80" s="348">
        <f>VLOOKUP($BW80,'HR|社保明细'!$C:W,14,0)</f>
        <v>14.92</v>
      </c>
      <c r="BI80" s="348">
        <f>VLOOKUP($BW80,'HR|社保明细'!$C:X,15,0)</f>
        <v>74.6</v>
      </c>
      <c r="BJ80" s="348">
        <f>VLOOKUP($BW80,'HR|社保明细'!$C:Y,16,0)</f>
        <v>336</v>
      </c>
      <c r="BK80" s="353">
        <f>VLOOKUP($BW80,'HR|社保明细'!$C:Z,17,0)</f>
        <v>0</v>
      </c>
      <c r="BL80" s="349">
        <f t="shared" ref="BL80:BL108" si="43">SUM(BE80:BK80)</f>
        <v>2253.22</v>
      </c>
      <c r="BM80" s="354"/>
      <c r="BN80" s="350"/>
      <c r="BO80" s="350"/>
      <c r="BP80" s="350"/>
      <c r="BQ80" s="350"/>
      <c r="BR80" s="349">
        <f t="shared" si="35"/>
        <v>0</v>
      </c>
      <c r="BS80" s="349">
        <f t="shared" ref="BS80:BS108" si="44">SUM(V80:AB80)</f>
        <v>0</v>
      </c>
      <c r="BT80" s="357">
        <v>1250</v>
      </c>
      <c r="BU80" s="357"/>
      <c r="BV80" s="358"/>
      <c r="BW80" s="359" t="str">
        <f t="shared" ref="BW80:BW108" si="45">C80&amp;I80</f>
        <v>时代人才蒋孝峰</v>
      </c>
      <c r="BX80" s="360"/>
      <c r="BY80" s="360" t="s">
        <v>273</v>
      </c>
      <c r="BZ80" s="360"/>
      <c r="CA80" s="360" t="str">
        <f>VLOOKUP(A80,hr.个税累计数据!C:C,1,0)</f>
        <v>时代人才蒋孝峰</v>
      </c>
      <c r="CB80" s="360" t="s">
        <v>444</v>
      </c>
      <c r="CC80" s="360" t="s">
        <v>273</v>
      </c>
      <c r="CD80" s="243" t="b">
        <f t="shared" ref="CD80:CD108" si="46">H80=I80</f>
        <v>1</v>
      </c>
    </row>
    <row r="81" s="243" customFormat="1" ht="23" hidden="1" customHeight="1" spans="1:82">
      <c r="A81" s="343" t="str">
        <f t="shared" si="36"/>
        <v>天津英才陈一卓</v>
      </c>
      <c r="B81" s="343" t="s">
        <v>34</v>
      </c>
      <c r="C81" s="343" t="s">
        <v>67</v>
      </c>
      <c r="D81" s="343" t="s">
        <v>252</v>
      </c>
      <c r="E81" s="344" t="s">
        <v>445</v>
      </c>
      <c r="F81" s="343" t="s">
        <v>446</v>
      </c>
      <c r="G81" s="343" t="s">
        <v>255</v>
      </c>
      <c r="H81" s="343" t="s">
        <v>447</v>
      </c>
      <c r="I81" s="343" t="s">
        <v>447</v>
      </c>
      <c r="J81" s="343" t="s">
        <v>257</v>
      </c>
      <c r="K81" s="345">
        <f t="shared" si="37"/>
        <v>14812.23</v>
      </c>
      <c r="L81" s="346">
        <f t="shared" si="38"/>
        <v>10868.12</v>
      </c>
      <c r="M81"/>
      <c r="N81" s="347">
        <v>6</v>
      </c>
      <c r="O81" s="361">
        <f>5500+2500</f>
        <v>8000</v>
      </c>
      <c r="P81" s="348"/>
      <c r="Q81" s="348">
        <f>VLOOKUP(I81,考勤调整记录!I:W,15,0)</f>
        <v>0</v>
      </c>
      <c r="R81" s="348"/>
      <c r="S81" s="348">
        <v>155.8</v>
      </c>
      <c r="T81" s="348">
        <v>4352</v>
      </c>
      <c r="U81" s="349">
        <f t="shared" si="33"/>
        <v>12507.8</v>
      </c>
      <c r="V81" s="350"/>
      <c r="W81" s="350"/>
      <c r="X81" s="350"/>
      <c r="Y81" s="350">
        <v>250.7</v>
      </c>
      <c r="Z81" s="350"/>
      <c r="AA81" s="350"/>
      <c r="AB81" s="350"/>
      <c r="AC81" s="349">
        <f t="shared" si="39"/>
        <v>12758.5</v>
      </c>
      <c r="AD81" s="351"/>
      <c r="AE81" s="352">
        <v>202606</v>
      </c>
      <c r="AF81" s="348">
        <f>VLOOKUP(BW81,'HR|社保明细'!C:F,4,0)</f>
        <v>5124</v>
      </c>
      <c r="AG81" s="348">
        <f>VLOOKUP($BW81,'HR|社保明细'!$C:G,5,0)</f>
        <v>6000</v>
      </c>
      <c r="AH81" s="348">
        <f>VLOOKUP($BW81,'HR|社保明细'!$C:H,6,0)</f>
        <v>409.92</v>
      </c>
      <c r="AI81" s="348">
        <f>VLOOKUP($BW81,'HR|社保明细'!$C:I,7,0)</f>
        <v>124.48</v>
      </c>
      <c r="AJ81" s="348">
        <f>VLOOKUP($BW81,'HR|社保明细'!$C:J,8,0)</f>
        <v>25.62</v>
      </c>
      <c r="AK81" s="348">
        <f>VLOOKUP($BW81,'HR|社保明细'!$C:K,9,0)</f>
        <v>660</v>
      </c>
      <c r="AL81" s="353">
        <f>VLOOKUP($BW81,'HR|社保明细'!$C:L,10,0)</f>
        <v>0</v>
      </c>
      <c r="AM81" s="349">
        <f t="shared" si="34"/>
        <v>1220.02</v>
      </c>
      <c r="AN81" s="348"/>
      <c r="AO81" s="348"/>
      <c r="AP81" s="348"/>
      <c r="AQ81" s="348"/>
      <c r="AR81" s="348"/>
      <c r="AS81" s="348">
        <f>AC81-AM81-SUM(AN81:AR81)</f>
        <v>11538.48</v>
      </c>
      <c r="AT81" s="354"/>
      <c r="AU81" s="355">
        <f>VLOOKUP(BW81,hr.个税累计数据!C:DS,121,0)</f>
        <v>77768.05</v>
      </c>
      <c r="AV81" s="348">
        <f>IF(AU81-5000*N81-VLOOKUP(A81,hr.个税累计数据!C:DT,122,0)-VLOOKUP(A81,hr.个税累计数据!C:DU,123,0)&gt;0,AU81-5000*N81-VLOOKUP(A81,hr.个税累计数据!C:DT,122,0)-VLOOKUP(A81,hr.个税累计数据!C:DU,123,0),0)</f>
        <v>40548.58</v>
      </c>
      <c r="AW81" s="348">
        <f>VLOOKUP(BW81,hr.个税累计数据!C:DV,124,0)</f>
        <v>1020.3</v>
      </c>
      <c r="AX81" s="348"/>
      <c r="AY81" s="349">
        <f>IF(ROUND(MAX(AV81*{0.03,0.1,0.2,0.25,0.3,0.35,0.45}-{0,210,1410,2660,4410,7160,15160}*12)-AW81,2)&lt;=0,0,ROUND(MAX(AV81*{0.03,0.1,0.2,0.25,0.3,0.35,0.45}-{0,210,1410,2660,4410,7160,15160}*12)-AW81,2))</f>
        <v>514.56</v>
      </c>
      <c r="AZ81" s="348">
        <f t="shared" si="40"/>
        <v>-155.8</v>
      </c>
      <c r="BA81" s="348"/>
      <c r="BB81" s="348">
        <f t="shared" si="41"/>
        <v>10868.12</v>
      </c>
      <c r="BC81" s="353"/>
      <c r="BD81" s="349">
        <f t="shared" si="42"/>
        <v>10868.12</v>
      </c>
      <c r="BE81" s="356">
        <f>VLOOKUP($BW81,'HR|社保明细'!C:T,11,0)</f>
        <v>819.84</v>
      </c>
      <c r="BF81" s="348">
        <f>VLOOKUP($BW81,'HR|社保明细'!$C:U,12,0)</f>
        <v>512.4</v>
      </c>
      <c r="BG81" s="348">
        <f>VLOOKUP($BW81,'HR|社保明细'!$C:V,13,0)</f>
        <v>25.62</v>
      </c>
      <c r="BH81" s="348">
        <f>VLOOKUP($BW81,'HR|社保明细'!$C:W,14,0)</f>
        <v>10.25</v>
      </c>
      <c r="BI81" s="348">
        <f>VLOOKUP($BW81,'HR|社保明细'!$C:X,15,0)</f>
        <v>25.62</v>
      </c>
      <c r="BJ81" s="348">
        <f>VLOOKUP($BW81,'HR|社保明细'!$C:Y,16,0)</f>
        <v>660</v>
      </c>
      <c r="BK81" s="353">
        <f>VLOOKUP($BW81,'HR|社保明细'!$C:Z,17,0)</f>
        <v>0</v>
      </c>
      <c r="BL81" s="349">
        <f t="shared" si="43"/>
        <v>2053.73</v>
      </c>
      <c r="BM81" s="354"/>
      <c r="BN81" s="350"/>
      <c r="BO81" s="350"/>
      <c r="BP81" s="350"/>
      <c r="BQ81" s="350"/>
      <c r="BR81" s="349">
        <f t="shared" si="35"/>
        <v>0</v>
      </c>
      <c r="BS81" s="349">
        <f t="shared" si="44"/>
        <v>250.7</v>
      </c>
      <c r="BT81" s="357">
        <v>600</v>
      </c>
      <c r="BU81" s="357"/>
      <c r="BV81" s="358"/>
      <c r="BW81" s="359" t="str">
        <f t="shared" si="45"/>
        <v>天津英才陈一卓</v>
      </c>
      <c r="BX81" s="360"/>
      <c r="BY81" s="360" t="s">
        <v>273</v>
      </c>
      <c r="BZ81" s="360" t="s">
        <v>274</v>
      </c>
      <c r="CA81" s="360" t="str">
        <f>VLOOKUP(A81,hr.个税累计数据!C:C,1,0)</f>
        <v>天津英才陈一卓</v>
      </c>
      <c r="CB81" s="360" t="s">
        <v>448</v>
      </c>
      <c r="CC81" s="360" t="s">
        <v>273</v>
      </c>
      <c r="CD81" s="243" t="b">
        <f t="shared" si="46"/>
        <v>1</v>
      </c>
    </row>
    <row r="82" s="243" customFormat="1" ht="23" hidden="1" customHeight="1" spans="1:82">
      <c r="A82" s="343" t="str">
        <f t="shared" si="36"/>
        <v>天津英才郭双红</v>
      </c>
      <c r="B82" s="343" t="s">
        <v>34</v>
      </c>
      <c r="C82" s="343" t="s">
        <v>67</v>
      </c>
      <c r="D82" s="343" t="s">
        <v>252</v>
      </c>
      <c r="E82" s="344" t="s">
        <v>445</v>
      </c>
      <c r="F82" s="343" t="s">
        <v>121</v>
      </c>
      <c r="G82" s="343" t="s">
        <v>337</v>
      </c>
      <c r="H82" s="343" t="s">
        <v>446</v>
      </c>
      <c r="I82" s="343" t="s">
        <v>446</v>
      </c>
      <c r="J82" s="343" t="s">
        <v>257</v>
      </c>
      <c r="K82" s="345">
        <f t="shared" si="37"/>
        <v>10706.5</v>
      </c>
      <c r="L82" s="346">
        <f t="shared" si="38"/>
        <v>10379.5</v>
      </c>
      <c r="M82"/>
      <c r="N82" s="347">
        <v>6</v>
      </c>
      <c r="O82" s="361">
        <v>10000</v>
      </c>
      <c r="P82" s="348"/>
      <c r="Q82" s="348">
        <f>VLOOKUP(I82,考勤调整记录!I:W,15,0)</f>
        <v>0</v>
      </c>
      <c r="R82" s="348"/>
      <c r="S82" s="348">
        <v>155.8</v>
      </c>
      <c r="T82" s="348">
        <v>300</v>
      </c>
      <c r="U82" s="349">
        <f t="shared" si="33"/>
        <v>10455.8</v>
      </c>
      <c r="V82" s="350"/>
      <c r="W82" s="350"/>
      <c r="X82" s="350"/>
      <c r="Y82" s="350">
        <v>250.7</v>
      </c>
      <c r="Z82" s="350"/>
      <c r="AA82" s="350"/>
      <c r="AB82" s="350"/>
      <c r="AC82" s="349">
        <f t="shared" si="39"/>
        <v>10706.5</v>
      </c>
      <c r="AD82" s="351"/>
      <c r="AE82" s="352">
        <v>202606</v>
      </c>
      <c r="AF82" s="348">
        <f>VLOOKUP(BW82,'HR|社保明细'!C:F,4,0)</f>
        <v>0</v>
      </c>
      <c r="AG82" s="348">
        <f>VLOOKUP($BW82,'HR|社保明细'!$C:G,5,0)</f>
        <v>0</v>
      </c>
      <c r="AH82" s="348">
        <f>VLOOKUP($BW82,'HR|社保明细'!$C:H,6,0)</f>
        <v>0</v>
      </c>
      <c r="AI82" s="348">
        <f>VLOOKUP($BW82,'HR|社保明细'!$C:I,7,0)</f>
        <v>0</v>
      </c>
      <c r="AJ82" s="348">
        <f>VLOOKUP($BW82,'HR|社保明细'!$C:J,8,0)</f>
        <v>0</v>
      </c>
      <c r="AK82" s="348">
        <f>VLOOKUP($BW82,'HR|社保明细'!$C:K,9,0)</f>
        <v>0</v>
      </c>
      <c r="AL82" s="353">
        <f>VLOOKUP($BW82,'HR|社保明细'!$C:L,10,0)</f>
        <v>0</v>
      </c>
      <c r="AM82" s="349">
        <f t="shared" si="34"/>
        <v>0</v>
      </c>
      <c r="AN82" s="348"/>
      <c r="AO82" s="348"/>
      <c r="AP82" s="348"/>
      <c r="AQ82" s="348"/>
      <c r="AR82" s="348"/>
      <c r="AS82" s="348">
        <f>AC82-AM82-SUM(AN82:AR82)</f>
        <v>10706.5</v>
      </c>
      <c r="AT82" s="354"/>
      <c r="AU82" s="355">
        <f>VLOOKUP(BW82,hr.个税累计数据!C:DS,121,0)</f>
        <v>65802.65</v>
      </c>
      <c r="AV82" s="348">
        <f>IF(AU82-5000*N82-VLOOKUP(A82,hr.个税累计数据!C:DT,122,0)-VLOOKUP(A82,hr.个税累计数据!C:DU,123,0)&gt;0,AU82-5000*N82-VLOOKUP(A82,hr.个税累计数据!C:DT,122,0)-VLOOKUP(A82,hr.个税累计数据!C:DU,123,0),0)</f>
        <v>35802.65</v>
      </c>
      <c r="AW82" s="348">
        <f>VLOOKUP(BW82,hr.个税累计数据!C:DV,124,0)</f>
        <v>902.88</v>
      </c>
      <c r="AX82" s="348"/>
      <c r="AY82" s="349">
        <f>IF(ROUND(MAX(AV82*{0.03,0.1,0.2,0.25,0.3,0.35,0.45}-{0,210,1410,2660,4410,7160,15160}*12)-AW82,2)&lt;=0,0,ROUND(MAX(AV82*{0.03,0.1,0.2,0.25,0.3,0.35,0.45}-{0,210,1410,2660,4410,7160,15160}*12)-AW82,2))</f>
        <v>171.2</v>
      </c>
      <c r="AZ82" s="348">
        <f t="shared" si="40"/>
        <v>-155.8</v>
      </c>
      <c r="BA82" s="348"/>
      <c r="BB82" s="348">
        <f t="shared" si="41"/>
        <v>10379.5</v>
      </c>
      <c r="BC82" s="353"/>
      <c r="BD82" s="349">
        <f t="shared" si="42"/>
        <v>10379.5</v>
      </c>
      <c r="BE82" s="356">
        <f>VLOOKUP($BW82,'HR|社保明细'!C:T,11,0)</f>
        <v>0</v>
      </c>
      <c r="BF82" s="348">
        <f>VLOOKUP($BW82,'HR|社保明细'!$C:U,12,0)</f>
        <v>0</v>
      </c>
      <c r="BG82" s="348">
        <f>VLOOKUP($BW82,'HR|社保明细'!$C:V,13,0)</f>
        <v>0</v>
      </c>
      <c r="BH82" s="348">
        <f>VLOOKUP($BW82,'HR|社保明细'!$C:W,14,0)</f>
        <v>0</v>
      </c>
      <c r="BI82" s="348">
        <f>VLOOKUP($BW82,'HR|社保明细'!$C:X,15,0)</f>
        <v>0</v>
      </c>
      <c r="BJ82" s="348">
        <f>VLOOKUP($BW82,'HR|社保明细'!$C:Y,16,0)</f>
        <v>0</v>
      </c>
      <c r="BK82" s="353">
        <f>VLOOKUP($BW82,'HR|社保明细'!$C:Z,17,0)</f>
        <v>0</v>
      </c>
      <c r="BL82" s="349">
        <f t="shared" si="43"/>
        <v>0</v>
      </c>
      <c r="BM82" s="354"/>
      <c r="BN82" s="350"/>
      <c r="BO82" s="350"/>
      <c r="BP82" s="350"/>
      <c r="BQ82" s="350"/>
      <c r="BR82" s="349">
        <f t="shared" si="35"/>
        <v>0</v>
      </c>
      <c r="BS82" s="349">
        <f t="shared" si="44"/>
        <v>250.7</v>
      </c>
      <c r="BT82" s="357">
        <v>600</v>
      </c>
      <c r="BU82" s="357"/>
      <c r="BV82" s="358"/>
      <c r="BW82" s="359" t="str">
        <f t="shared" si="45"/>
        <v>天津英才郭双红</v>
      </c>
      <c r="BX82" s="360" t="s">
        <v>258</v>
      </c>
      <c r="BY82" s="360" t="s">
        <v>273</v>
      </c>
      <c r="BZ82" s="360" t="s">
        <v>274</v>
      </c>
      <c r="CA82" s="360" t="str">
        <f>VLOOKUP(A82,hr.个税累计数据!C:C,1,0)</f>
        <v>天津英才郭双红</v>
      </c>
      <c r="CB82" s="360" t="s">
        <v>449</v>
      </c>
      <c r="CC82" s="360" t="s">
        <v>273</v>
      </c>
      <c r="CD82" s="243" t="b">
        <f t="shared" si="46"/>
        <v>1</v>
      </c>
    </row>
    <row r="83" s="243" customFormat="1" ht="23" customHeight="1" spans="1:82">
      <c r="A83" s="343" t="str">
        <f t="shared" si="36"/>
        <v>天津英才王倩</v>
      </c>
      <c r="B83" s="343" t="s">
        <v>31</v>
      </c>
      <c r="C83" s="343" t="s">
        <v>67</v>
      </c>
      <c r="D83" s="343" t="s">
        <v>267</v>
      </c>
      <c r="E83" s="344" t="s">
        <v>268</v>
      </c>
      <c r="F83" s="343" t="s">
        <v>134</v>
      </c>
      <c r="G83" s="343" t="s">
        <v>269</v>
      </c>
      <c r="H83" s="343" t="s">
        <v>270</v>
      </c>
      <c r="I83" s="343" t="s">
        <v>270</v>
      </c>
      <c r="J83" s="343" t="s">
        <v>271</v>
      </c>
      <c r="K83" s="345">
        <f t="shared" si="37"/>
        <v>1000</v>
      </c>
      <c r="L83" s="346">
        <f t="shared" si="38"/>
        <v>960</v>
      </c>
      <c r="M83"/>
      <c r="N83" s="347">
        <v>6</v>
      </c>
      <c r="O83" s="361">
        <v>1000</v>
      </c>
      <c r="P83" s="348"/>
      <c r="Q83" s="348"/>
      <c r="R83" s="348"/>
      <c r="S83" s="348"/>
      <c r="T83" s="348"/>
      <c r="U83" s="349">
        <f t="shared" si="33"/>
        <v>1000</v>
      </c>
      <c r="V83" s="350"/>
      <c r="W83" s="350"/>
      <c r="X83" s="350"/>
      <c r="Y83" s="350"/>
      <c r="Z83" s="350"/>
      <c r="AA83" s="350"/>
      <c r="AB83" s="350"/>
      <c r="AC83" s="349">
        <f t="shared" si="39"/>
        <v>1000</v>
      </c>
      <c r="AD83" s="351"/>
      <c r="AE83" s="352">
        <v>202606</v>
      </c>
      <c r="AF83" s="348">
        <f>VLOOKUP(BW83,'HR|社保明细'!C:F,4,0)</f>
        <v>0</v>
      </c>
      <c r="AG83" s="348">
        <f>VLOOKUP($BW83,'HR|社保明细'!$C:G,5,0)</f>
        <v>0</v>
      </c>
      <c r="AH83" s="348">
        <f>VLOOKUP($BW83,'HR|社保明细'!$C:H,6,0)</f>
        <v>0</v>
      </c>
      <c r="AI83" s="348">
        <f>VLOOKUP($BW83,'HR|社保明细'!$C:I,7,0)</f>
        <v>0</v>
      </c>
      <c r="AJ83" s="348">
        <f>VLOOKUP($BW83,'HR|社保明细'!$C:J,8,0)</f>
        <v>0</v>
      </c>
      <c r="AK83" s="348">
        <f>VLOOKUP($BW83,'HR|社保明细'!$C:K,9,0)</f>
        <v>0</v>
      </c>
      <c r="AL83" s="353">
        <f>VLOOKUP($BW83,'HR|社保明细'!$C:L,10,0)</f>
        <v>0</v>
      </c>
      <c r="AM83" s="349">
        <f t="shared" si="34"/>
        <v>0</v>
      </c>
      <c r="AN83" s="348"/>
      <c r="AO83" s="348"/>
      <c r="AP83" s="348"/>
      <c r="AQ83" s="348"/>
      <c r="AR83" s="348"/>
      <c r="AS83" s="348">
        <v>1000</v>
      </c>
      <c r="AT83" s="354"/>
      <c r="AU83" s="355">
        <f>VLOOKUP(BW83,hr.个税累计数据!C:DS,121,0)</f>
        <v>6000</v>
      </c>
      <c r="AV83" s="348">
        <f>IF(AU83-5000*N83-VLOOKUP(A83,hr.个税累计数据!C:DT,122,0)-VLOOKUP(A83,hr.个税累计数据!C:DU,123,0)&gt;0,AU83-5000*N83-VLOOKUP(A83,hr.个税累计数据!C:DT,122,0)-VLOOKUP(A83,hr.个税累计数据!C:DU,123,0),0)</f>
        <v>0</v>
      </c>
      <c r="AW83" s="348">
        <f>VLOOKUP(BW83,hr.个税累计数据!C:DV,124,0)</f>
        <v>200</v>
      </c>
      <c r="AX83" s="348"/>
      <c r="AY83" s="349">
        <f>IF(D83="国内不计税",0,IF(D83="正常计税",ROUND(MAX(AS83*{0.03,0.1,0.2,0.25,0.3,0.35,0.45}-{0,210,1410,2660,4410,7160,15160},0),2),IF(D83="外籍人",ROUND(MAX(AS83*{0.03,0.1,0.2,0.25,0.3,0.35,0.45}-{0,210,1410,2660,4410,7160,15160},0),2),ROUND(MAX((AS83-IF(AS83&lt;4000,800,AS83*0.2))*10%*{2,3,4}-1000*{0,2,7},0),2))))</f>
        <v>40</v>
      </c>
      <c r="AZ83" s="348">
        <f t="shared" si="40"/>
        <v>0</v>
      </c>
      <c r="BA83" s="348"/>
      <c r="BB83" s="348">
        <f t="shared" si="41"/>
        <v>960</v>
      </c>
      <c r="BC83" s="353"/>
      <c r="BD83" s="349">
        <f t="shared" si="42"/>
        <v>960</v>
      </c>
      <c r="BE83" s="356">
        <f>VLOOKUP($BW83,'HR|社保明细'!C:T,11,0)</f>
        <v>0</v>
      </c>
      <c r="BF83" s="348">
        <f>VLOOKUP($BW83,'HR|社保明细'!$C:U,12,0)</f>
        <v>0</v>
      </c>
      <c r="BG83" s="348">
        <f>VLOOKUP($BW83,'HR|社保明细'!$C:V,13,0)</f>
        <v>0</v>
      </c>
      <c r="BH83" s="348">
        <f>VLOOKUP($BW83,'HR|社保明细'!$C:W,14,0)</f>
        <v>0</v>
      </c>
      <c r="BI83" s="348">
        <f>VLOOKUP($BW83,'HR|社保明细'!$C:X,15,0)</f>
        <v>0</v>
      </c>
      <c r="BJ83" s="348">
        <f>VLOOKUP($BW83,'HR|社保明细'!$C:Y,16,0)</f>
        <v>0</v>
      </c>
      <c r="BK83" s="353">
        <f>VLOOKUP($BW83,'HR|社保明细'!$C:Z,17,0)</f>
        <v>0</v>
      </c>
      <c r="BL83" s="349">
        <f t="shared" si="43"/>
        <v>0</v>
      </c>
      <c r="BM83" s="354"/>
      <c r="BN83" s="350"/>
      <c r="BO83" s="350"/>
      <c r="BP83" s="350"/>
      <c r="BQ83" s="350"/>
      <c r="BR83" s="349">
        <f t="shared" si="35"/>
        <v>0</v>
      </c>
      <c r="BS83" s="349">
        <f t="shared" si="44"/>
        <v>0</v>
      </c>
      <c r="BT83" s="357"/>
      <c r="BU83" s="357"/>
      <c r="BV83" s="358"/>
      <c r="BW83" s="359" t="str">
        <f t="shared" si="45"/>
        <v>天津英才王倩</v>
      </c>
      <c r="BX83" s="360" t="s">
        <v>258</v>
      </c>
      <c r="BY83" s="360" t="s">
        <v>259</v>
      </c>
      <c r="BZ83" s="360"/>
      <c r="CA83" s="360" t="str">
        <f>VLOOKUP(A83,hr.个税累计数据!C:C,1,0)</f>
        <v>天津英才王倩</v>
      </c>
      <c r="CB83" s="360" t="s">
        <v>450</v>
      </c>
      <c r="CC83" s="360"/>
      <c r="CD83" s="243" t="b">
        <f t="shared" si="46"/>
        <v>1</v>
      </c>
    </row>
    <row r="84" s="243" customFormat="1" ht="23" hidden="1" customHeight="1" spans="1:82">
      <c r="A84" s="343" t="str">
        <f t="shared" si="36"/>
        <v>天津英才吴靖娴</v>
      </c>
      <c r="B84" s="343" t="s">
        <v>34</v>
      </c>
      <c r="C84" s="343" t="s">
        <v>67</v>
      </c>
      <c r="D84" s="343" t="s">
        <v>252</v>
      </c>
      <c r="E84" s="344" t="s">
        <v>445</v>
      </c>
      <c r="F84" s="343" t="s">
        <v>446</v>
      </c>
      <c r="G84" s="343" t="s">
        <v>255</v>
      </c>
      <c r="H84" s="343" t="s">
        <v>451</v>
      </c>
      <c r="I84" s="343" t="s">
        <v>451</v>
      </c>
      <c r="J84" s="343" t="s">
        <v>257</v>
      </c>
      <c r="K84" s="345">
        <f t="shared" si="37"/>
        <v>7351.23</v>
      </c>
      <c r="L84" s="346">
        <f t="shared" si="38"/>
        <v>4139.68</v>
      </c>
      <c r="M84"/>
      <c r="N84" s="347">
        <v>6</v>
      </c>
      <c r="O84" s="361">
        <v>5000</v>
      </c>
      <c r="P84" s="348"/>
      <c r="Q84" s="348">
        <f>VLOOKUP(I84,考勤调整记录!I:W,15,0)</f>
        <v>0</v>
      </c>
      <c r="R84" s="348"/>
      <c r="S84" s="348">
        <v>155.8</v>
      </c>
      <c r="T84" s="348"/>
      <c r="U84" s="349">
        <f t="shared" si="33"/>
        <v>5155.8</v>
      </c>
      <c r="V84" s="350"/>
      <c r="W84" s="350"/>
      <c r="X84" s="350"/>
      <c r="Y84" s="350">
        <v>250.7</v>
      </c>
      <c r="Z84" s="350"/>
      <c r="AA84" s="350"/>
      <c r="AB84" s="350"/>
      <c r="AC84" s="349">
        <f t="shared" si="39"/>
        <v>5406.5</v>
      </c>
      <c r="AD84" s="351"/>
      <c r="AE84" s="352">
        <v>202606</v>
      </c>
      <c r="AF84" s="348">
        <f>VLOOKUP(BW84,'HR|社保明细'!C:F,4,0)</f>
        <v>5124</v>
      </c>
      <c r="AG84" s="348">
        <f>VLOOKUP($BW84,'HR|社保明细'!$C:G,5,0)</f>
        <v>5013</v>
      </c>
      <c r="AH84" s="348">
        <f>VLOOKUP($BW84,'HR|社保明细'!$C:H,6,0)</f>
        <v>409.92</v>
      </c>
      <c r="AI84" s="348">
        <f>VLOOKUP($BW84,'HR|社保明细'!$C:I,7,0)</f>
        <v>124.48</v>
      </c>
      <c r="AJ84" s="348">
        <f>VLOOKUP($BW84,'HR|社保明细'!$C:J,8,0)</f>
        <v>25.62</v>
      </c>
      <c r="AK84" s="348">
        <f>VLOOKUP($BW84,'HR|社保明细'!$C:K,9,0)</f>
        <v>551</v>
      </c>
      <c r="AL84" s="353">
        <f>VLOOKUP($BW84,'HR|社保明细'!$C:L,10,0)</f>
        <v>0</v>
      </c>
      <c r="AM84" s="349">
        <f t="shared" si="34"/>
        <v>1111.02</v>
      </c>
      <c r="AN84" s="348"/>
      <c r="AO84" s="348"/>
      <c r="AP84" s="348"/>
      <c r="AQ84" s="348"/>
      <c r="AR84" s="348"/>
      <c r="AS84" s="348">
        <f>AC84-AM84-SUM(AN84:AR84)</f>
        <v>4295.48</v>
      </c>
      <c r="AT84" s="354"/>
      <c r="AU84" s="355">
        <f>VLOOKUP(BW84,hr.个税累计数据!C:DS,121,0)</f>
        <v>30741.65</v>
      </c>
      <c r="AV84" s="348">
        <f>IF(AU84-5000*N84-VLOOKUP(A84,hr.个税累计数据!C:DT,122,0)-VLOOKUP(A84,hr.个税累计数据!C:DU,123,0)&gt;0,AU84-5000*N84-VLOOKUP(A84,hr.个税累计数据!C:DT,122,0)-VLOOKUP(A84,hr.个税累计数据!C:DU,123,0),0)</f>
        <v>0</v>
      </c>
      <c r="AW84" s="348">
        <f>VLOOKUP(BW84,hr.个税累计数据!C:DV,124,0)</f>
        <v>0</v>
      </c>
      <c r="AX84" s="348"/>
      <c r="AY84" s="349">
        <f>IF(ROUND(MAX(AV84*{0.03,0.1,0.2,0.25,0.3,0.35,0.45}-{0,210,1410,2660,4410,7160,15160}*12)-AW84,2)&lt;=0,0,ROUND(MAX(AV84*{0.03,0.1,0.2,0.25,0.3,0.35,0.45}-{0,210,1410,2660,4410,7160,15160}*12)-AW84,2))</f>
        <v>0</v>
      </c>
      <c r="AZ84" s="348">
        <f t="shared" si="40"/>
        <v>-155.8</v>
      </c>
      <c r="BA84" s="348"/>
      <c r="BB84" s="348">
        <f t="shared" si="41"/>
        <v>4139.68</v>
      </c>
      <c r="BC84" s="353"/>
      <c r="BD84" s="349">
        <f t="shared" si="42"/>
        <v>4139.68</v>
      </c>
      <c r="BE84" s="356">
        <f>VLOOKUP($BW84,'HR|社保明细'!C:T,11,0)</f>
        <v>819.84</v>
      </c>
      <c r="BF84" s="348">
        <f>VLOOKUP($BW84,'HR|社保明细'!$C:U,12,0)</f>
        <v>512.4</v>
      </c>
      <c r="BG84" s="348">
        <f>VLOOKUP($BW84,'HR|社保明细'!$C:V,13,0)</f>
        <v>25.62</v>
      </c>
      <c r="BH84" s="348">
        <f>VLOOKUP($BW84,'HR|社保明细'!$C:W,14,0)</f>
        <v>10.25</v>
      </c>
      <c r="BI84" s="348">
        <f>VLOOKUP($BW84,'HR|社保明细'!$C:X,15,0)</f>
        <v>25.62</v>
      </c>
      <c r="BJ84" s="348">
        <f>VLOOKUP($BW84,'HR|社保明细'!$C:Y,16,0)</f>
        <v>551</v>
      </c>
      <c r="BK84" s="353">
        <f>VLOOKUP($BW84,'HR|社保明细'!$C:Z,17,0)</f>
        <v>0</v>
      </c>
      <c r="BL84" s="349">
        <f t="shared" si="43"/>
        <v>1944.73</v>
      </c>
      <c r="BM84" s="354"/>
      <c r="BN84" s="350"/>
      <c r="BO84" s="350"/>
      <c r="BP84" s="350"/>
      <c r="BQ84" s="350"/>
      <c r="BR84" s="349">
        <f t="shared" si="35"/>
        <v>0</v>
      </c>
      <c r="BS84" s="349">
        <f t="shared" si="44"/>
        <v>250.7</v>
      </c>
      <c r="BT84" s="357">
        <v>600</v>
      </c>
      <c r="BU84" s="357"/>
      <c r="BV84" s="358"/>
      <c r="BW84" s="359" t="str">
        <f t="shared" si="45"/>
        <v>天津英才吴靖娴</v>
      </c>
      <c r="BX84" s="360"/>
      <c r="BY84" s="360" t="s">
        <v>273</v>
      </c>
      <c r="BZ84" s="360" t="s">
        <v>274</v>
      </c>
      <c r="CA84" s="360" t="str">
        <f>VLOOKUP(A84,hr.个税累计数据!C:C,1,0)</f>
        <v>天津英才吴靖娴</v>
      </c>
      <c r="CB84" s="360" t="s">
        <v>452</v>
      </c>
      <c r="CC84" s="360" t="s">
        <v>273</v>
      </c>
      <c r="CD84" s="243" t="b">
        <f t="shared" si="46"/>
        <v>1</v>
      </c>
    </row>
    <row r="85" s="243" customFormat="1" ht="23" hidden="1" customHeight="1" spans="1:82">
      <c r="A85" s="343" t="str">
        <f t="shared" si="36"/>
        <v>天津英才周梓荣</v>
      </c>
      <c r="B85" s="343" t="s">
        <v>34</v>
      </c>
      <c r="C85" s="343" t="s">
        <v>67</v>
      </c>
      <c r="D85" s="343" t="s">
        <v>252</v>
      </c>
      <c r="E85" s="344" t="s">
        <v>445</v>
      </c>
      <c r="F85" s="343" t="s">
        <v>446</v>
      </c>
      <c r="G85" s="343" t="s">
        <v>255</v>
      </c>
      <c r="H85" s="343" t="s">
        <v>453</v>
      </c>
      <c r="I85" s="343" t="s">
        <v>453</v>
      </c>
      <c r="J85" s="343" t="s">
        <v>257</v>
      </c>
      <c r="K85" s="345">
        <f t="shared" si="37"/>
        <v>8351.23</v>
      </c>
      <c r="L85" s="346">
        <f t="shared" si="38"/>
        <v>5138.25</v>
      </c>
      <c r="M85"/>
      <c r="N85" s="347">
        <v>6</v>
      </c>
      <c r="O85" s="361">
        <v>6000</v>
      </c>
      <c r="P85" s="348"/>
      <c r="Q85" s="348">
        <f>VLOOKUP(I85,考勤调整记录!I:W,15,0)</f>
        <v>0</v>
      </c>
      <c r="R85" s="348"/>
      <c r="S85" s="348">
        <v>155.8</v>
      </c>
      <c r="T85" s="348"/>
      <c r="U85" s="349">
        <f t="shared" si="33"/>
        <v>6155.8</v>
      </c>
      <c r="V85" s="350"/>
      <c r="W85" s="350"/>
      <c r="X85" s="350"/>
      <c r="Y85" s="350">
        <v>250.7</v>
      </c>
      <c r="Z85" s="350"/>
      <c r="AA85" s="350"/>
      <c r="AB85" s="350"/>
      <c r="AC85" s="349">
        <f t="shared" si="39"/>
        <v>6406.5</v>
      </c>
      <c r="AD85" s="351"/>
      <c r="AE85" s="352">
        <v>202606</v>
      </c>
      <c r="AF85" s="348">
        <f>VLOOKUP(BW85,'HR|社保明细'!C:F,4,0)</f>
        <v>5124</v>
      </c>
      <c r="AG85" s="348">
        <f>VLOOKUP($BW85,'HR|社保明细'!$C:G,5,0)</f>
        <v>5013</v>
      </c>
      <c r="AH85" s="348">
        <f>VLOOKUP($BW85,'HR|社保明细'!$C:H,6,0)</f>
        <v>409.92</v>
      </c>
      <c r="AI85" s="348">
        <f>VLOOKUP($BW85,'HR|社保明细'!$C:I,7,0)</f>
        <v>124.48</v>
      </c>
      <c r="AJ85" s="348">
        <f>VLOOKUP($BW85,'HR|社保明细'!$C:J,8,0)</f>
        <v>25.62</v>
      </c>
      <c r="AK85" s="348">
        <f>VLOOKUP($BW85,'HR|社保明细'!$C:K,9,0)</f>
        <v>551</v>
      </c>
      <c r="AL85" s="353">
        <f>VLOOKUP($BW85,'HR|社保明细'!$C:L,10,0)</f>
        <v>0</v>
      </c>
      <c r="AM85" s="349">
        <f t="shared" si="34"/>
        <v>1111.02</v>
      </c>
      <c r="AN85" s="348"/>
      <c r="AO85" s="348"/>
      <c r="AP85" s="348"/>
      <c r="AQ85" s="348"/>
      <c r="AR85" s="348"/>
      <c r="AS85" s="348">
        <f>AC85-AM85-SUM(AN85:AR85)</f>
        <v>5295.48</v>
      </c>
      <c r="AT85" s="354"/>
      <c r="AU85" s="355">
        <f>VLOOKUP(BW85,hr.个税累计数据!C:DS,121,0)</f>
        <v>36659.45</v>
      </c>
      <c r="AV85" s="348">
        <f>IF(AU85-5000*N85-VLOOKUP(A85,hr.个税累计数据!C:DT,122,0)-VLOOKUP(A85,hr.个税累计数据!C:DU,123,0)&gt;0,AU85-5000*N85-VLOOKUP(A85,hr.个税累计数据!C:DT,122,0)-VLOOKUP(A85,hr.个税累计数据!C:DU,123,0),0)</f>
        <v>93.9799999999968</v>
      </c>
      <c r="AW85" s="348">
        <f>VLOOKUP(BW85,hr.个税累计数据!C:DV,124,0)</f>
        <v>1.39</v>
      </c>
      <c r="AX85" s="348"/>
      <c r="AY85" s="349">
        <f>IF(ROUND(MAX(AV85*{0.03,0.1,0.2,0.25,0.3,0.35,0.45}-{0,210,1410,2660,4410,7160,15160}*12)-AW85,2)&lt;=0,0,ROUND(MAX(AV85*{0.03,0.1,0.2,0.25,0.3,0.35,0.45}-{0,210,1410,2660,4410,7160,15160}*12)-AW85,2))</f>
        <v>1.43</v>
      </c>
      <c r="AZ85" s="348">
        <f t="shared" si="40"/>
        <v>-155.8</v>
      </c>
      <c r="BA85" s="348"/>
      <c r="BB85" s="348">
        <f t="shared" si="41"/>
        <v>5138.25</v>
      </c>
      <c r="BC85" s="353"/>
      <c r="BD85" s="349">
        <f t="shared" si="42"/>
        <v>5138.25</v>
      </c>
      <c r="BE85" s="356">
        <f>VLOOKUP($BW85,'HR|社保明细'!C:T,11,0)</f>
        <v>819.84</v>
      </c>
      <c r="BF85" s="348">
        <f>VLOOKUP($BW85,'HR|社保明细'!$C:U,12,0)</f>
        <v>512.4</v>
      </c>
      <c r="BG85" s="348">
        <f>VLOOKUP($BW85,'HR|社保明细'!$C:V,13,0)</f>
        <v>25.62</v>
      </c>
      <c r="BH85" s="348">
        <f>VLOOKUP($BW85,'HR|社保明细'!$C:W,14,0)</f>
        <v>10.25</v>
      </c>
      <c r="BI85" s="348">
        <f>VLOOKUP($BW85,'HR|社保明细'!$C:X,15,0)</f>
        <v>25.62</v>
      </c>
      <c r="BJ85" s="348">
        <f>VLOOKUP($BW85,'HR|社保明细'!$C:Y,16,0)</f>
        <v>551</v>
      </c>
      <c r="BK85" s="353">
        <f>VLOOKUP($BW85,'HR|社保明细'!$C:Z,17,0)</f>
        <v>0</v>
      </c>
      <c r="BL85" s="349">
        <f t="shared" si="43"/>
        <v>1944.73</v>
      </c>
      <c r="BM85" s="354"/>
      <c r="BN85" s="350"/>
      <c r="BO85" s="350"/>
      <c r="BP85" s="350"/>
      <c r="BQ85" s="350"/>
      <c r="BR85" s="349">
        <f t="shared" si="35"/>
        <v>0</v>
      </c>
      <c r="BS85" s="349">
        <f t="shared" si="44"/>
        <v>250.7</v>
      </c>
      <c r="BT85" s="357">
        <v>600</v>
      </c>
      <c r="BU85" s="357"/>
      <c r="BV85" s="358"/>
      <c r="BW85" s="359" t="str">
        <f t="shared" si="45"/>
        <v>天津英才周梓荣</v>
      </c>
      <c r="BX85" s="360"/>
      <c r="BY85" s="360" t="s">
        <v>273</v>
      </c>
      <c r="BZ85" s="360" t="s">
        <v>274</v>
      </c>
      <c r="CA85" s="360" t="str">
        <f>VLOOKUP(A85,hr.个税累计数据!C:C,1,0)</f>
        <v>天津英才周梓荣</v>
      </c>
      <c r="CB85" s="360" t="s">
        <v>454</v>
      </c>
      <c r="CC85" s="360" t="s">
        <v>273</v>
      </c>
      <c r="CD85" s="243" t="b">
        <f t="shared" si="46"/>
        <v>1</v>
      </c>
    </row>
    <row r="86" s="243" customFormat="1" ht="23" hidden="1" customHeight="1" spans="1:82">
      <c r="A86" s="343" t="str">
        <f t="shared" si="36"/>
        <v>微芮洺程璐</v>
      </c>
      <c r="B86" s="343" t="s">
        <v>49</v>
      </c>
      <c r="C86" s="343" t="s">
        <v>77</v>
      </c>
      <c r="D86" s="343" t="s">
        <v>252</v>
      </c>
      <c r="E86" s="344" t="s">
        <v>49</v>
      </c>
      <c r="F86" s="343" t="s">
        <v>383</v>
      </c>
      <c r="G86" s="343" t="s">
        <v>384</v>
      </c>
      <c r="H86" s="343" t="s">
        <v>455</v>
      </c>
      <c r="I86" s="343" t="s">
        <v>455</v>
      </c>
      <c r="J86" s="343" t="s">
        <v>257</v>
      </c>
      <c r="K86" s="345">
        <f t="shared" si="37"/>
        <v>9590.02</v>
      </c>
      <c r="L86" s="346">
        <f t="shared" si="38"/>
        <v>5699.7</v>
      </c>
      <c r="M86"/>
      <c r="N86" s="347">
        <v>6</v>
      </c>
      <c r="O86" s="361">
        <v>7000</v>
      </c>
      <c r="P86" s="348"/>
      <c r="Q86" s="348">
        <f>VLOOKUP(I86,考勤调整记录!I:W,15,0)</f>
        <v>0</v>
      </c>
      <c r="R86" s="348"/>
      <c r="S86" s="348">
        <v>155.8</v>
      </c>
      <c r="T86" s="348"/>
      <c r="U86" s="349">
        <f t="shared" si="33"/>
        <v>7155.8</v>
      </c>
      <c r="V86" s="350"/>
      <c r="W86" s="350"/>
      <c r="X86" s="350"/>
      <c r="Y86" s="350"/>
      <c r="Z86" s="350"/>
      <c r="AA86" s="350"/>
      <c r="AB86" s="350"/>
      <c r="AC86" s="349">
        <f t="shared" si="39"/>
        <v>7155.8</v>
      </c>
      <c r="AD86" s="351"/>
      <c r="AE86" s="352">
        <v>202606</v>
      </c>
      <c r="AF86" s="348">
        <f>VLOOKUP(BW86,'HR|社保明细'!C:F,4,0)</f>
        <v>7460</v>
      </c>
      <c r="AG86" s="348">
        <f>VLOOKUP($BW86,'HR|社保明细'!$C:G,5,0)</f>
        <v>7384</v>
      </c>
      <c r="AH86" s="348">
        <f>VLOOKUP($BW86,'HR|社保明细'!$C:H,6,0)</f>
        <v>596.8</v>
      </c>
      <c r="AI86" s="348">
        <f>VLOOKUP($BW86,'HR|社保明细'!$C:I,7,0)</f>
        <v>149.2</v>
      </c>
      <c r="AJ86" s="348">
        <f>VLOOKUP($BW86,'HR|社保明细'!$C:J,8,0)</f>
        <v>37.3</v>
      </c>
      <c r="AK86" s="348">
        <f>VLOOKUP($BW86,'HR|社保明细'!$C:K,9,0)</f>
        <v>517</v>
      </c>
      <c r="AL86" s="353">
        <f>VLOOKUP($BW86,'HR|社保明细'!$C:L,10,0)</f>
        <v>0</v>
      </c>
      <c r="AM86" s="349">
        <f t="shared" si="34"/>
        <v>1300.3</v>
      </c>
      <c r="AN86" s="348"/>
      <c r="AO86" s="348"/>
      <c r="AP86" s="348"/>
      <c r="AQ86" s="348"/>
      <c r="AR86" s="348"/>
      <c r="AS86" s="348">
        <f>AC86-AM86-SUM(AN86:AR86)</f>
        <v>5855.5</v>
      </c>
      <c r="AT86" s="354"/>
      <c r="AU86" s="355">
        <f>VLOOKUP(BW86,hr.个税累计数据!C:DS,121,0)</f>
        <v>29665.99</v>
      </c>
      <c r="AV86" s="348">
        <f>IF(AU86-5000*N86-VLOOKUP(A86,hr.个税累计数据!C:DT,122,0)-VLOOKUP(A86,hr.个税累计数据!C:DU,123,0)&gt;0,AU86-5000*N86-VLOOKUP(A86,hr.个税累计数据!C:DT,122,0)-VLOOKUP(A86,hr.个税累计数据!C:DU,123,0),0)</f>
        <v>0</v>
      </c>
      <c r="AW86" s="348">
        <f>VLOOKUP(BW86,hr.个税累计数据!C:DV,124,0)</f>
        <v>0</v>
      </c>
      <c r="AX86" s="348"/>
      <c r="AY86" s="349">
        <f>IF(ROUND(MAX(AV86*{0.03,0.1,0.2,0.25,0.3,0.35,0.45}-{0,210,1410,2660,4410,7160,15160}*12)-AW86,2)&lt;=0,0,ROUND(MAX(AV86*{0.03,0.1,0.2,0.25,0.3,0.35,0.45}-{0,210,1410,2660,4410,7160,15160}*12)-AW86,2))</f>
        <v>0</v>
      </c>
      <c r="AZ86" s="348">
        <f t="shared" si="40"/>
        <v>-155.8</v>
      </c>
      <c r="BA86" s="348"/>
      <c r="BB86" s="348">
        <f t="shared" si="41"/>
        <v>5699.7</v>
      </c>
      <c r="BC86" s="353"/>
      <c r="BD86" s="349">
        <f t="shared" si="42"/>
        <v>5699.7</v>
      </c>
      <c r="BE86" s="356">
        <f>VLOOKUP($BW86,'HR|社保明细'!C:T,11,0)</f>
        <v>1193.6</v>
      </c>
      <c r="BF86" s="348">
        <f>VLOOKUP($BW86,'HR|社保明细'!$C:U,12,0)</f>
        <v>596.8</v>
      </c>
      <c r="BG86" s="348">
        <f>VLOOKUP($BW86,'HR|社保明细'!$C:V,13,0)</f>
        <v>37.3</v>
      </c>
      <c r="BH86" s="348">
        <f>VLOOKUP($BW86,'HR|社保明细'!$C:W,14,0)</f>
        <v>14.92</v>
      </c>
      <c r="BI86" s="348">
        <f>VLOOKUP($BW86,'HR|社保明细'!$C:X,15,0)</f>
        <v>74.6</v>
      </c>
      <c r="BJ86" s="348">
        <f>VLOOKUP($BW86,'HR|社保明细'!$C:Y,16,0)</f>
        <v>517</v>
      </c>
      <c r="BK86" s="353">
        <f>VLOOKUP($BW86,'HR|社保明细'!$C:Z,17,0)</f>
        <v>0</v>
      </c>
      <c r="BL86" s="349">
        <f t="shared" si="43"/>
        <v>2434.22</v>
      </c>
      <c r="BM86" s="354"/>
      <c r="BN86" s="350"/>
      <c r="BO86" s="350"/>
      <c r="BP86" s="350"/>
      <c r="BQ86" s="350"/>
      <c r="BR86" s="349">
        <f t="shared" si="35"/>
        <v>0</v>
      </c>
      <c r="BS86" s="349">
        <f t="shared" si="44"/>
        <v>0</v>
      </c>
      <c r="BT86" s="357">
        <v>1250</v>
      </c>
      <c r="BU86" s="357"/>
      <c r="BV86" s="358"/>
      <c r="BW86" s="359" t="str">
        <f t="shared" si="45"/>
        <v>微芮洺程璐</v>
      </c>
      <c r="BX86" s="360"/>
      <c r="BY86" s="360" t="s">
        <v>273</v>
      </c>
      <c r="BZ86" s="360" t="s">
        <v>48</v>
      </c>
      <c r="CA86" s="360" t="str">
        <f>VLOOKUP(A86,hr.个税累计数据!C:C,1,0)</f>
        <v>微芮洺程璐</v>
      </c>
      <c r="CB86" s="360" t="s">
        <v>456</v>
      </c>
      <c r="CC86" s="360" t="s">
        <v>273</v>
      </c>
      <c r="CD86" s="243" t="b">
        <f t="shared" si="46"/>
        <v>1</v>
      </c>
    </row>
    <row r="87" s="243" customFormat="1" ht="23" hidden="1" customHeight="1" spans="1:82">
      <c r="A87" s="343" t="str">
        <f t="shared" si="36"/>
        <v>弈工分健康汪顺</v>
      </c>
      <c r="B87" s="343" t="s">
        <v>31</v>
      </c>
      <c r="C87" s="343" t="s">
        <v>73</v>
      </c>
      <c r="D87" s="343" t="s">
        <v>267</v>
      </c>
      <c r="E87" s="344" t="s">
        <v>268</v>
      </c>
      <c r="F87" s="343" t="s">
        <v>134</v>
      </c>
      <c r="G87" s="343" t="s">
        <v>269</v>
      </c>
      <c r="H87" s="343" t="s">
        <v>383</v>
      </c>
      <c r="I87" s="343" t="s">
        <v>383</v>
      </c>
      <c r="J87" s="343" t="s">
        <v>271</v>
      </c>
      <c r="K87" s="345">
        <f t="shared" si="37"/>
        <v>1000</v>
      </c>
      <c r="L87" s="346">
        <f t="shared" si="38"/>
        <v>960</v>
      </c>
      <c r="M87"/>
      <c r="N87" s="347">
        <v>6</v>
      </c>
      <c r="O87" s="361">
        <v>1000</v>
      </c>
      <c r="P87" s="348"/>
      <c r="Q87" s="348"/>
      <c r="R87" s="348"/>
      <c r="S87" s="348"/>
      <c r="T87" s="348"/>
      <c r="U87" s="349">
        <f t="shared" si="33"/>
        <v>1000</v>
      </c>
      <c r="V87" s="350"/>
      <c r="W87" s="350"/>
      <c r="X87" s="350"/>
      <c r="Y87" s="350"/>
      <c r="Z87" s="350"/>
      <c r="AA87" s="350"/>
      <c r="AB87" s="350"/>
      <c r="AC87" s="349">
        <f t="shared" si="39"/>
        <v>1000</v>
      </c>
      <c r="AD87" s="351"/>
      <c r="AE87" s="352">
        <v>202606</v>
      </c>
      <c r="AF87" s="348">
        <f>VLOOKUP(BW87,'HR|社保明细'!C:F,4,0)</f>
        <v>0</v>
      </c>
      <c r="AG87" s="348">
        <f>VLOOKUP($BW87,'HR|社保明细'!$C:G,5,0)</f>
        <v>0</v>
      </c>
      <c r="AH87" s="348">
        <f>VLOOKUP($BW87,'HR|社保明细'!$C:H,6,0)</f>
        <v>0</v>
      </c>
      <c r="AI87" s="348">
        <f>VLOOKUP($BW87,'HR|社保明细'!$C:I,7,0)</f>
        <v>0</v>
      </c>
      <c r="AJ87" s="348">
        <f>VLOOKUP($BW87,'HR|社保明细'!$C:J,8,0)</f>
        <v>0</v>
      </c>
      <c r="AK87" s="348">
        <f>VLOOKUP($BW87,'HR|社保明细'!$C:K,9,0)</f>
        <v>0</v>
      </c>
      <c r="AL87" s="353">
        <f>VLOOKUP($BW87,'HR|社保明细'!$C:L,10,0)</f>
        <v>0</v>
      </c>
      <c r="AM87" s="349">
        <f t="shared" si="34"/>
        <v>0</v>
      </c>
      <c r="AN87" s="348"/>
      <c r="AO87" s="348"/>
      <c r="AP87" s="348"/>
      <c r="AQ87" s="348"/>
      <c r="AR87" s="348"/>
      <c r="AS87" s="348">
        <v>1000</v>
      </c>
      <c r="AT87" s="354"/>
      <c r="AU87" s="355">
        <f>VLOOKUP(BW87,hr.个税累计数据!C:DS,121,0)</f>
        <v>6000</v>
      </c>
      <c r="AV87" s="348">
        <f>IF(AU87-5000*N87-VLOOKUP(A87,hr.个税累计数据!C:DT,122,0)-VLOOKUP(A87,hr.个税累计数据!C:DU,123,0)&gt;0,AU87-5000*N87-VLOOKUP(A87,hr.个税累计数据!C:DT,122,0)-VLOOKUP(A87,hr.个税累计数据!C:DU,123,0),0)</f>
        <v>0</v>
      </c>
      <c r="AW87" s="348">
        <f>VLOOKUP(BW87,hr.个税累计数据!C:DV,124,0)</f>
        <v>200</v>
      </c>
      <c r="AX87" s="348"/>
      <c r="AY87" s="349">
        <f>IF(D87="国内不计税",0,IF(D87="正常计税",ROUND(MAX(AS87*{0.03,0.1,0.2,0.25,0.3,0.35,0.45}-{0,210,1410,2660,4410,7160,15160},0),2),IF(D87="外籍人",ROUND(MAX(AS87*{0.03,0.1,0.2,0.25,0.3,0.35,0.45}-{0,210,1410,2660,4410,7160,15160},0),2),ROUND(MAX((AS87-IF(AS87&lt;4000,800,AS87*0.2))*10%*{2,3,4}-1000*{0,2,7},0),2))))</f>
        <v>40</v>
      </c>
      <c r="AZ87" s="348">
        <f t="shared" si="40"/>
        <v>0</v>
      </c>
      <c r="BA87" s="348"/>
      <c r="BB87" s="348">
        <f t="shared" si="41"/>
        <v>960</v>
      </c>
      <c r="BC87" s="353"/>
      <c r="BD87" s="349">
        <f t="shared" si="42"/>
        <v>960</v>
      </c>
      <c r="BE87" s="356">
        <f>VLOOKUP($BW87,'HR|社保明细'!C:T,11,0)</f>
        <v>0</v>
      </c>
      <c r="BF87" s="348">
        <f>VLOOKUP($BW87,'HR|社保明细'!$C:U,12,0)</f>
        <v>0</v>
      </c>
      <c r="BG87" s="348">
        <f>VLOOKUP($BW87,'HR|社保明细'!$C:V,13,0)</f>
        <v>0</v>
      </c>
      <c r="BH87" s="348">
        <f>VLOOKUP($BW87,'HR|社保明细'!$C:W,14,0)</f>
        <v>0</v>
      </c>
      <c r="BI87" s="348">
        <f>VLOOKUP($BW87,'HR|社保明细'!$C:X,15,0)</f>
        <v>0</v>
      </c>
      <c r="BJ87" s="348">
        <f>VLOOKUP($BW87,'HR|社保明细'!$C:Y,16,0)</f>
        <v>0</v>
      </c>
      <c r="BK87" s="353">
        <f>VLOOKUP($BW87,'HR|社保明细'!$C:Z,17,0)</f>
        <v>0</v>
      </c>
      <c r="BL87" s="349">
        <f t="shared" si="43"/>
        <v>0</v>
      </c>
      <c r="BM87" s="354"/>
      <c r="BN87" s="350"/>
      <c r="BO87" s="350"/>
      <c r="BP87" s="350"/>
      <c r="BQ87" s="350"/>
      <c r="BR87" s="349">
        <f t="shared" si="35"/>
        <v>0</v>
      </c>
      <c r="BS87" s="349">
        <f t="shared" si="44"/>
        <v>0</v>
      </c>
      <c r="BT87" s="357"/>
      <c r="BU87" s="357"/>
      <c r="BV87" s="358"/>
      <c r="BW87" s="359" t="str">
        <f t="shared" si="45"/>
        <v>弈工分健康汪顺</v>
      </c>
      <c r="BX87" s="360" t="s">
        <v>258</v>
      </c>
      <c r="BY87" s="360" t="s">
        <v>259</v>
      </c>
      <c r="BZ87" s="360"/>
      <c r="CA87" s="360" t="str">
        <f>VLOOKUP(A87,hr.个税累计数据!C:C,1,0)</f>
        <v>弈工分健康汪顺</v>
      </c>
      <c r="CB87" s="360" t="s">
        <v>457</v>
      </c>
      <c r="CC87" s="360"/>
      <c r="CD87" s="243" t="b">
        <f t="shared" si="46"/>
        <v>1</v>
      </c>
    </row>
    <row r="88" s="243" customFormat="1" ht="23" hidden="1" customHeight="1" spans="1:82">
      <c r="A88" s="343" t="str">
        <f t="shared" si="36"/>
        <v>弈工分健康胡金明</v>
      </c>
      <c r="B88" s="343" t="s">
        <v>50</v>
      </c>
      <c r="C88" s="343" t="s">
        <v>73</v>
      </c>
      <c r="D88" s="343" t="s">
        <v>252</v>
      </c>
      <c r="E88" s="344" t="s">
        <v>50</v>
      </c>
      <c r="F88" s="343" t="s">
        <v>345</v>
      </c>
      <c r="G88" s="343" t="s">
        <v>346</v>
      </c>
      <c r="H88" s="343" t="s">
        <v>458</v>
      </c>
      <c r="I88" s="343" t="s">
        <v>458</v>
      </c>
      <c r="J88" s="343" t="s">
        <v>348</v>
      </c>
      <c r="K88" s="345">
        <f t="shared" si="37"/>
        <v>10390.02</v>
      </c>
      <c r="L88" s="346">
        <f t="shared" si="38"/>
        <v>6450.03</v>
      </c>
      <c r="M88"/>
      <c r="N88" s="347">
        <v>6</v>
      </c>
      <c r="O88" s="361">
        <v>7500</v>
      </c>
      <c r="P88" s="348"/>
      <c r="Q88" s="348">
        <f>VLOOKUP(I88,考勤调整记录!I:W,15,0)</f>
        <v>0</v>
      </c>
      <c r="R88" s="348"/>
      <c r="S88" s="348">
        <v>155.8</v>
      </c>
      <c r="T88" s="348"/>
      <c r="U88" s="349">
        <f t="shared" si="33"/>
        <v>7655.8</v>
      </c>
      <c r="V88" s="350"/>
      <c r="W88" s="350"/>
      <c r="X88" s="350"/>
      <c r="Y88" s="350">
        <v>300</v>
      </c>
      <c r="Z88" s="350"/>
      <c r="AA88" s="350"/>
      <c r="AB88" s="350"/>
      <c r="AC88" s="349">
        <f t="shared" si="39"/>
        <v>7955.8</v>
      </c>
      <c r="AD88" s="351"/>
      <c r="AE88" s="352">
        <v>202606</v>
      </c>
      <c r="AF88" s="348">
        <f>VLOOKUP(BW88,'HR|社保明细'!C:F,4,0)</f>
        <v>7460</v>
      </c>
      <c r="AG88" s="348">
        <f>VLOOKUP($BW88,'HR|社保明细'!$C:G,5,0)</f>
        <v>7384</v>
      </c>
      <c r="AH88" s="348">
        <f>VLOOKUP($BW88,'HR|社保明细'!$C:H,6,0)</f>
        <v>596.8</v>
      </c>
      <c r="AI88" s="348">
        <f>VLOOKUP($BW88,'HR|社保明细'!$C:I,7,0)</f>
        <v>149.2</v>
      </c>
      <c r="AJ88" s="348">
        <f>VLOOKUP($BW88,'HR|社保明细'!$C:J,8,0)</f>
        <v>37.3</v>
      </c>
      <c r="AK88" s="348">
        <f>VLOOKUP($BW88,'HR|社保明细'!$C:K,9,0)</f>
        <v>517</v>
      </c>
      <c r="AL88" s="353">
        <f>VLOOKUP($BW88,'HR|社保明细'!$C:L,10,0)</f>
        <v>0</v>
      </c>
      <c r="AM88" s="349">
        <f t="shared" si="34"/>
        <v>1300.3</v>
      </c>
      <c r="AN88" s="348"/>
      <c r="AO88" s="348"/>
      <c r="AP88" s="348">
        <v>1500</v>
      </c>
      <c r="AQ88" s="348"/>
      <c r="AR88" s="348"/>
      <c r="AS88" s="348">
        <f t="shared" ref="AS88:AS100" si="47">AC88-AM88-SUM(AN88:AR88)</f>
        <v>5155.5</v>
      </c>
      <c r="AT88" s="354"/>
      <c r="AU88" s="355">
        <f>VLOOKUP(BW88,hr.个税累计数据!C:DS,121,0)</f>
        <v>47889.69</v>
      </c>
      <c r="AV88" s="348">
        <f>IF(AU88-5000*N88-VLOOKUP(A88,hr.个税累计数据!C:DT,122,0)-VLOOKUP(A88,hr.个税累计数据!C:DU,123,0)&gt;0,AU88-5000*N88-VLOOKUP(A88,hr.个税累计数据!C:DT,122,0)-VLOOKUP(A88,hr.个税累计数据!C:DU,123,0),0)</f>
        <v>10087.89</v>
      </c>
      <c r="AW88" s="348">
        <f>VLOOKUP(BW88,hr.个税累计数据!C:DV,124,0)</f>
        <v>252.97</v>
      </c>
      <c r="AX88" s="348"/>
      <c r="AY88" s="349">
        <f>IF(ROUND(MAX(AV88*{0.03,0.1,0.2,0.25,0.3,0.35,0.45}-{0,210,1410,2660,4410,7160,15160}*12)-AW88,2)&lt;=0,0,ROUND(MAX(AV88*{0.03,0.1,0.2,0.25,0.3,0.35,0.45}-{0,210,1410,2660,4410,7160,15160}*12)-AW88,2))</f>
        <v>49.67</v>
      </c>
      <c r="AZ88" s="348">
        <f t="shared" si="40"/>
        <v>-155.8</v>
      </c>
      <c r="BA88" s="348"/>
      <c r="BB88" s="348">
        <f t="shared" si="41"/>
        <v>6450.03</v>
      </c>
      <c r="BC88" s="353"/>
      <c r="BD88" s="349">
        <f t="shared" si="42"/>
        <v>6450.03</v>
      </c>
      <c r="BE88" s="356">
        <f>VLOOKUP($BW88,'HR|社保明细'!C:T,11,0)</f>
        <v>1193.6</v>
      </c>
      <c r="BF88" s="348">
        <f>VLOOKUP($BW88,'HR|社保明细'!$C:U,12,0)</f>
        <v>596.8</v>
      </c>
      <c r="BG88" s="348">
        <f>VLOOKUP($BW88,'HR|社保明细'!$C:V,13,0)</f>
        <v>37.3</v>
      </c>
      <c r="BH88" s="348">
        <f>VLOOKUP($BW88,'HR|社保明细'!$C:W,14,0)</f>
        <v>14.92</v>
      </c>
      <c r="BI88" s="348">
        <f>VLOOKUP($BW88,'HR|社保明细'!$C:X,15,0)</f>
        <v>74.6</v>
      </c>
      <c r="BJ88" s="348">
        <f>VLOOKUP($BW88,'HR|社保明细'!$C:Y,16,0)</f>
        <v>517</v>
      </c>
      <c r="BK88" s="353">
        <f>VLOOKUP($BW88,'HR|社保明细'!$C:Z,17,0)</f>
        <v>0</v>
      </c>
      <c r="BL88" s="349">
        <f t="shared" si="43"/>
        <v>2434.22</v>
      </c>
      <c r="BM88" s="354"/>
      <c r="BN88" s="350"/>
      <c r="BO88" s="350"/>
      <c r="BP88" s="350"/>
      <c r="BQ88" s="350"/>
      <c r="BR88" s="349">
        <f t="shared" si="35"/>
        <v>0</v>
      </c>
      <c r="BS88" s="349">
        <f t="shared" si="44"/>
        <v>300</v>
      </c>
      <c r="BT88" s="357">
        <v>1250</v>
      </c>
      <c r="BU88" s="357"/>
      <c r="BV88" s="358"/>
      <c r="BW88" s="359" t="str">
        <f t="shared" si="45"/>
        <v>弈工分健康胡金明</v>
      </c>
      <c r="BX88" s="360"/>
      <c r="BY88" s="360" t="s">
        <v>273</v>
      </c>
      <c r="BZ88" s="360" t="s">
        <v>48</v>
      </c>
      <c r="CA88" s="360" t="str">
        <f>VLOOKUP(A88,hr.个税累计数据!C:C,1,0)</f>
        <v>弈工分健康胡金明</v>
      </c>
      <c r="CB88" s="360" t="s">
        <v>459</v>
      </c>
      <c r="CC88" s="360" t="s">
        <v>273</v>
      </c>
      <c r="CD88" s="243" t="b">
        <f t="shared" si="46"/>
        <v>1</v>
      </c>
    </row>
    <row r="89" s="243" customFormat="1" ht="23" customHeight="1" spans="1:82">
      <c r="A89" s="343" t="str">
        <f t="shared" si="36"/>
        <v>弈工分信息赵柳文</v>
      </c>
      <c r="B89" s="343" t="s">
        <v>44</v>
      </c>
      <c r="C89" s="343" t="s">
        <v>72</v>
      </c>
      <c r="D89" s="343" t="s">
        <v>252</v>
      </c>
      <c r="E89" s="344" t="s">
        <v>404</v>
      </c>
      <c r="F89" s="343" t="s">
        <v>400</v>
      </c>
      <c r="G89" s="343" t="s">
        <v>460</v>
      </c>
      <c r="H89" s="343" t="s">
        <v>461</v>
      </c>
      <c r="I89" s="343" t="s">
        <v>461</v>
      </c>
      <c r="J89" s="343" t="s">
        <v>257</v>
      </c>
      <c r="K89" s="345">
        <f t="shared" si="37"/>
        <v>10475</v>
      </c>
      <c r="L89" s="346">
        <f t="shared" si="38"/>
        <v>6259.43</v>
      </c>
      <c r="M89"/>
      <c r="N89" s="347">
        <v>3</v>
      </c>
      <c r="O89" s="361">
        <v>8000</v>
      </c>
      <c r="P89" s="348"/>
      <c r="Q89" s="348">
        <f>VLOOKUP(I89,考勤调整记录!I:W,15,0)</f>
        <v>0</v>
      </c>
      <c r="R89" s="348"/>
      <c r="S89" s="348">
        <v>155.8</v>
      </c>
      <c r="T89" s="348"/>
      <c r="U89" s="349">
        <f t="shared" si="33"/>
        <v>8155.8</v>
      </c>
      <c r="V89" s="350"/>
      <c r="W89" s="350">
        <v>-296.8</v>
      </c>
      <c r="X89" s="350"/>
      <c r="Y89" s="350"/>
      <c r="Z89" s="350"/>
      <c r="AA89" s="350"/>
      <c r="AB89" s="350"/>
      <c r="AC89" s="349">
        <f t="shared" si="39"/>
        <v>7859</v>
      </c>
      <c r="AD89" s="351"/>
      <c r="AE89" s="352">
        <v>202606</v>
      </c>
      <c r="AF89" s="348">
        <f>VLOOKUP(BW89,'HR|社保明细'!C:F,4,0)</f>
        <v>8000</v>
      </c>
      <c r="AG89" s="348">
        <f>VLOOKUP($BW89,'HR|社保明细'!$C:G,5,0)</f>
        <v>8000</v>
      </c>
      <c r="AH89" s="348">
        <f>VLOOKUP($BW89,'HR|社保明细'!$C:H,6,0)</f>
        <v>640</v>
      </c>
      <c r="AI89" s="348">
        <f>VLOOKUP($BW89,'HR|社保明细'!$C:I,7,0)</f>
        <v>160</v>
      </c>
      <c r="AJ89" s="348">
        <f>VLOOKUP($BW89,'HR|社保明细'!$C:J,8,0)</f>
        <v>40</v>
      </c>
      <c r="AK89" s="348">
        <f>VLOOKUP($BW89,'HR|社保明细'!$C:K,9,0)</f>
        <v>560</v>
      </c>
      <c r="AL89" s="353">
        <f>VLOOKUP($BW89,'HR|社保明细'!$C:L,10,0)</f>
        <v>0</v>
      </c>
      <c r="AM89" s="349">
        <f t="shared" si="34"/>
        <v>1400</v>
      </c>
      <c r="AN89" s="348"/>
      <c r="AO89" s="348"/>
      <c r="AP89" s="348">
        <v>1500</v>
      </c>
      <c r="AQ89" s="348"/>
      <c r="AR89" s="348"/>
      <c r="AS89" s="348">
        <f t="shared" si="47"/>
        <v>4959</v>
      </c>
      <c r="AT89" s="354"/>
      <c r="AU89" s="355">
        <f>VLOOKUP(BW89,hr.个税累计数据!C:DS,121,0)</f>
        <v>21320.03</v>
      </c>
      <c r="AV89" s="348">
        <f>IF(AU89-5000*N89-VLOOKUP(A89,hr.个税累计数据!C:DT,122,0)-VLOOKUP(A89,hr.个税累计数据!C:DU,123,0)&gt;0,AU89-5000*N89-VLOOKUP(A89,hr.个税累计数据!C:DT,122,0)-VLOOKUP(A89,hr.个税累计数据!C:DU,123,0),0)</f>
        <v>2120.03</v>
      </c>
      <c r="AW89" s="348">
        <f>VLOOKUP(BW89,hr.个税累计数据!C:DV,124,0)</f>
        <v>19.83</v>
      </c>
      <c r="AX89" s="348"/>
      <c r="AY89" s="349">
        <f>IF(ROUND(MAX(AV89*{0.03,0.1,0.2,0.25,0.3,0.35,0.45}-{0,210,1410,2660,4410,7160,15160}*12)-AW89,2)&lt;=0,0,ROUND(MAX(AV89*{0.03,0.1,0.2,0.25,0.3,0.35,0.45}-{0,210,1410,2660,4410,7160,15160}*12)-AW89,2))</f>
        <v>43.77</v>
      </c>
      <c r="AZ89" s="348">
        <f t="shared" si="40"/>
        <v>-155.8</v>
      </c>
      <c r="BA89" s="348"/>
      <c r="BB89" s="348">
        <f t="shared" si="41"/>
        <v>6259.43</v>
      </c>
      <c r="BC89" s="353"/>
      <c r="BD89" s="349">
        <f t="shared" si="42"/>
        <v>6259.43</v>
      </c>
      <c r="BE89" s="356">
        <f>VLOOKUP($BW89,'HR|社保明细'!C:T,11,0)</f>
        <v>1280</v>
      </c>
      <c r="BF89" s="348">
        <f>VLOOKUP($BW89,'HR|社保明细'!$C:U,12,0)</f>
        <v>640</v>
      </c>
      <c r="BG89" s="348">
        <f>VLOOKUP($BW89,'HR|社保明细'!$C:V,13,0)</f>
        <v>40</v>
      </c>
      <c r="BH89" s="348">
        <f>VLOOKUP($BW89,'HR|社保明细'!$C:W,14,0)</f>
        <v>16</v>
      </c>
      <c r="BI89" s="348">
        <f>VLOOKUP($BW89,'HR|社保明细'!$C:X,15,0)</f>
        <v>80</v>
      </c>
      <c r="BJ89" s="348">
        <f>VLOOKUP($BW89,'HR|社保明细'!$C:Y,16,0)</f>
        <v>560</v>
      </c>
      <c r="BK89" s="353">
        <f>VLOOKUP($BW89,'HR|社保明细'!$C:Z,17,0)</f>
        <v>0</v>
      </c>
      <c r="BL89" s="349">
        <f t="shared" si="43"/>
        <v>2616</v>
      </c>
      <c r="BM89" s="354"/>
      <c r="BN89" s="350"/>
      <c r="BO89" s="350"/>
      <c r="BP89" s="350"/>
      <c r="BQ89" s="350"/>
      <c r="BR89" s="349">
        <f t="shared" si="35"/>
        <v>0</v>
      </c>
      <c r="BS89" s="349">
        <f t="shared" si="44"/>
        <v>-296.8</v>
      </c>
      <c r="BT89" s="357">
        <v>1250</v>
      </c>
      <c r="BU89" s="357"/>
      <c r="BV89" s="358"/>
      <c r="BW89" s="359" t="str">
        <f t="shared" si="45"/>
        <v>弈工分信息赵柳文</v>
      </c>
      <c r="BX89" s="360"/>
      <c r="BY89" s="360" t="s">
        <v>273</v>
      </c>
      <c r="BZ89" s="360" t="s">
        <v>48</v>
      </c>
      <c r="CA89" s="360" t="str">
        <f>VLOOKUP(A89,hr.个税累计数据!C:C,1,0)</f>
        <v>弈工分信息赵柳文</v>
      </c>
      <c r="CB89" s="360" t="s">
        <v>459</v>
      </c>
      <c r="CC89" s="360" t="s">
        <v>273</v>
      </c>
      <c r="CD89" s="243" t="b">
        <f t="shared" si="46"/>
        <v>1</v>
      </c>
    </row>
    <row r="90" s="243" customFormat="1" ht="23" hidden="1" customHeight="1" spans="1:82">
      <c r="A90" s="343" t="str">
        <f t="shared" si="36"/>
        <v>弈工分健康贾飞龙</v>
      </c>
      <c r="B90" s="343" t="s">
        <v>51</v>
      </c>
      <c r="C90" s="343" t="s">
        <v>73</v>
      </c>
      <c r="D90" s="343" t="s">
        <v>252</v>
      </c>
      <c r="E90" s="344" t="s">
        <v>51</v>
      </c>
      <c r="F90" s="343" t="s">
        <v>383</v>
      </c>
      <c r="G90" s="343" t="s">
        <v>462</v>
      </c>
      <c r="H90" s="343" t="s">
        <v>436</v>
      </c>
      <c r="I90" s="343" t="s">
        <v>436</v>
      </c>
      <c r="J90" s="343" t="s">
        <v>257</v>
      </c>
      <c r="K90" s="345">
        <f t="shared" si="37"/>
        <v>12562.43</v>
      </c>
      <c r="L90" s="346">
        <f t="shared" si="38"/>
        <v>8557.27</v>
      </c>
      <c r="M90"/>
      <c r="N90" s="347">
        <v>6</v>
      </c>
      <c r="O90" s="361">
        <v>8500</v>
      </c>
      <c r="P90" s="348"/>
      <c r="Q90" s="348">
        <f>VLOOKUP(I90,考勤调整记录!I:W,15,0)</f>
        <v>1172.41</v>
      </c>
      <c r="R90" s="348"/>
      <c r="S90" s="348">
        <v>155.8</v>
      </c>
      <c r="T90" s="348"/>
      <c r="U90" s="349">
        <f t="shared" si="33"/>
        <v>9828.21</v>
      </c>
      <c r="V90" s="350"/>
      <c r="W90" s="350"/>
      <c r="X90" s="350"/>
      <c r="Y90" s="350">
        <v>300</v>
      </c>
      <c r="Z90" s="350"/>
      <c r="AA90" s="350"/>
      <c r="AB90" s="350"/>
      <c r="AC90" s="349">
        <f t="shared" si="39"/>
        <v>10128.21</v>
      </c>
      <c r="AD90" s="351"/>
      <c r="AE90" s="352">
        <v>202606</v>
      </c>
      <c r="AF90" s="348">
        <f>VLOOKUP(BW90,'HR|社保明细'!C:F,4,0)</f>
        <v>7460</v>
      </c>
      <c r="AG90" s="348">
        <f>VLOOKUP($BW90,'HR|社保明细'!$C:G,5,0)</f>
        <v>7384</v>
      </c>
      <c r="AH90" s="348">
        <f>VLOOKUP($BW90,'HR|社保明细'!$C:H,6,0)</f>
        <v>596.8</v>
      </c>
      <c r="AI90" s="348">
        <f>VLOOKUP($BW90,'HR|社保明细'!$C:I,7,0)</f>
        <v>149.2</v>
      </c>
      <c r="AJ90" s="348">
        <f>VLOOKUP($BW90,'HR|社保明细'!$C:J,8,0)</f>
        <v>37.3</v>
      </c>
      <c r="AK90" s="348">
        <f>VLOOKUP($BW90,'HR|社保明细'!$C:K,9,0)</f>
        <v>517</v>
      </c>
      <c r="AL90" s="353">
        <f>VLOOKUP($BW90,'HR|社保明细'!$C:L,10,0)</f>
        <v>0</v>
      </c>
      <c r="AM90" s="349">
        <f t="shared" si="34"/>
        <v>1300.3</v>
      </c>
      <c r="AN90" s="348"/>
      <c r="AO90" s="348"/>
      <c r="AP90" s="348">
        <v>1500</v>
      </c>
      <c r="AQ90" s="348"/>
      <c r="AR90" s="348"/>
      <c r="AS90" s="348">
        <f t="shared" si="47"/>
        <v>7327.91</v>
      </c>
      <c r="AT90" s="354"/>
      <c r="AU90" s="355">
        <f>VLOOKUP(BW90,hr.个税累计数据!C:DS,121,0)</f>
        <v>56416.72</v>
      </c>
      <c r="AV90" s="348">
        <f>IF(AU90-5000*N90-VLOOKUP(A90,hr.个税累计数据!C:DT,122,0)-VLOOKUP(A90,hr.个税累计数据!C:DU,123,0)&gt;0,AU90-5000*N90-VLOOKUP(A90,hr.个税累计数据!C:DT,122,0)-VLOOKUP(A90,hr.个税累计数据!C:DU,123,0),0)</f>
        <v>18614.92</v>
      </c>
      <c r="AW90" s="348">
        <f>VLOOKUP(BW90,hr.个税累计数据!C:DV,124,0)</f>
        <v>443.61</v>
      </c>
      <c r="AX90" s="348"/>
      <c r="AY90" s="349">
        <f>IF(ROUND(MAX(AV90*{0.03,0.1,0.2,0.25,0.3,0.35,0.45}-{0,210,1410,2660,4410,7160,15160}*12)-AW90,2)&lt;=0,0,ROUND(MAX(AV90*{0.03,0.1,0.2,0.25,0.3,0.35,0.45}-{0,210,1410,2660,4410,7160,15160}*12)-AW90,2))</f>
        <v>114.84</v>
      </c>
      <c r="AZ90" s="348">
        <f t="shared" si="40"/>
        <v>-155.8</v>
      </c>
      <c r="BA90" s="348"/>
      <c r="BB90" s="348">
        <f t="shared" si="41"/>
        <v>8557.27</v>
      </c>
      <c r="BC90" s="353"/>
      <c r="BD90" s="349">
        <f t="shared" si="42"/>
        <v>8557.27</v>
      </c>
      <c r="BE90" s="356">
        <f>VLOOKUP($BW90,'HR|社保明细'!C:T,11,0)</f>
        <v>1193.6</v>
      </c>
      <c r="BF90" s="348">
        <f>VLOOKUP($BW90,'HR|社保明细'!$C:U,12,0)</f>
        <v>596.8</v>
      </c>
      <c r="BG90" s="348">
        <f>VLOOKUP($BW90,'HR|社保明细'!$C:V,13,0)</f>
        <v>37.3</v>
      </c>
      <c r="BH90" s="348">
        <f>VLOOKUP($BW90,'HR|社保明细'!$C:W,14,0)</f>
        <v>14.92</v>
      </c>
      <c r="BI90" s="348">
        <f>VLOOKUP($BW90,'HR|社保明细'!$C:X,15,0)</f>
        <v>74.6</v>
      </c>
      <c r="BJ90" s="348">
        <f>VLOOKUP($BW90,'HR|社保明细'!$C:Y,16,0)</f>
        <v>517</v>
      </c>
      <c r="BK90" s="353">
        <f>VLOOKUP($BW90,'HR|社保明细'!$C:Z,17,0)</f>
        <v>0</v>
      </c>
      <c r="BL90" s="349">
        <f t="shared" si="43"/>
        <v>2434.22</v>
      </c>
      <c r="BM90" s="354"/>
      <c r="BN90" s="350"/>
      <c r="BO90" s="350"/>
      <c r="BP90" s="350"/>
      <c r="BQ90" s="350"/>
      <c r="BR90" s="349">
        <f t="shared" si="35"/>
        <v>0</v>
      </c>
      <c r="BS90" s="349">
        <f t="shared" si="44"/>
        <v>300</v>
      </c>
      <c r="BT90" s="357">
        <v>1250</v>
      </c>
      <c r="BU90" s="357"/>
      <c r="BV90" s="358"/>
      <c r="BW90" s="359" t="str">
        <f t="shared" si="45"/>
        <v>弈工分健康贾飞龙</v>
      </c>
      <c r="BX90" s="360"/>
      <c r="BY90" s="360" t="s">
        <v>273</v>
      </c>
      <c r="BZ90" s="360" t="s">
        <v>48</v>
      </c>
      <c r="CA90" s="360" t="str">
        <f>VLOOKUP(A90,hr.个税累计数据!C:C,1,0)</f>
        <v>弈工分健康贾飞龙</v>
      </c>
      <c r="CB90" s="360" t="s">
        <v>463</v>
      </c>
      <c r="CC90" s="360" t="s">
        <v>273</v>
      </c>
      <c r="CD90" s="243" t="b">
        <f t="shared" si="46"/>
        <v>1</v>
      </c>
    </row>
    <row r="91" s="243" customFormat="1" ht="23" hidden="1" customHeight="1" spans="1:82">
      <c r="A91" s="343" t="str">
        <f t="shared" si="36"/>
        <v>弈工分健康殷德昌</v>
      </c>
      <c r="B91" s="343" t="s">
        <v>52</v>
      </c>
      <c r="C91" s="343" t="s">
        <v>73</v>
      </c>
      <c r="D91" s="343" t="s">
        <v>252</v>
      </c>
      <c r="E91" s="344" t="s">
        <v>52</v>
      </c>
      <c r="F91" s="343" t="s">
        <v>380</v>
      </c>
      <c r="G91" s="343" t="s">
        <v>366</v>
      </c>
      <c r="H91" s="343" t="s">
        <v>464</v>
      </c>
      <c r="I91" s="343" t="s">
        <v>464</v>
      </c>
      <c r="J91" s="343" t="s">
        <v>257</v>
      </c>
      <c r="K91" s="345">
        <f t="shared" si="37"/>
        <v>4550</v>
      </c>
      <c r="L91" s="346">
        <f t="shared" si="38"/>
        <v>4550</v>
      </c>
      <c r="M91"/>
      <c r="N91" s="347">
        <v>6</v>
      </c>
      <c r="O91" s="361">
        <v>4000</v>
      </c>
      <c r="P91" s="348"/>
      <c r="Q91" s="348">
        <f>VLOOKUP(I91,考勤调整记录!I:W,15,0)</f>
        <v>200</v>
      </c>
      <c r="R91" s="348"/>
      <c r="S91" s="348"/>
      <c r="T91" s="348"/>
      <c r="U91" s="349">
        <f t="shared" si="33"/>
        <v>4200</v>
      </c>
      <c r="V91" s="350"/>
      <c r="W91" s="350"/>
      <c r="X91" s="350"/>
      <c r="Y91" s="350">
        <v>300</v>
      </c>
      <c r="Z91" s="350"/>
      <c r="AA91" s="350"/>
      <c r="AB91" s="350">
        <v>50</v>
      </c>
      <c r="AC91" s="349">
        <f t="shared" si="39"/>
        <v>4550</v>
      </c>
      <c r="AD91" s="351"/>
      <c r="AE91" s="352">
        <v>202606</v>
      </c>
      <c r="AF91" s="348"/>
      <c r="AG91" s="348"/>
      <c r="AH91" s="348"/>
      <c r="AI91" s="348"/>
      <c r="AJ91" s="348"/>
      <c r="AK91" s="348"/>
      <c r="AL91" s="353"/>
      <c r="AM91" s="349"/>
      <c r="AN91" s="348"/>
      <c r="AO91" s="348"/>
      <c r="AP91" s="348"/>
      <c r="AQ91" s="348"/>
      <c r="AR91" s="348"/>
      <c r="AS91" s="348">
        <f t="shared" si="47"/>
        <v>4550</v>
      </c>
      <c r="AT91" s="354"/>
      <c r="AU91" s="355">
        <f>VLOOKUP(BW91,hr.个税累计数据!C:DS,121,0)</f>
        <v>25657.7</v>
      </c>
      <c r="AV91" s="348">
        <f>IF(AU91-5000*N91-VLOOKUP(A91,hr.个税累计数据!C:DT,122,0)-VLOOKUP(A91,hr.个税累计数据!C:DU,123,0)&gt;0,AU91-5000*N91-VLOOKUP(A91,hr.个税累计数据!C:DT,122,0)-VLOOKUP(A91,hr.个税累计数据!C:DU,123,0),0)</f>
        <v>0</v>
      </c>
      <c r="AW91" s="348">
        <f>VLOOKUP(BW91,hr.个税累计数据!C:DV,124,0)</f>
        <v>0</v>
      </c>
      <c r="AX91" s="348"/>
      <c r="AY91" s="349">
        <f>IF(ROUND(MAX(AV91*{0.03,0.1,0.2,0.25,0.3,0.35,0.45}-{0,210,1410,2660,4410,7160,15160}*12)-AW91,2)&lt;=0,0,ROUND(MAX(AV91*{0.03,0.1,0.2,0.25,0.3,0.35,0.45}-{0,210,1410,2660,4410,7160,15160}*12)-AW91,2))</f>
        <v>0</v>
      </c>
      <c r="AZ91" s="348">
        <f t="shared" si="40"/>
        <v>0</v>
      </c>
      <c r="BA91" s="348"/>
      <c r="BB91" s="348">
        <f t="shared" si="41"/>
        <v>4550</v>
      </c>
      <c r="BC91" s="353"/>
      <c r="BD91" s="349">
        <f t="shared" si="42"/>
        <v>4550</v>
      </c>
      <c r="BE91" s="356"/>
      <c r="BF91" s="348"/>
      <c r="BG91" s="348"/>
      <c r="BH91" s="348"/>
      <c r="BI91" s="348"/>
      <c r="BJ91" s="348"/>
      <c r="BK91" s="353"/>
      <c r="BL91" s="349">
        <f t="shared" si="43"/>
        <v>0</v>
      </c>
      <c r="BM91" s="354"/>
      <c r="BN91" s="350"/>
      <c r="BO91" s="350"/>
      <c r="BP91" s="350"/>
      <c r="BQ91" s="350"/>
      <c r="BR91" s="349"/>
      <c r="BS91" s="349">
        <f t="shared" si="44"/>
        <v>350</v>
      </c>
      <c r="BT91" s="357">
        <v>1250</v>
      </c>
      <c r="BU91" s="357"/>
      <c r="BV91" s="358"/>
      <c r="BW91" s="359" t="str">
        <f t="shared" si="45"/>
        <v>弈工分健康殷德昌</v>
      </c>
      <c r="BX91" s="360" t="s">
        <v>258</v>
      </c>
      <c r="BY91" s="360" t="s">
        <v>366</v>
      </c>
      <c r="BZ91" s="360"/>
      <c r="CA91" s="360" t="str">
        <f>VLOOKUP(A91,hr.个税累计数据!C:C,1,0)</f>
        <v>弈工分健康殷德昌</v>
      </c>
      <c r="CB91" s="360" t="s">
        <v>465</v>
      </c>
      <c r="CC91" s="360" t="s">
        <v>466</v>
      </c>
      <c r="CD91" s="243" t="b">
        <f t="shared" si="46"/>
        <v>1</v>
      </c>
    </row>
    <row r="92" s="243" customFormat="1" ht="23" hidden="1" customHeight="1" spans="1:82">
      <c r="A92" s="343" t="str">
        <f t="shared" si="36"/>
        <v>弈工分健康高玉玲</v>
      </c>
      <c r="B92" s="343" t="s">
        <v>52</v>
      </c>
      <c r="C92" s="343" t="s">
        <v>73</v>
      </c>
      <c r="D92" s="343" t="s">
        <v>252</v>
      </c>
      <c r="E92" s="344" t="s">
        <v>52</v>
      </c>
      <c r="F92" s="343" t="s">
        <v>380</v>
      </c>
      <c r="G92" s="343" t="s">
        <v>366</v>
      </c>
      <c r="H92" s="343" t="s">
        <v>467</v>
      </c>
      <c r="I92" s="343" t="s">
        <v>467</v>
      </c>
      <c r="J92" s="343" t="s">
        <v>257</v>
      </c>
      <c r="K92" s="345">
        <f t="shared" si="37"/>
        <v>4100</v>
      </c>
      <c r="L92" s="346">
        <f t="shared" si="38"/>
        <v>4100</v>
      </c>
      <c r="M92"/>
      <c r="N92" s="347">
        <v>6</v>
      </c>
      <c r="O92" s="361">
        <v>4000</v>
      </c>
      <c r="P92" s="348"/>
      <c r="Q92" s="348">
        <f>VLOOKUP(I92,考勤调整记录!I:W,15,0)</f>
        <v>0</v>
      </c>
      <c r="R92" s="348"/>
      <c r="S92" s="348"/>
      <c r="T92" s="348"/>
      <c r="U92" s="349">
        <f t="shared" si="33"/>
        <v>4000</v>
      </c>
      <c r="V92" s="350"/>
      <c r="W92" s="350"/>
      <c r="X92" s="350"/>
      <c r="Y92" s="350"/>
      <c r="Z92" s="350"/>
      <c r="AA92" s="350"/>
      <c r="AB92" s="350">
        <v>100</v>
      </c>
      <c r="AC92" s="349">
        <f t="shared" si="39"/>
        <v>4100</v>
      </c>
      <c r="AD92" s="351"/>
      <c r="AE92" s="352">
        <v>202606</v>
      </c>
      <c r="AF92" s="348"/>
      <c r="AG92" s="348"/>
      <c r="AH92" s="348"/>
      <c r="AI92" s="348"/>
      <c r="AJ92" s="348"/>
      <c r="AK92" s="348"/>
      <c r="AL92" s="353"/>
      <c r="AM92" s="349"/>
      <c r="AN92" s="348"/>
      <c r="AO92" s="348"/>
      <c r="AP92" s="348"/>
      <c r="AQ92" s="348"/>
      <c r="AR92" s="348"/>
      <c r="AS92" s="348">
        <f t="shared" si="47"/>
        <v>4100</v>
      </c>
      <c r="AT92" s="354"/>
      <c r="AU92" s="355">
        <f>VLOOKUP(BW92,hr.个税累计数据!C:DS,121,0)</f>
        <v>24273.85</v>
      </c>
      <c r="AV92" s="348">
        <f>IF(AU92-5000*N92-VLOOKUP(A92,hr.个税累计数据!C:DT,122,0)-VLOOKUP(A92,hr.个税累计数据!C:DU,123,0)&gt;0,AU92-5000*N92-VLOOKUP(A92,hr.个税累计数据!C:DT,122,0)-VLOOKUP(A92,hr.个税累计数据!C:DU,123,0),0)</f>
        <v>0</v>
      </c>
      <c r="AW92" s="348">
        <f>VLOOKUP(BW92,hr.个税累计数据!C:DV,124,0)</f>
        <v>0</v>
      </c>
      <c r="AX92" s="348"/>
      <c r="AY92" s="349">
        <f>IF(ROUND(MAX(AV92*{0.03,0.1,0.2,0.25,0.3,0.35,0.45}-{0,210,1410,2660,4410,7160,15160}*12)-AW92,2)&lt;=0,0,ROUND(MAX(AV92*{0.03,0.1,0.2,0.25,0.3,0.35,0.45}-{0,210,1410,2660,4410,7160,15160}*12)-AW92,2))</f>
        <v>0</v>
      </c>
      <c r="AZ92" s="348">
        <f t="shared" si="40"/>
        <v>0</v>
      </c>
      <c r="BA92" s="348"/>
      <c r="BB92" s="348">
        <f t="shared" si="41"/>
        <v>4100</v>
      </c>
      <c r="BC92" s="353"/>
      <c r="BD92" s="349">
        <f t="shared" si="42"/>
        <v>4100</v>
      </c>
      <c r="BE92" s="356"/>
      <c r="BF92" s="348"/>
      <c r="BG92" s="348"/>
      <c r="BH92" s="348"/>
      <c r="BI92" s="348"/>
      <c r="BJ92" s="348"/>
      <c r="BK92" s="353"/>
      <c r="BL92" s="349">
        <f t="shared" si="43"/>
        <v>0</v>
      </c>
      <c r="BM92" s="354"/>
      <c r="BN92" s="350"/>
      <c r="BO92" s="350"/>
      <c r="BP92" s="350"/>
      <c r="BQ92" s="350"/>
      <c r="BR92" s="349"/>
      <c r="BS92" s="349">
        <f t="shared" si="44"/>
        <v>100</v>
      </c>
      <c r="BT92" s="357">
        <v>1250</v>
      </c>
      <c r="BU92" s="357"/>
      <c r="BV92" s="358"/>
      <c r="BW92" s="359" t="str">
        <f t="shared" si="45"/>
        <v>弈工分健康高玉玲</v>
      </c>
      <c r="BX92" s="360" t="s">
        <v>258</v>
      </c>
      <c r="BY92" s="360" t="s">
        <v>366</v>
      </c>
      <c r="BZ92" s="360"/>
      <c r="CA92" s="360" t="str">
        <f>VLOOKUP(A92,hr.个税累计数据!C:C,1,0)</f>
        <v>弈工分健康高玉玲</v>
      </c>
      <c r="CB92" s="360" t="s">
        <v>468</v>
      </c>
      <c r="CC92" s="360" t="s">
        <v>466</v>
      </c>
      <c r="CD92" s="243" t="b">
        <f t="shared" si="46"/>
        <v>1</v>
      </c>
    </row>
    <row r="93" s="243" customFormat="1" ht="23" hidden="1" customHeight="1" spans="1:82">
      <c r="A93" s="343" t="str">
        <f t="shared" si="36"/>
        <v>弈工分健康丁成英</v>
      </c>
      <c r="B93" s="343" t="s">
        <v>52</v>
      </c>
      <c r="C93" s="343" t="s">
        <v>73</v>
      </c>
      <c r="D93" s="343" t="s">
        <v>252</v>
      </c>
      <c r="E93" s="344" t="s">
        <v>52</v>
      </c>
      <c r="F93" s="343" t="s">
        <v>380</v>
      </c>
      <c r="G93" s="343" t="s">
        <v>366</v>
      </c>
      <c r="H93" s="343" t="s">
        <v>469</v>
      </c>
      <c r="I93" s="343" t="s">
        <v>469</v>
      </c>
      <c r="J93" s="343" t="s">
        <v>257</v>
      </c>
      <c r="K93" s="345">
        <f t="shared" si="37"/>
        <v>4000</v>
      </c>
      <c r="L93" s="346">
        <f t="shared" si="38"/>
        <v>4000</v>
      </c>
      <c r="M93"/>
      <c r="N93" s="347">
        <v>6</v>
      </c>
      <c r="O93" s="361">
        <v>4000</v>
      </c>
      <c r="P93" s="348"/>
      <c r="Q93" s="348">
        <f>VLOOKUP(I93,考勤调整记录!I:W,15,0)</f>
        <v>0</v>
      </c>
      <c r="R93" s="348"/>
      <c r="S93" s="348"/>
      <c r="T93" s="348"/>
      <c r="U93" s="349">
        <f t="shared" si="33"/>
        <v>4000</v>
      </c>
      <c r="V93" s="350"/>
      <c r="W93" s="350"/>
      <c r="X93" s="350"/>
      <c r="Y93" s="350"/>
      <c r="Z93" s="350"/>
      <c r="AA93" s="350"/>
      <c r="AB93" s="350"/>
      <c r="AC93" s="349">
        <f t="shared" si="39"/>
        <v>4000</v>
      </c>
      <c r="AD93" s="351"/>
      <c r="AE93" s="352">
        <v>202606</v>
      </c>
      <c r="AF93" s="348"/>
      <c r="AG93" s="348"/>
      <c r="AH93" s="348"/>
      <c r="AI93" s="348"/>
      <c r="AJ93" s="348"/>
      <c r="AK93" s="348"/>
      <c r="AL93" s="353"/>
      <c r="AM93" s="349"/>
      <c r="AN93" s="348"/>
      <c r="AO93" s="348"/>
      <c r="AP93" s="348"/>
      <c r="AQ93" s="348"/>
      <c r="AR93" s="348"/>
      <c r="AS93" s="348">
        <f t="shared" si="47"/>
        <v>4000</v>
      </c>
      <c r="AT93" s="354"/>
      <c r="AU93" s="355">
        <f>VLOOKUP(BW93,hr.个税累计数据!C:DS,121,0)</f>
        <v>24646.16</v>
      </c>
      <c r="AV93" s="348">
        <f>IF(AU93-5000*N93-VLOOKUP(A93,hr.个税累计数据!C:DT,122,0)-VLOOKUP(A93,hr.个税累计数据!C:DU,123,0)&gt;0,AU93-5000*N93-VLOOKUP(A93,hr.个税累计数据!C:DT,122,0)-VLOOKUP(A93,hr.个税累计数据!C:DU,123,0),0)</f>
        <v>0</v>
      </c>
      <c r="AW93" s="348">
        <f>VLOOKUP(BW93,hr.个税累计数据!C:DV,124,0)</f>
        <v>0</v>
      </c>
      <c r="AX93" s="348"/>
      <c r="AY93" s="349">
        <f>IF(ROUND(MAX(AV93*{0.03,0.1,0.2,0.25,0.3,0.35,0.45}-{0,210,1410,2660,4410,7160,15160}*12)-AW93,2)&lt;=0,0,ROUND(MAX(AV93*{0.03,0.1,0.2,0.25,0.3,0.35,0.45}-{0,210,1410,2660,4410,7160,15160}*12)-AW93,2))</f>
        <v>0</v>
      </c>
      <c r="AZ93" s="348">
        <f t="shared" si="40"/>
        <v>0</v>
      </c>
      <c r="BA93" s="348"/>
      <c r="BB93" s="348">
        <f t="shared" si="41"/>
        <v>4000</v>
      </c>
      <c r="BC93" s="353"/>
      <c r="BD93" s="349">
        <f t="shared" si="42"/>
        <v>4000</v>
      </c>
      <c r="BE93" s="356"/>
      <c r="BF93" s="348"/>
      <c r="BG93" s="348"/>
      <c r="BH93" s="348"/>
      <c r="BI93" s="348"/>
      <c r="BJ93" s="348"/>
      <c r="BK93" s="353"/>
      <c r="BL93" s="349">
        <f t="shared" si="43"/>
        <v>0</v>
      </c>
      <c r="BM93" s="354"/>
      <c r="BN93" s="350"/>
      <c r="BO93" s="350"/>
      <c r="BP93" s="350"/>
      <c r="BQ93" s="350"/>
      <c r="BR93" s="349"/>
      <c r="BS93" s="349">
        <f t="shared" si="44"/>
        <v>0</v>
      </c>
      <c r="BT93" s="357">
        <v>1250</v>
      </c>
      <c r="BU93" s="357"/>
      <c r="BV93" s="358"/>
      <c r="BW93" s="359" t="str">
        <f t="shared" si="45"/>
        <v>弈工分健康丁成英</v>
      </c>
      <c r="BX93" s="360" t="s">
        <v>258</v>
      </c>
      <c r="BY93" s="360" t="s">
        <v>366</v>
      </c>
      <c r="BZ93" s="360"/>
      <c r="CA93" s="360" t="str">
        <f>VLOOKUP(A93,hr.个税累计数据!C:C,1,0)</f>
        <v>弈工分健康丁成英</v>
      </c>
      <c r="CB93" s="360" t="s">
        <v>470</v>
      </c>
      <c r="CC93" s="360" t="s">
        <v>466</v>
      </c>
      <c r="CD93" s="243" t="b">
        <f t="shared" si="46"/>
        <v>1</v>
      </c>
    </row>
    <row r="94" s="243" customFormat="1" ht="23" hidden="1" customHeight="1" spans="1:82">
      <c r="A94" s="343" t="str">
        <f t="shared" si="36"/>
        <v>弈工分健康孙建芳</v>
      </c>
      <c r="B94" s="343" t="s">
        <v>52</v>
      </c>
      <c r="C94" s="343" t="s">
        <v>73</v>
      </c>
      <c r="D94" s="343" t="s">
        <v>252</v>
      </c>
      <c r="E94" s="344" t="s">
        <v>52</v>
      </c>
      <c r="F94" s="343" t="s">
        <v>380</v>
      </c>
      <c r="G94" s="343" t="s">
        <v>366</v>
      </c>
      <c r="H94" s="343" t="s">
        <v>471</v>
      </c>
      <c r="I94" s="343" t="s">
        <v>471</v>
      </c>
      <c r="J94" s="343" t="s">
        <v>257</v>
      </c>
      <c r="K94" s="345">
        <f t="shared" si="37"/>
        <v>4507.69</v>
      </c>
      <c r="L94" s="346">
        <f t="shared" si="38"/>
        <v>4507.69</v>
      </c>
      <c r="M94"/>
      <c r="N94" s="347">
        <v>6</v>
      </c>
      <c r="O94" s="361">
        <v>4000</v>
      </c>
      <c r="P94" s="348"/>
      <c r="Q94" s="348">
        <f>VLOOKUP(I94,考勤调整记录!I:W,15,0)</f>
        <v>507.69</v>
      </c>
      <c r="R94" s="348"/>
      <c r="S94" s="348"/>
      <c r="T94" s="348"/>
      <c r="U94" s="349">
        <f t="shared" si="33"/>
        <v>4507.69</v>
      </c>
      <c r="V94" s="350"/>
      <c r="W94" s="350"/>
      <c r="X94" s="350"/>
      <c r="Y94" s="350"/>
      <c r="Z94" s="350"/>
      <c r="AA94" s="350"/>
      <c r="AB94" s="350"/>
      <c r="AC94" s="349">
        <f t="shared" si="39"/>
        <v>4507.69</v>
      </c>
      <c r="AD94" s="351"/>
      <c r="AE94" s="352">
        <v>202606</v>
      </c>
      <c r="AF94" s="348"/>
      <c r="AG94" s="348"/>
      <c r="AH94" s="348"/>
      <c r="AI94" s="348"/>
      <c r="AJ94" s="348"/>
      <c r="AK94" s="348"/>
      <c r="AL94" s="353"/>
      <c r="AM94" s="349"/>
      <c r="AN94" s="348"/>
      <c r="AO94" s="348"/>
      <c r="AP94" s="348"/>
      <c r="AQ94" s="348"/>
      <c r="AR94" s="348"/>
      <c r="AS94" s="348">
        <f t="shared" si="47"/>
        <v>4507.69</v>
      </c>
      <c r="AT94" s="354"/>
      <c r="AU94" s="355">
        <f>VLOOKUP(BW94,hr.个税累计数据!C:DS,121,0)</f>
        <v>23876.92</v>
      </c>
      <c r="AV94" s="348">
        <f>IF(AU94-5000*N94-VLOOKUP(A94,hr.个税累计数据!C:DT,122,0)-VLOOKUP(A94,hr.个税累计数据!C:DU,123,0)&gt;0,AU94-5000*N94-VLOOKUP(A94,hr.个税累计数据!C:DT,122,0)-VLOOKUP(A94,hr.个税累计数据!C:DU,123,0),0)</f>
        <v>0</v>
      </c>
      <c r="AW94" s="348">
        <f>VLOOKUP(BW94,hr.个税累计数据!C:DV,124,0)</f>
        <v>0</v>
      </c>
      <c r="AX94" s="348"/>
      <c r="AY94" s="349">
        <f>IF(ROUND(MAX(AV94*{0.03,0.1,0.2,0.25,0.3,0.35,0.45}-{0,210,1410,2660,4410,7160,15160}*12)-AW94,2)&lt;=0,0,ROUND(MAX(AV94*{0.03,0.1,0.2,0.25,0.3,0.35,0.45}-{0,210,1410,2660,4410,7160,15160}*12)-AW94,2))</f>
        <v>0</v>
      </c>
      <c r="AZ94" s="348">
        <f t="shared" si="40"/>
        <v>0</v>
      </c>
      <c r="BA94" s="348"/>
      <c r="BB94" s="348">
        <f t="shared" si="41"/>
        <v>4507.69</v>
      </c>
      <c r="BC94" s="353"/>
      <c r="BD94" s="349">
        <f t="shared" si="42"/>
        <v>4507.69</v>
      </c>
      <c r="BE94" s="356"/>
      <c r="BF94" s="348"/>
      <c r="BG94" s="348"/>
      <c r="BH94" s="348"/>
      <c r="BI94" s="348"/>
      <c r="BJ94" s="348"/>
      <c r="BK94" s="353"/>
      <c r="BL94" s="349">
        <f t="shared" si="43"/>
        <v>0</v>
      </c>
      <c r="BM94" s="354"/>
      <c r="BN94" s="350"/>
      <c r="BO94" s="350"/>
      <c r="BP94" s="350"/>
      <c r="BQ94" s="350"/>
      <c r="BR94" s="349"/>
      <c r="BS94" s="349">
        <f t="shared" si="44"/>
        <v>0</v>
      </c>
      <c r="BT94" s="357">
        <v>1250</v>
      </c>
      <c r="BU94" s="357"/>
      <c r="BV94" s="358"/>
      <c r="BW94" s="359" t="str">
        <f t="shared" si="45"/>
        <v>弈工分健康孙建芳</v>
      </c>
      <c r="BX94" s="360" t="s">
        <v>258</v>
      </c>
      <c r="BY94" s="360" t="s">
        <v>366</v>
      </c>
      <c r="BZ94" s="360"/>
      <c r="CA94" s="360" t="str">
        <f>VLOOKUP(A94,hr.个税累计数据!C:C,1,0)</f>
        <v>弈工分健康孙建芳</v>
      </c>
      <c r="CB94" s="360" t="s">
        <v>472</v>
      </c>
      <c r="CC94" s="360" t="s">
        <v>466</v>
      </c>
      <c r="CD94" s="243" t="b">
        <f t="shared" si="46"/>
        <v>1</v>
      </c>
    </row>
    <row r="95" s="243" customFormat="1" ht="23" hidden="1" customHeight="1" spans="1:82">
      <c r="A95" s="343" t="str">
        <f t="shared" si="36"/>
        <v>弈工分健康黄连兵</v>
      </c>
      <c r="B95" s="343" t="s">
        <v>51</v>
      </c>
      <c r="C95" s="343" t="s">
        <v>73</v>
      </c>
      <c r="D95" s="343" t="s">
        <v>252</v>
      </c>
      <c r="E95" s="344" t="s">
        <v>51</v>
      </c>
      <c r="F95" s="343" t="s">
        <v>436</v>
      </c>
      <c r="G95" s="343" t="s">
        <v>473</v>
      </c>
      <c r="H95" s="343" t="s">
        <v>474</v>
      </c>
      <c r="I95" s="343" t="s">
        <v>474</v>
      </c>
      <c r="J95" s="343" t="s">
        <v>257</v>
      </c>
      <c r="K95" s="345">
        <f t="shared" si="37"/>
        <v>9250.55</v>
      </c>
      <c r="L95" s="346">
        <f t="shared" si="38"/>
        <v>6382.02</v>
      </c>
      <c r="M95"/>
      <c r="N95" s="347">
        <v>6</v>
      </c>
      <c r="O95" s="361">
        <v>3200</v>
      </c>
      <c r="P95" s="348"/>
      <c r="Q95" s="348">
        <f>VLOOKUP(I95,考勤调整记录!I:W,15,0)</f>
        <v>433.33</v>
      </c>
      <c r="R95" s="348">
        <v>3300</v>
      </c>
      <c r="S95" s="348"/>
      <c r="T95" s="348"/>
      <c r="U95" s="349">
        <f t="shared" si="33"/>
        <v>6933.33</v>
      </c>
      <c r="V95" s="350"/>
      <c r="W95" s="350"/>
      <c r="X95" s="350"/>
      <c r="Y95" s="350">
        <v>300</v>
      </c>
      <c r="Z95" s="350"/>
      <c r="AA95" s="350">
        <v>100</v>
      </c>
      <c r="AB95" s="350"/>
      <c r="AC95" s="349">
        <f t="shared" si="39"/>
        <v>7333.33</v>
      </c>
      <c r="AD95" s="351"/>
      <c r="AE95" s="352">
        <v>202606</v>
      </c>
      <c r="AF95" s="348">
        <f>VLOOKUP(BW95,'HR|社保明细'!C:F,4,0)</f>
        <v>7460</v>
      </c>
      <c r="AG95" s="348">
        <f>VLOOKUP($BW95,'HR|社保明细'!$C:G,5,0)</f>
        <v>0</v>
      </c>
      <c r="AH95" s="348">
        <f>VLOOKUP($BW95,'HR|社保明细'!$C:H,6,0)</f>
        <v>596.8</v>
      </c>
      <c r="AI95" s="348">
        <f>VLOOKUP($BW95,'HR|社保明细'!$C:I,7,0)</f>
        <v>149.2</v>
      </c>
      <c r="AJ95" s="348">
        <f>VLOOKUP($BW95,'HR|社保明细'!$C:J,8,0)</f>
        <v>37.3</v>
      </c>
      <c r="AK95" s="348">
        <f>VLOOKUP($BW95,'HR|社保明细'!$C:K,9,0)</f>
        <v>0</v>
      </c>
      <c r="AL95" s="353">
        <f>VLOOKUP($BW95,'HR|社保明细'!$C:L,10,0)</f>
        <v>0</v>
      </c>
      <c r="AM95" s="349">
        <f t="shared" ref="AM95:AM101" si="48">SUM(AH95:AL95)</f>
        <v>783.3</v>
      </c>
      <c r="AN95" s="348"/>
      <c r="AO95" s="348"/>
      <c r="AP95" s="348"/>
      <c r="AQ95" s="348"/>
      <c r="AR95" s="348"/>
      <c r="AS95" s="348">
        <f t="shared" si="47"/>
        <v>6550.03</v>
      </c>
      <c r="AT95" s="354"/>
      <c r="AU95" s="355">
        <f>VLOOKUP(BW95,hr.个税累计数据!C:DS,121,0)</f>
        <v>43433.33</v>
      </c>
      <c r="AV95" s="348">
        <f>IF(AU95-5000*N95-VLOOKUP(A95,hr.个税累计数据!C:DT,122,0)-VLOOKUP(A95,hr.个税累计数据!C:DU,123,0)&gt;0,AU95-5000*N95-VLOOKUP(A95,hr.个税累计数据!C:DT,122,0)-VLOOKUP(A95,hr.个税累计数据!C:DU,123,0),0)</f>
        <v>8733.53</v>
      </c>
      <c r="AW95" s="348">
        <f>VLOOKUP(BW95,hr.个税累计数据!C:DV,124,0)</f>
        <v>94</v>
      </c>
      <c r="AX95" s="348"/>
      <c r="AY95" s="349">
        <f>IF(ROUND(MAX(AV95*{0.03,0.1,0.2,0.25,0.3,0.35,0.45}-{0,210,1410,2660,4410,7160,15160}*12)-AW95,2)&lt;=0,0,ROUND(MAX(AV95*{0.03,0.1,0.2,0.25,0.3,0.35,0.45}-{0,210,1410,2660,4410,7160,15160}*12)-AW95,2))</f>
        <v>168.01</v>
      </c>
      <c r="AZ95" s="348">
        <f t="shared" si="40"/>
        <v>0</v>
      </c>
      <c r="BA95" s="348"/>
      <c r="BB95" s="348">
        <f t="shared" si="41"/>
        <v>6382.02</v>
      </c>
      <c r="BC95" s="353"/>
      <c r="BD95" s="349">
        <f t="shared" si="42"/>
        <v>6382.02</v>
      </c>
      <c r="BE95" s="356">
        <f>VLOOKUP($BW95,'HR|社保明细'!C:T,11,0)</f>
        <v>1193.6</v>
      </c>
      <c r="BF95" s="348">
        <f>VLOOKUP($BW95,'HR|社保明细'!$C:U,12,0)</f>
        <v>596.8</v>
      </c>
      <c r="BG95" s="348">
        <f>VLOOKUP($BW95,'HR|社保明细'!$C:V,13,0)</f>
        <v>37.3</v>
      </c>
      <c r="BH95" s="348">
        <f>VLOOKUP($BW95,'HR|社保明细'!$C:W,14,0)</f>
        <v>14.92</v>
      </c>
      <c r="BI95" s="348">
        <f>VLOOKUP($BW95,'HR|社保明细'!$C:X,15,0)</f>
        <v>74.6</v>
      </c>
      <c r="BJ95" s="348">
        <f>VLOOKUP($BW95,'HR|社保明细'!$C:Y,16,0)</f>
        <v>0</v>
      </c>
      <c r="BK95" s="353">
        <f>VLOOKUP($BW95,'HR|社保明细'!$C:Z,17,0)</f>
        <v>0</v>
      </c>
      <c r="BL95" s="349">
        <f t="shared" si="43"/>
        <v>1917.22</v>
      </c>
      <c r="BM95" s="354"/>
      <c r="BN95" s="350"/>
      <c r="BO95" s="350"/>
      <c r="BP95" s="350"/>
      <c r="BQ95" s="350"/>
      <c r="BR95" s="349"/>
      <c r="BS95" s="349">
        <f t="shared" si="44"/>
        <v>400</v>
      </c>
      <c r="BT95" s="357">
        <v>1250</v>
      </c>
      <c r="BU95" s="357"/>
      <c r="BV95" s="358"/>
      <c r="BW95" s="359" t="str">
        <f t="shared" si="45"/>
        <v>弈工分健康黄连兵</v>
      </c>
      <c r="BX95" s="360" t="s">
        <v>258</v>
      </c>
      <c r="BY95" s="360" t="s">
        <v>475</v>
      </c>
      <c r="BZ95" s="360"/>
      <c r="CA95" s="360" t="str">
        <f>VLOOKUP(A95,hr.个税累计数据!C:C,1,0)</f>
        <v>弈工分健康黄连兵</v>
      </c>
      <c r="CB95" s="360" t="s">
        <v>476</v>
      </c>
      <c r="CC95" s="360"/>
      <c r="CD95" s="243" t="b">
        <f t="shared" si="46"/>
        <v>1</v>
      </c>
    </row>
    <row r="96" s="243" customFormat="1" ht="23" hidden="1" customHeight="1" spans="1:82">
      <c r="A96" s="343" t="str">
        <f t="shared" si="36"/>
        <v>弈工分健康庄艳林</v>
      </c>
      <c r="B96" s="343" t="s">
        <v>51</v>
      </c>
      <c r="C96" s="343" t="s">
        <v>73</v>
      </c>
      <c r="D96" s="343" t="s">
        <v>252</v>
      </c>
      <c r="E96" s="344" t="s">
        <v>51</v>
      </c>
      <c r="F96" s="343" t="s">
        <v>436</v>
      </c>
      <c r="G96" s="343" t="s">
        <v>473</v>
      </c>
      <c r="H96" s="343" t="s">
        <v>477</v>
      </c>
      <c r="I96" s="343" t="s">
        <v>477</v>
      </c>
      <c r="J96" s="343" t="s">
        <v>257</v>
      </c>
      <c r="K96" s="345">
        <f t="shared" si="37"/>
        <v>9350.55</v>
      </c>
      <c r="L96" s="346">
        <f t="shared" si="38"/>
        <v>6600.53</v>
      </c>
      <c r="M96"/>
      <c r="N96" s="347">
        <v>6</v>
      </c>
      <c r="O96" s="361">
        <v>3200</v>
      </c>
      <c r="P96" s="348"/>
      <c r="Q96" s="348">
        <f>VLOOKUP(I96,考勤调整记录!I:W,15,0)</f>
        <v>433.33</v>
      </c>
      <c r="R96" s="348">
        <v>3300</v>
      </c>
      <c r="S96" s="348"/>
      <c r="T96" s="348"/>
      <c r="U96" s="349">
        <f t="shared" si="33"/>
        <v>6933.33</v>
      </c>
      <c r="V96" s="350"/>
      <c r="W96" s="350"/>
      <c r="X96" s="350"/>
      <c r="Y96" s="350">
        <v>300</v>
      </c>
      <c r="Z96" s="350"/>
      <c r="AA96" s="350">
        <v>200</v>
      </c>
      <c r="AB96" s="350"/>
      <c r="AC96" s="349">
        <f t="shared" si="39"/>
        <v>7433.33</v>
      </c>
      <c r="AD96" s="351"/>
      <c r="AE96" s="352">
        <v>202606</v>
      </c>
      <c r="AF96" s="348">
        <f>VLOOKUP(BW96,'HR|社保明细'!C:F,4,0)</f>
        <v>7460</v>
      </c>
      <c r="AG96" s="348">
        <f>VLOOKUP($BW96,'HR|社保明细'!$C:G,5,0)</f>
        <v>0</v>
      </c>
      <c r="AH96" s="348">
        <f>VLOOKUP($BW96,'HR|社保明细'!$C:H,6,0)</f>
        <v>596.8</v>
      </c>
      <c r="AI96" s="348">
        <f>VLOOKUP($BW96,'HR|社保明细'!$C:I,7,0)</f>
        <v>149.2</v>
      </c>
      <c r="AJ96" s="348">
        <f>VLOOKUP($BW96,'HR|社保明细'!$C:J,8,0)</f>
        <v>37.3</v>
      </c>
      <c r="AK96" s="348">
        <f>VLOOKUP($BW96,'HR|社保明细'!$C:K,9,0)</f>
        <v>0</v>
      </c>
      <c r="AL96" s="353">
        <f>VLOOKUP($BW96,'HR|社保明细'!$C:L,10,0)</f>
        <v>0</v>
      </c>
      <c r="AM96" s="349">
        <f t="shared" si="48"/>
        <v>783.3</v>
      </c>
      <c r="AN96" s="348"/>
      <c r="AO96" s="348"/>
      <c r="AP96" s="348"/>
      <c r="AQ96" s="348"/>
      <c r="AR96" s="348"/>
      <c r="AS96" s="348">
        <f t="shared" si="47"/>
        <v>6650.03</v>
      </c>
      <c r="AT96" s="354"/>
      <c r="AU96" s="355">
        <f>VLOOKUP(BW96,hr.个税累计数据!C:DS,121,0)</f>
        <v>43633.33</v>
      </c>
      <c r="AV96" s="348">
        <f>IF(AU96-5000*N96-VLOOKUP(A96,hr.个税累计数据!C:DT,122,0)-VLOOKUP(A96,hr.个税累计数据!C:DU,123,0)&gt;0,AU96-5000*N96-VLOOKUP(A96,hr.个税累计数据!C:DT,122,0)-VLOOKUP(A96,hr.个税累计数据!C:DU,123,0),0)</f>
        <v>8933.53</v>
      </c>
      <c r="AW96" s="348">
        <f>VLOOKUP(BW96,hr.个税累计数据!C:DV,124,0)</f>
        <v>218.51</v>
      </c>
      <c r="AX96" s="348"/>
      <c r="AY96" s="349">
        <f>IF(ROUND(MAX(AV96*{0.03,0.1,0.2,0.25,0.3,0.35,0.45}-{0,210,1410,2660,4410,7160,15160}*12)-AW96,2)&lt;=0,0,ROUND(MAX(AV96*{0.03,0.1,0.2,0.25,0.3,0.35,0.45}-{0,210,1410,2660,4410,7160,15160}*12)-AW96,2))</f>
        <v>49.5</v>
      </c>
      <c r="AZ96" s="348">
        <f t="shared" si="40"/>
        <v>0</v>
      </c>
      <c r="BA96" s="348"/>
      <c r="BB96" s="348">
        <f t="shared" si="41"/>
        <v>6600.53</v>
      </c>
      <c r="BC96" s="353"/>
      <c r="BD96" s="349">
        <f t="shared" si="42"/>
        <v>6600.53</v>
      </c>
      <c r="BE96" s="356">
        <f>VLOOKUP($BW96,'HR|社保明细'!C:T,11,0)</f>
        <v>1193.6</v>
      </c>
      <c r="BF96" s="348">
        <f>VLOOKUP($BW96,'HR|社保明细'!$C:U,12,0)</f>
        <v>596.8</v>
      </c>
      <c r="BG96" s="348">
        <f>VLOOKUP($BW96,'HR|社保明细'!$C:V,13,0)</f>
        <v>37.3</v>
      </c>
      <c r="BH96" s="348">
        <f>VLOOKUP($BW96,'HR|社保明细'!$C:W,14,0)</f>
        <v>14.92</v>
      </c>
      <c r="BI96" s="348">
        <f>VLOOKUP($BW96,'HR|社保明细'!$C:X,15,0)</f>
        <v>74.6</v>
      </c>
      <c r="BJ96" s="348">
        <f>VLOOKUP($BW96,'HR|社保明细'!$C:Y,16,0)</f>
        <v>0</v>
      </c>
      <c r="BK96" s="353">
        <f>VLOOKUP($BW96,'HR|社保明细'!$C:Z,17,0)</f>
        <v>0</v>
      </c>
      <c r="BL96" s="349">
        <f t="shared" si="43"/>
        <v>1917.22</v>
      </c>
      <c r="BM96" s="354"/>
      <c r="BN96" s="350"/>
      <c r="BO96" s="350"/>
      <c r="BP96" s="350"/>
      <c r="BQ96" s="350"/>
      <c r="BR96" s="349"/>
      <c r="BS96" s="349">
        <f t="shared" si="44"/>
        <v>500</v>
      </c>
      <c r="BT96" s="357">
        <v>1250</v>
      </c>
      <c r="BU96" s="357"/>
      <c r="BV96" s="358"/>
      <c r="BW96" s="359" t="str">
        <f t="shared" si="45"/>
        <v>弈工分健康庄艳林</v>
      </c>
      <c r="BX96" s="360" t="s">
        <v>258</v>
      </c>
      <c r="BY96" s="360" t="s">
        <v>475</v>
      </c>
      <c r="BZ96" s="360"/>
      <c r="CA96" s="360" t="str">
        <f>VLOOKUP(A96,hr.个税累计数据!C:C,1,0)</f>
        <v>弈工分健康庄艳林</v>
      </c>
      <c r="CB96" s="360" t="s">
        <v>478</v>
      </c>
      <c r="CC96" s="360"/>
      <c r="CD96" s="243" t="b">
        <f t="shared" si="46"/>
        <v>1</v>
      </c>
    </row>
    <row r="97" s="243" customFormat="1" ht="23" hidden="1" customHeight="1" spans="1:82">
      <c r="A97" s="343" t="str">
        <f t="shared" si="36"/>
        <v>弈工分健康谢小强</v>
      </c>
      <c r="B97" s="343" t="s">
        <v>51</v>
      </c>
      <c r="C97" s="343" t="s">
        <v>73</v>
      </c>
      <c r="D97" s="343" t="s">
        <v>252</v>
      </c>
      <c r="E97" s="344" t="s">
        <v>51</v>
      </c>
      <c r="F97" s="343" t="s">
        <v>436</v>
      </c>
      <c r="G97" s="343" t="s">
        <v>473</v>
      </c>
      <c r="H97" s="343" t="s">
        <v>479</v>
      </c>
      <c r="I97" s="343" t="s">
        <v>479</v>
      </c>
      <c r="J97" s="343" t="s">
        <v>257</v>
      </c>
      <c r="K97" s="345">
        <f t="shared" si="37"/>
        <v>9350.55</v>
      </c>
      <c r="L97" s="346">
        <f t="shared" si="38"/>
        <v>6600.52</v>
      </c>
      <c r="M97" s="362"/>
      <c r="N97" s="347">
        <v>6</v>
      </c>
      <c r="O97" s="361">
        <v>3200</v>
      </c>
      <c r="P97" s="348"/>
      <c r="Q97" s="348">
        <f>VLOOKUP(I97,考勤调整记录!I:W,15,0)</f>
        <v>433.33</v>
      </c>
      <c r="R97" s="348">
        <v>3300</v>
      </c>
      <c r="S97" s="348"/>
      <c r="T97" s="348"/>
      <c r="U97" s="349">
        <f t="shared" si="33"/>
        <v>6933.33</v>
      </c>
      <c r="V97" s="350"/>
      <c r="W97" s="350"/>
      <c r="X97" s="350"/>
      <c r="Y97" s="350">
        <v>300</v>
      </c>
      <c r="Z97" s="350"/>
      <c r="AA97" s="350">
        <v>200</v>
      </c>
      <c r="AB97" s="350"/>
      <c r="AC97" s="349">
        <f t="shared" si="39"/>
        <v>7433.33</v>
      </c>
      <c r="AD97" s="351"/>
      <c r="AE97" s="352">
        <v>202606</v>
      </c>
      <c r="AF97" s="348">
        <f>VLOOKUP(BW97,'HR|社保明细'!C:F,4,0)</f>
        <v>7460</v>
      </c>
      <c r="AG97" s="348">
        <f>VLOOKUP($BW97,'HR|社保明细'!$C:G,5,0)</f>
        <v>0</v>
      </c>
      <c r="AH97" s="348">
        <f>VLOOKUP($BW97,'HR|社保明细'!$C:H,6,0)</f>
        <v>596.8</v>
      </c>
      <c r="AI97" s="348">
        <f>VLOOKUP($BW97,'HR|社保明细'!$C:I,7,0)</f>
        <v>149.2</v>
      </c>
      <c r="AJ97" s="348">
        <f>VLOOKUP($BW97,'HR|社保明细'!$C:J,8,0)</f>
        <v>37.3</v>
      </c>
      <c r="AK97" s="348">
        <f>VLOOKUP($BW97,'HR|社保明细'!$C:K,9,0)</f>
        <v>0</v>
      </c>
      <c r="AL97" s="353">
        <f>VLOOKUP($BW97,'HR|社保明细'!$C:L,10,0)</f>
        <v>0</v>
      </c>
      <c r="AM97" s="349">
        <f t="shared" si="48"/>
        <v>783.3</v>
      </c>
      <c r="AN97" s="348"/>
      <c r="AO97" s="348"/>
      <c r="AP97" s="348"/>
      <c r="AQ97" s="348"/>
      <c r="AR97" s="348"/>
      <c r="AS97" s="348">
        <f t="shared" si="47"/>
        <v>6650.03</v>
      </c>
      <c r="AT97" s="354"/>
      <c r="AU97" s="355">
        <f>VLOOKUP(BW97,hr.个税累计数据!C:DS,121,0)</f>
        <v>39851.66</v>
      </c>
      <c r="AV97" s="348">
        <f>IF(AU97-5000*N97-VLOOKUP(A97,hr.个税累计数据!C:DT,122,0)-VLOOKUP(A97,hr.个税累计数据!C:DU,123,0)&gt;0,AU97-5000*N97-VLOOKUP(A97,hr.个税累计数据!C:DT,122,0)-VLOOKUP(A97,hr.个税累计数据!C:DU,123,0),0)</f>
        <v>5151.86</v>
      </c>
      <c r="AW97" s="348">
        <f>VLOOKUP(BW97,hr.个税累计数据!C:DV,124,0)</f>
        <v>105.05</v>
      </c>
      <c r="AX97" s="348"/>
      <c r="AY97" s="349">
        <f>IF(ROUND(MAX(AV97*{0.03,0.1,0.2,0.25,0.3,0.35,0.45}-{0,210,1410,2660,4410,7160,15160}*12)-AW97,2)&lt;=0,0,ROUND(MAX(AV97*{0.03,0.1,0.2,0.25,0.3,0.35,0.45}-{0,210,1410,2660,4410,7160,15160}*12)-AW97,2))</f>
        <v>49.51</v>
      </c>
      <c r="AZ97" s="348">
        <f t="shared" si="40"/>
        <v>0</v>
      </c>
      <c r="BA97" s="348"/>
      <c r="BB97" s="348">
        <f t="shared" si="41"/>
        <v>6600.52</v>
      </c>
      <c r="BC97" s="353"/>
      <c r="BD97" s="349">
        <f t="shared" si="42"/>
        <v>6600.52</v>
      </c>
      <c r="BE97" s="356">
        <f>VLOOKUP($BW97,'HR|社保明细'!C:T,11,0)</f>
        <v>1193.6</v>
      </c>
      <c r="BF97" s="348">
        <f>VLOOKUP($BW97,'HR|社保明细'!$C:U,12,0)</f>
        <v>596.8</v>
      </c>
      <c r="BG97" s="348">
        <f>VLOOKUP($BW97,'HR|社保明细'!$C:V,13,0)</f>
        <v>37.3</v>
      </c>
      <c r="BH97" s="348">
        <f>VLOOKUP($BW97,'HR|社保明细'!$C:W,14,0)</f>
        <v>14.92</v>
      </c>
      <c r="BI97" s="348">
        <f>VLOOKUP($BW97,'HR|社保明细'!$C:X,15,0)</f>
        <v>74.6</v>
      </c>
      <c r="BJ97" s="348">
        <f>VLOOKUP($BW97,'HR|社保明细'!$C:Y,16,0)</f>
        <v>0</v>
      </c>
      <c r="BK97" s="353">
        <f>VLOOKUP($BW97,'HR|社保明细'!$C:Z,17,0)</f>
        <v>0</v>
      </c>
      <c r="BL97" s="349">
        <f t="shared" si="43"/>
        <v>1917.22</v>
      </c>
      <c r="BM97" s="354"/>
      <c r="BN97" s="350"/>
      <c r="BO97" s="350"/>
      <c r="BP97" s="350"/>
      <c r="BQ97" s="350"/>
      <c r="BR97" s="349"/>
      <c r="BS97" s="349">
        <f t="shared" si="44"/>
        <v>500</v>
      </c>
      <c r="BT97" s="357">
        <v>1250</v>
      </c>
      <c r="BU97" s="357"/>
      <c r="BV97" s="358"/>
      <c r="BW97" s="359" t="str">
        <f t="shared" si="45"/>
        <v>弈工分健康谢小强</v>
      </c>
      <c r="BX97" s="360" t="s">
        <v>258</v>
      </c>
      <c r="BY97" s="360" t="s">
        <v>475</v>
      </c>
      <c r="BZ97" s="360"/>
      <c r="CA97" s="360" t="str">
        <f>VLOOKUP(A97,hr.个税累计数据!C:C,1,0)</f>
        <v>弈工分健康谢小强</v>
      </c>
      <c r="CB97" s="360" t="s">
        <v>480</v>
      </c>
      <c r="CC97" s="360"/>
      <c r="CD97" s="243" t="b">
        <f t="shared" si="46"/>
        <v>1</v>
      </c>
    </row>
    <row r="98" s="243" customFormat="1" ht="23" hidden="1" customHeight="1" spans="1:82">
      <c r="A98" s="343" t="str">
        <f t="shared" si="36"/>
        <v>弈工分健康史文奎</v>
      </c>
      <c r="B98" s="343" t="s">
        <v>51</v>
      </c>
      <c r="C98" s="343" t="s">
        <v>73</v>
      </c>
      <c r="D98" s="343" t="s">
        <v>252</v>
      </c>
      <c r="E98" s="344" t="s">
        <v>51</v>
      </c>
      <c r="F98" s="343" t="s">
        <v>436</v>
      </c>
      <c r="G98" s="343" t="s">
        <v>473</v>
      </c>
      <c r="H98" s="343" t="s">
        <v>481</v>
      </c>
      <c r="I98" s="343" t="s">
        <v>481</v>
      </c>
      <c r="J98" s="343" t="s">
        <v>257</v>
      </c>
      <c r="K98" s="345">
        <f t="shared" si="37"/>
        <v>9093.02</v>
      </c>
      <c r="L98" s="346">
        <f t="shared" si="38"/>
        <v>6236.7</v>
      </c>
      <c r="M98" s="362"/>
      <c r="N98" s="347">
        <v>6</v>
      </c>
      <c r="O98" s="361">
        <v>3000</v>
      </c>
      <c r="P98" s="348"/>
      <c r="Q98" s="348">
        <f>VLOOKUP(I98,考勤调整记录!I:W,15,0)</f>
        <v>420</v>
      </c>
      <c r="R98" s="348">
        <v>3300</v>
      </c>
      <c r="S98" s="348">
        <v>155.8</v>
      </c>
      <c r="T98" s="348"/>
      <c r="U98" s="349">
        <f t="shared" si="33"/>
        <v>6875.8</v>
      </c>
      <c r="V98" s="350"/>
      <c r="W98" s="350"/>
      <c r="X98" s="350"/>
      <c r="Y98" s="350">
        <v>300</v>
      </c>
      <c r="Z98" s="350"/>
      <c r="AA98" s="350"/>
      <c r="AB98" s="350"/>
      <c r="AC98" s="349">
        <f t="shared" si="39"/>
        <v>7175.8</v>
      </c>
      <c r="AD98" s="351"/>
      <c r="AE98" s="352">
        <v>202606</v>
      </c>
      <c r="AF98" s="348">
        <f>VLOOKUP(BW98,'HR|社保明细'!C:F,4,0)</f>
        <v>7460</v>
      </c>
      <c r="AG98" s="348">
        <f>VLOOKUP($BW98,'HR|社保明细'!$C:G,5,0)</f>
        <v>0</v>
      </c>
      <c r="AH98" s="348">
        <f>VLOOKUP($BW98,'HR|社保明细'!$C:H,6,0)</f>
        <v>596.8</v>
      </c>
      <c r="AI98" s="348">
        <f>VLOOKUP($BW98,'HR|社保明细'!$C:I,7,0)</f>
        <v>149.2</v>
      </c>
      <c r="AJ98" s="348">
        <f>VLOOKUP($BW98,'HR|社保明细'!$C:J,8,0)</f>
        <v>37.3</v>
      </c>
      <c r="AK98" s="348">
        <f>VLOOKUP($BW98,'HR|社保明细'!$C:K,9,0)</f>
        <v>0</v>
      </c>
      <c r="AL98" s="353">
        <f>VLOOKUP($BW98,'HR|社保明细'!$C:L,10,0)</f>
        <v>0</v>
      </c>
      <c r="AM98" s="349">
        <f t="shared" si="48"/>
        <v>783.3</v>
      </c>
      <c r="AN98" s="348"/>
      <c r="AO98" s="348"/>
      <c r="AP98" s="348"/>
      <c r="AQ98" s="348"/>
      <c r="AR98" s="348"/>
      <c r="AS98" s="348">
        <f t="shared" si="47"/>
        <v>6392.5</v>
      </c>
      <c r="AT98" s="354"/>
      <c r="AU98" s="355">
        <f>VLOOKUP(BW98,hr.个税累计数据!C:DS,121,0)</f>
        <v>21977.4</v>
      </c>
      <c r="AV98" s="348">
        <f>IF(AU98-5000*N98-VLOOKUP(A98,hr.个税累计数据!C:DT,122,0)-VLOOKUP(A98,hr.个税累计数据!C:DU,123,0)&gt;0,AU98-5000*N98-VLOOKUP(A98,hr.个税累计数据!C:DT,122,0)-VLOOKUP(A98,hr.个税累计数据!C:DU,123,0),0)</f>
        <v>0</v>
      </c>
      <c r="AW98" s="348">
        <f>VLOOKUP(BW98,hr.个税累计数据!C:DV,124,0)</f>
        <v>0</v>
      </c>
      <c r="AX98" s="348"/>
      <c r="AY98" s="349">
        <f>IF(ROUND(MAX(AV98*{0.03,0.1,0.2,0.25,0.3,0.35,0.45}-{0,210,1410,2660,4410,7160,15160}*12)-AW98,2)&lt;=0,0,ROUND(MAX(AV98*{0.03,0.1,0.2,0.25,0.3,0.35,0.45}-{0,210,1410,2660,4410,7160,15160}*12)-AW98,2))</f>
        <v>0</v>
      </c>
      <c r="AZ98" s="348">
        <f t="shared" si="40"/>
        <v>-155.8</v>
      </c>
      <c r="BA98" s="348"/>
      <c r="BB98" s="348">
        <f t="shared" si="41"/>
        <v>6236.7</v>
      </c>
      <c r="BC98" s="353"/>
      <c r="BD98" s="349">
        <f t="shared" si="42"/>
        <v>6236.7</v>
      </c>
      <c r="BE98" s="356">
        <f>VLOOKUP($BW98,'HR|社保明细'!C:T,11,0)</f>
        <v>1193.6</v>
      </c>
      <c r="BF98" s="348">
        <f>VLOOKUP($BW98,'HR|社保明细'!$C:U,12,0)</f>
        <v>596.8</v>
      </c>
      <c r="BG98" s="348">
        <f>VLOOKUP($BW98,'HR|社保明细'!$C:V,13,0)</f>
        <v>37.3</v>
      </c>
      <c r="BH98" s="348">
        <f>VLOOKUP($BW98,'HR|社保明细'!$C:W,14,0)</f>
        <v>14.92</v>
      </c>
      <c r="BI98" s="348">
        <f>VLOOKUP($BW98,'HR|社保明细'!$C:X,15,0)</f>
        <v>74.6</v>
      </c>
      <c r="BJ98" s="348">
        <f>VLOOKUP($BW98,'HR|社保明细'!$C:Y,16,0)</f>
        <v>0</v>
      </c>
      <c r="BK98" s="353">
        <f>VLOOKUP($BW98,'HR|社保明细'!$C:Z,17,0)</f>
        <v>0</v>
      </c>
      <c r="BL98" s="349">
        <f t="shared" si="43"/>
        <v>1917.22</v>
      </c>
      <c r="BM98" s="354"/>
      <c r="BN98" s="350"/>
      <c r="BO98" s="350"/>
      <c r="BP98" s="350"/>
      <c r="BQ98" s="350"/>
      <c r="BR98" s="349"/>
      <c r="BS98" s="349">
        <f t="shared" si="44"/>
        <v>300</v>
      </c>
      <c r="BT98" s="357">
        <v>1250</v>
      </c>
      <c r="BU98" s="357"/>
      <c r="BV98" s="358"/>
      <c r="BW98" s="359" t="str">
        <f t="shared" si="45"/>
        <v>弈工分健康史文奎</v>
      </c>
      <c r="BX98" s="360" t="s">
        <v>258</v>
      </c>
      <c r="BY98" s="360" t="s">
        <v>475</v>
      </c>
      <c r="BZ98" s="360"/>
      <c r="CA98" s="360" t="str">
        <f>VLOOKUP(A98,hr.个税累计数据!C:C,1,0)</f>
        <v>弈工分健康史文奎</v>
      </c>
      <c r="CB98" s="360" t="s">
        <v>482</v>
      </c>
      <c r="CC98" s="360"/>
      <c r="CD98" s="243" t="b">
        <f t="shared" si="46"/>
        <v>1</v>
      </c>
    </row>
    <row r="99" s="243" customFormat="1" ht="23" hidden="1" customHeight="1" spans="1:82">
      <c r="A99" s="343" t="str">
        <f t="shared" si="36"/>
        <v>弈工分健康胡程林</v>
      </c>
      <c r="B99" s="343" t="s">
        <v>53</v>
      </c>
      <c r="C99" s="343" t="s">
        <v>73</v>
      </c>
      <c r="D99" s="343" t="s">
        <v>267</v>
      </c>
      <c r="E99" s="344" t="s">
        <v>53</v>
      </c>
      <c r="F99" s="343" t="s">
        <v>436</v>
      </c>
      <c r="G99" s="343" t="s">
        <v>473</v>
      </c>
      <c r="H99" s="343" t="s">
        <v>483</v>
      </c>
      <c r="I99" s="343" t="s">
        <v>483</v>
      </c>
      <c r="J99" s="343" t="s">
        <v>257</v>
      </c>
      <c r="K99" s="345">
        <f t="shared" si="37"/>
        <v>200</v>
      </c>
      <c r="L99" s="346">
        <f t="shared" si="38"/>
        <v>200</v>
      </c>
      <c r="M99" s="362"/>
      <c r="N99" s="347">
        <v>1</v>
      </c>
      <c r="O99" s="361"/>
      <c r="P99" s="348"/>
      <c r="Q99" s="348"/>
      <c r="R99" s="348"/>
      <c r="S99" s="348"/>
      <c r="T99" s="348"/>
      <c r="U99" s="349">
        <f t="shared" si="33"/>
        <v>0</v>
      </c>
      <c r="V99" s="350"/>
      <c r="W99" s="350"/>
      <c r="X99" s="350"/>
      <c r="Y99" s="350"/>
      <c r="Z99" s="350"/>
      <c r="AA99" s="350">
        <v>200</v>
      </c>
      <c r="AB99" s="350"/>
      <c r="AC99" s="349">
        <f t="shared" si="39"/>
        <v>200</v>
      </c>
      <c r="AD99" s="351"/>
      <c r="AE99" s="352">
        <v>202606</v>
      </c>
      <c r="AF99" s="348"/>
      <c r="AG99" s="348"/>
      <c r="AH99" s="348"/>
      <c r="AI99" s="348"/>
      <c r="AJ99" s="348"/>
      <c r="AK99" s="348"/>
      <c r="AL99" s="353"/>
      <c r="AM99" s="349">
        <f t="shared" si="48"/>
        <v>0</v>
      </c>
      <c r="AN99" s="348"/>
      <c r="AO99" s="348"/>
      <c r="AP99" s="348"/>
      <c r="AQ99" s="348"/>
      <c r="AR99" s="348"/>
      <c r="AS99" s="348"/>
      <c r="AT99" s="354"/>
      <c r="AU99" s="355"/>
      <c r="AV99" s="348"/>
      <c r="AW99" s="348"/>
      <c r="AX99" s="348"/>
      <c r="AY99" s="349">
        <f>IF(ROUND(MAX(AV99*{0.03,0.1,0.2,0.25,0.3,0.35,0.45}-{0,210,1410,2660,4410,7160,15160}*12)-AW99,2)&lt;=0,0,ROUND(MAX(AV99*{0.03,0.1,0.2,0.25,0.3,0.35,0.45}-{0,210,1410,2660,4410,7160,15160}*12)-AW99,2))</f>
        <v>0</v>
      </c>
      <c r="AZ99" s="348">
        <f t="shared" si="40"/>
        <v>0</v>
      </c>
      <c r="BA99" s="348"/>
      <c r="BB99" s="348">
        <f t="shared" si="41"/>
        <v>200</v>
      </c>
      <c r="BC99" s="353"/>
      <c r="BD99" s="349">
        <f t="shared" si="42"/>
        <v>200</v>
      </c>
      <c r="BE99" s="356"/>
      <c r="BF99" s="348"/>
      <c r="BG99" s="348"/>
      <c r="BH99" s="348"/>
      <c r="BI99" s="348"/>
      <c r="BJ99" s="348"/>
      <c r="BK99" s="353"/>
      <c r="BL99" s="349">
        <f t="shared" si="43"/>
        <v>0</v>
      </c>
      <c r="BM99" s="354"/>
      <c r="BN99" s="350"/>
      <c r="BO99" s="350"/>
      <c r="BP99" s="350"/>
      <c r="BQ99" s="350"/>
      <c r="BR99" s="349"/>
      <c r="BS99" s="349">
        <f t="shared" si="44"/>
        <v>200</v>
      </c>
      <c r="BT99" s="357"/>
      <c r="BU99" s="357"/>
      <c r="BV99" s="358"/>
      <c r="BW99" s="359" t="str">
        <f t="shared" si="45"/>
        <v>弈工分健康胡程林</v>
      </c>
      <c r="BX99" s="360" t="s">
        <v>258</v>
      </c>
      <c r="BY99" s="360" t="s">
        <v>475</v>
      </c>
      <c r="BZ99" s="360"/>
      <c r="CA99" s="360" t="e">
        <f>VLOOKUP(A99,hr.个税累计数据!C:C,1,0)</f>
        <v>#N/A</v>
      </c>
      <c r="CB99" s="360" t="s">
        <v>482</v>
      </c>
      <c r="CC99" s="360"/>
      <c r="CD99" s="243" t="b">
        <f t="shared" si="46"/>
        <v>1</v>
      </c>
    </row>
    <row r="100" s="243" customFormat="1" ht="23" hidden="1" customHeight="1" spans="1:82">
      <c r="A100" s="343" t="str">
        <f t="shared" si="36"/>
        <v>弈工分健康孔令波</v>
      </c>
      <c r="B100" s="343" t="s">
        <v>53</v>
      </c>
      <c r="C100" s="343" t="s">
        <v>73</v>
      </c>
      <c r="D100" s="343" t="s">
        <v>267</v>
      </c>
      <c r="E100" s="344" t="s">
        <v>53</v>
      </c>
      <c r="F100" s="343" t="s">
        <v>436</v>
      </c>
      <c r="G100" s="343" t="s">
        <v>473</v>
      </c>
      <c r="H100" s="343" t="s">
        <v>484</v>
      </c>
      <c r="I100" s="343" t="s">
        <v>484</v>
      </c>
      <c r="J100" s="343" t="s">
        <v>257</v>
      </c>
      <c r="K100" s="345">
        <f t="shared" si="37"/>
        <v>100</v>
      </c>
      <c r="L100" s="346">
        <f t="shared" si="38"/>
        <v>100</v>
      </c>
      <c r="M100" s="362"/>
      <c r="N100" s="347">
        <v>1</v>
      </c>
      <c r="O100" s="361"/>
      <c r="P100" s="348"/>
      <c r="Q100" s="348"/>
      <c r="R100" s="348"/>
      <c r="S100" s="348"/>
      <c r="T100" s="348"/>
      <c r="U100" s="349">
        <f t="shared" si="33"/>
        <v>0</v>
      </c>
      <c r="V100" s="350"/>
      <c r="W100" s="350"/>
      <c r="X100" s="350"/>
      <c r="Y100" s="350"/>
      <c r="Z100" s="350"/>
      <c r="AA100" s="350">
        <v>100</v>
      </c>
      <c r="AB100" s="350"/>
      <c r="AC100" s="349">
        <f t="shared" si="39"/>
        <v>100</v>
      </c>
      <c r="AD100" s="351"/>
      <c r="AE100" s="352">
        <v>202606</v>
      </c>
      <c r="AF100" s="348"/>
      <c r="AG100" s="348"/>
      <c r="AH100" s="348"/>
      <c r="AI100" s="348"/>
      <c r="AJ100" s="348"/>
      <c r="AK100" s="348"/>
      <c r="AL100" s="353"/>
      <c r="AM100" s="349">
        <f t="shared" si="48"/>
        <v>0</v>
      </c>
      <c r="AN100" s="348"/>
      <c r="AO100" s="348"/>
      <c r="AP100" s="348"/>
      <c r="AQ100" s="348"/>
      <c r="AR100" s="348"/>
      <c r="AS100" s="348"/>
      <c r="AT100" s="354"/>
      <c r="AU100" s="355"/>
      <c r="AV100" s="348"/>
      <c r="AW100" s="348"/>
      <c r="AX100" s="348"/>
      <c r="AY100" s="349">
        <f>IF(ROUND(MAX(AV100*{0.03,0.1,0.2,0.25,0.3,0.35,0.45}-{0,210,1410,2660,4410,7160,15160}*12)-AW100,2)&lt;=0,0,ROUND(MAX(AV100*{0.03,0.1,0.2,0.25,0.3,0.35,0.45}-{0,210,1410,2660,4410,7160,15160}*12)-AW100,2))</f>
        <v>0</v>
      </c>
      <c r="AZ100" s="348">
        <f t="shared" si="40"/>
        <v>0</v>
      </c>
      <c r="BA100" s="348"/>
      <c r="BB100" s="348">
        <f t="shared" si="41"/>
        <v>100</v>
      </c>
      <c r="BC100" s="353"/>
      <c r="BD100" s="349">
        <f t="shared" si="42"/>
        <v>100</v>
      </c>
      <c r="BE100" s="356"/>
      <c r="BF100" s="348"/>
      <c r="BG100" s="348"/>
      <c r="BH100" s="348"/>
      <c r="BI100" s="348"/>
      <c r="BJ100" s="348"/>
      <c r="BK100" s="353"/>
      <c r="BL100" s="349">
        <f t="shared" si="43"/>
        <v>0</v>
      </c>
      <c r="BM100" s="354"/>
      <c r="BN100" s="350"/>
      <c r="BO100" s="350"/>
      <c r="BP100" s="350"/>
      <c r="BQ100" s="350"/>
      <c r="BR100" s="349"/>
      <c r="BS100" s="349">
        <f t="shared" si="44"/>
        <v>100</v>
      </c>
      <c r="BT100" s="357"/>
      <c r="BU100" s="357"/>
      <c r="BV100" s="358"/>
      <c r="BW100" s="359" t="str">
        <f t="shared" si="45"/>
        <v>弈工分健康孔令波</v>
      </c>
      <c r="BX100" s="360" t="s">
        <v>258</v>
      </c>
      <c r="BY100" s="360" t="s">
        <v>475</v>
      </c>
      <c r="BZ100" s="360"/>
      <c r="CA100" s="360" t="e">
        <f>VLOOKUP(A100,hr.个税累计数据!C:C,1,0)</f>
        <v>#N/A</v>
      </c>
      <c r="CB100" s="360" t="s">
        <v>482</v>
      </c>
      <c r="CC100" s="360"/>
      <c r="CD100" s="243" t="b">
        <f t="shared" si="46"/>
        <v>1</v>
      </c>
    </row>
    <row r="101" s="243" customFormat="1" ht="23" hidden="1" customHeight="1" spans="1:82">
      <c r="A101" s="343" t="str">
        <f t="shared" si="36"/>
        <v>弈工分健康姚伟</v>
      </c>
      <c r="B101" s="343" t="s">
        <v>53</v>
      </c>
      <c r="C101" s="343" t="s">
        <v>73</v>
      </c>
      <c r="D101" s="343" t="s">
        <v>267</v>
      </c>
      <c r="E101" s="344" t="s">
        <v>53</v>
      </c>
      <c r="F101" s="343" t="s">
        <v>436</v>
      </c>
      <c r="G101" s="343" t="s">
        <v>473</v>
      </c>
      <c r="H101" s="343" t="s">
        <v>485</v>
      </c>
      <c r="I101" s="343" t="s">
        <v>485</v>
      </c>
      <c r="J101" s="343" t="s">
        <v>257</v>
      </c>
      <c r="K101" s="345">
        <f t="shared" si="37"/>
        <v>200</v>
      </c>
      <c r="L101" s="346">
        <f t="shared" si="38"/>
        <v>200</v>
      </c>
      <c r="M101" s="362"/>
      <c r="N101" s="347">
        <v>1</v>
      </c>
      <c r="O101" s="361"/>
      <c r="P101" s="348"/>
      <c r="Q101" s="348"/>
      <c r="R101" s="348"/>
      <c r="S101" s="348"/>
      <c r="T101" s="348"/>
      <c r="U101" s="349">
        <f t="shared" si="33"/>
        <v>0</v>
      </c>
      <c r="V101" s="350"/>
      <c r="W101" s="350"/>
      <c r="X101" s="350"/>
      <c r="Y101" s="350"/>
      <c r="Z101" s="350"/>
      <c r="AA101" s="350">
        <v>200</v>
      </c>
      <c r="AB101" s="350"/>
      <c r="AC101" s="349">
        <f t="shared" si="39"/>
        <v>200</v>
      </c>
      <c r="AD101" s="351"/>
      <c r="AE101" s="352">
        <v>202606</v>
      </c>
      <c r="AF101" s="348"/>
      <c r="AG101" s="348"/>
      <c r="AH101" s="348"/>
      <c r="AI101" s="348"/>
      <c r="AJ101" s="348"/>
      <c r="AK101" s="348"/>
      <c r="AL101" s="353"/>
      <c r="AM101" s="349">
        <f t="shared" si="48"/>
        <v>0</v>
      </c>
      <c r="AN101" s="348"/>
      <c r="AO101" s="348"/>
      <c r="AP101" s="348"/>
      <c r="AQ101" s="348"/>
      <c r="AR101" s="348"/>
      <c r="AS101" s="348"/>
      <c r="AT101" s="354"/>
      <c r="AU101" s="355"/>
      <c r="AV101" s="348"/>
      <c r="AW101" s="348"/>
      <c r="AX101" s="348"/>
      <c r="AY101" s="349">
        <f>IF(ROUND(MAX(AV101*{0.03,0.1,0.2,0.25,0.3,0.35,0.45}-{0,210,1410,2660,4410,7160,15160}*12)-AW101,2)&lt;=0,0,ROUND(MAX(AV101*{0.03,0.1,0.2,0.25,0.3,0.35,0.45}-{0,210,1410,2660,4410,7160,15160}*12)-AW101,2))</f>
        <v>0</v>
      </c>
      <c r="AZ101" s="348">
        <f t="shared" si="40"/>
        <v>0</v>
      </c>
      <c r="BA101" s="348"/>
      <c r="BB101" s="348">
        <f t="shared" si="41"/>
        <v>200</v>
      </c>
      <c r="BC101" s="353"/>
      <c r="BD101" s="349">
        <f t="shared" si="42"/>
        <v>200</v>
      </c>
      <c r="BE101" s="356"/>
      <c r="BF101" s="348"/>
      <c r="BG101" s="348"/>
      <c r="BH101" s="348"/>
      <c r="BI101" s="348"/>
      <c r="BJ101" s="348"/>
      <c r="BK101" s="353"/>
      <c r="BL101" s="349">
        <f t="shared" si="43"/>
        <v>0</v>
      </c>
      <c r="BM101" s="354"/>
      <c r="BN101" s="350"/>
      <c r="BO101" s="350"/>
      <c r="BP101" s="350"/>
      <c r="BQ101" s="350"/>
      <c r="BR101" s="349"/>
      <c r="BS101" s="349">
        <f t="shared" si="44"/>
        <v>200</v>
      </c>
      <c r="BT101" s="357"/>
      <c r="BU101" s="357"/>
      <c r="BV101" s="358"/>
      <c r="BW101" s="359" t="str">
        <f t="shared" si="45"/>
        <v>弈工分健康姚伟</v>
      </c>
      <c r="BX101" s="360" t="s">
        <v>258</v>
      </c>
      <c r="BY101" s="360" t="s">
        <v>475</v>
      </c>
      <c r="BZ101" s="360"/>
      <c r="CA101" s="360" t="e">
        <f>VLOOKUP(A101,hr.个税累计数据!C:C,1,0)</f>
        <v>#N/A</v>
      </c>
      <c r="CB101" s="360" t="s">
        <v>482</v>
      </c>
      <c r="CC101" s="360"/>
      <c r="CD101" s="243" t="b">
        <f t="shared" si="46"/>
        <v>1</v>
      </c>
    </row>
    <row r="102" s="243" customFormat="1" ht="23" hidden="1" customHeight="1" spans="1:82">
      <c r="A102" s="343" t="str">
        <f t="shared" si="36"/>
        <v>弈工分健康（外包保安）胡程林</v>
      </c>
      <c r="B102" s="343" t="s">
        <v>53</v>
      </c>
      <c r="C102" s="343" t="s">
        <v>74</v>
      </c>
      <c r="D102" s="343" t="s">
        <v>252</v>
      </c>
      <c r="E102" s="344" t="s">
        <v>53</v>
      </c>
      <c r="F102" s="343" t="s">
        <v>436</v>
      </c>
      <c r="G102" s="343" t="s">
        <v>473</v>
      </c>
      <c r="H102" s="343" t="s">
        <v>483</v>
      </c>
      <c r="I102" s="343" t="s">
        <v>483</v>
      </c>
      <c r="J102" s="343" t="s">
        <v>271</v>
      </c>
      <c r="K102" s="345">
        <f t="shared" si="37"/>
        <v>12000</v>
      </c>
      <c r="L102" s="346">
        <f t="shared" si="38"/>
        <v>12000</v>
      </c>
      <c r="M102" s="362"/>
      <c r="N102" s="347">
        <v>6</v>
      </c>
      <c r="O102" s="361">
        <v>12000</v>
      </c>
      <c r="P102" s="348"/>
      <c r="Q102" s="348"/>
      <c r="R102" s="348"/>
      <c r="S102" s="348"/>
      <c r="T102" s="348"/>
      <c r="U102" s="349">
        <f t="shared" ref="U102:U123" si="49">O102</f>
        <v>12000</v>
      </c>
      <c r="V102" s="350"/>
      <c r="W102" s="350"/>
      <c r="X102" s="350"/>
      <c r="Y102" s="350"/>
      <c r="Z102" s="350"/>
      <c r="AA102" s="350"/>
      <c r="AB102" s="350"/>
      <c r="AC102" s="349">
        <f t="shared" si="39"/>
        <v>12000</v>
      </c>
      <c r="AD102" s="351"/>
      <c r="AE102" s="352">
        <v>202606</v>
      </c>
      <c r="AF102" s="348"/>
      <c r="AG102" s="348"/>
      <c r="AH102" s="348"/>
      <c r="AI102" s="348"/>
      <c r="AJ102" s="348"/>
      <c r="AK102" s="348"/>
      <c r="AL102" s="353"/>
      <c r="AM102" s="349"/>
      <c r="AN102" s="348"/>
      <c r="AO102" s="348"/>
      <c r="AP102" s="348"/>
      <c r="AQ102" s="348"/>
      <c r="AR102" s="348"/>
      <c r="AS102" s="348"/>
      <c r="AT102" s="354"/>
      <c r="AU102" s="355"/>
      <c r="AV102" s="348"/>
      <c r="AW102" s="348"/>
      <c r="AX102" s="348"/>
      <c r="AY102" s="349"/>
      <c r="AZ102" s="348">
        <f t="shared" si="40"/>
        <v>0</v>
      </c>
      <c r="BA102" s="348"/>
      <c r="BB102" s="348">
        <f t="shared" si="41"/>
        <v>12000</v>
      </c>
      <c r="BC102" s="353"/>
      <c r="BD102" s="349">
        <f t="shared" si="42"/>
        <v>12000</v>
      </c>
      <c r="BE102" s="356"/>
      <c r="BF102" s="348"/>
      <c r="BG102" s="348"/>
      <c r="BH102" s="348"/>
      <c r="BI102" s="348"/>
      <c r="BJ102" s="348"/>
      <c r="BK102" s="353"/>
      <c r="BL102" s="349">
        <f t="shared" si="43"/>
        <v>0</v>
      </c>
      <c r="BM102" s="354"/>
      <c r="BN102" s="350"/>
      <c r="BO102" s="350"/>
      <c r="BP102" s="350"/>
      <c r="BQ102" s="350"/>
      <c r="BR102" s="349"/>
      <c r="BS102" s="349">
        <f t="shared" si="44"/>
        <v>0</v>
      </c>
      <c r="BT102" s="357">
        <v>1250</v>
      </c>
      <c r="BU102" s="357"/>
      <c r="BV102" s="358"/>
      <c r="BW102" s="359" t="str">
        <f t="shared" si="45"/>
        <v>弈工分健康（外包保安）胡程林</v>
      </c>
      <c r="BX102" s="360" t="s">
        <v>258</v>
      </c>
      <c r="BY102" s="360" t="s">
        <v>259</v>
      </c>
      <c r="BZ102" s="360"/>
      <c r="CA102" s="360" t="e">
        <f>VLOOKUP(A102,hr.个税累计数据!C:C,1,0)</f>
        <v>#N/A</v>
      </c>
      <c r="CB102" s="360" t="s">
        <v>486</v>
      </c>
      <c r="CC102" s="360"/>
      <c r="CD102" s="243" t="b">
        <f t="shared" si="46"/>
        <v>1</v>
      </c>
    </row>
    <row r="103" s="243" customFormat="1" ht="23" hidden="1" customHeight="1" spans="1:82">
      <c r="A103" s="343" t="str">
        <f t="shared" si="36"/>
        <v>弈工分健康（外包保安）孔令波</v>
      </c>
      <c r="B103" s="343" t="s">
        <v>53</v>
      </c>
      <c r="C103" s="343" t="s">
        <v>74</v>
      </c>
      <c r="D103" s="343" t="s">
        <v>252</v>
      </c>
      <c r="E103" s="344" t="s">
        <v>53</v>
      </c>
      <c r="F103" s="343" t="s">
        <v>436</v>
      </c>
      <c r="G103" s="343" t="s">
        <v>473</v>
      </c>
      <c r="H103" s="343" t="s">
        <v>484</v>
      </c>
      <c r="I103" s="343" t="s">
        <v>484</v>
      </c>
      <c r="J103" s="343" t="s">
        <v>271</v>
      </c>
      <c r="K103" s="345">
        <f t="shared" si="37"/>
        <v>12000</v>
      </c>
      <c r="L103" s="346">
        <f t="shared" si="38"/>
        <v>12000</v>
      </c>
      <c r="M103" s="362"/>
      <c r="N103" s="347">
        <v>6</v>
      </c>
      <c r="O103" s="361">
        <v>12000</v>
      </c>
      <c r="P103" s="348"/>
      <c r="Q103" s="348"/>
      <c r="R103" s="348"/>
      <c r="S103" s="348"/>
      <c r="T103" s="348"/>
      <c r="U103" s="349">
        <f t="shared" si="49"/>
        <v>12000</v>
      </c>
      <c r="V103" s="350"/>
      <c r="W103" s="350"/>
      <c r="X103" s="350"/>
      <c r="Y103" s="350"/>
      <c r="Z103" s="350"/>
      <c r="AA103" s="350"/>
      <c r="AB103" s="350"/>
      <c r="AC103" s="349">
        <f t="shared" si="39"/>
        <v>12000</v>
      </c>
      <c r="AD103" s="351"/>
      <c r="AE103" s="352">
        <v>202606</v>
      </c>
      <c r="AF103" s="348"/>
      <c r="AG103" s="348"/>
      <c r="AH103" s="348"/>
      <c r="AI103" s="348"/>
      <c r="AJ103" s="348"/>
      <c r="AK103" s="348"/>
      <c r="AL103" s="353"/>
      <c r="AM103" s="349"/>
      <c r="AN103" s="348"/>
      <c r="AO103" s="348"/>
      <c r="AP103" s="348"/>
      <c r="AQ103" s="348"/>
      <c r="AR103" s="348"/>
      <c r="AS103" s="348"/>
      <c r="AT103" s="354"/>
      <c r="AU103" s="355"/>
      <c r="AV103" s="348"/>
      <c r="AW103" s="348"/>
      <c r="AX103" s="348"/>
      <c r="AY103" s="349"/>
      <c r="AZ103" s="348">
        <f t="shared" si="40"/>
        <v>0</v>
      </c>
      <c r="BA103" s="348"/>
      <c r="BB103" s="348">
        <f t="shared" si="41"/>
        <v>12000</v>
      </c>
      <c r="BC103" s="353"/>
      <c r="BD103" s="349">
        <f t="shared" si="42"/>
        <v>12000</v>
      </c>
      <c r="BE103" s="356"/>
      <c r="BF103" s="348"/>
      <c r="BG103" s="348"/>
      <c r="BH103" s="348"/>
      <c r="BI103" s="348"/>
      <c r="BJ103" s="348"/>
      <c r="BK103" s="353"/>
      <c r="BL103" s="349">
        <f t="shared" si="43"/>
        <v>0</v>
      </c>
      <c r="BM103" s="354"/>
      <c r="BN103" s="350"/>
      <c r="BO103" s="350"/>
      <c r="BP103" s="350"/>
      <c r="BQ103" s="350"/>
      <c r="BR103" s="349"/>
      <c r="BS103" s="349">
        <f t="shared" si="44"/>
        <v>0</v>
      </c>
      <c r="BT103" s="357">
        <v>1250</v>
      </c>
      <c r="BU103" s="357"/>
      <c r="BV103" s="358"/>
      <c r="BW103" s="359" t="str">
        <f t="shared" si="45"/>
        <v>弈工分健康（外包保安）孔令波</v>
      </c>
      <c r="BX103" s="360" t="s">
        <v>258</v>
      </c>
      <c r="BY103" s="360" t="s">
        <v>259</v>
      </c>
      <c r="BZ103" s="360"/>
      <c r="CA103" s="360" t="e">
        <f>VLOOKUP(A103,hr.个税累计数据!C:C,1,0)</f>
        <v>#N/A</v>
      </c>
      <c r="CB103" s="360" t="s">
        <v>487</v>
      </c>
      <c r="CC103" s="360"/>
      <c r="CD103" s="243" t="b">
        <f t="shared" si="46"/>
        <v>1</v>
      </c>
    </row>
    <row r="104" s="243" customFormat="1" ht="23" hidden="1" customHeight="1" spans="1:82">
      <c r="A104" s="343" t="str">
        <f t="shared" si="36"/>
        <v>弈工分健康（外包保安）姚伟</v>
      </c>
      <c r="B104" s="343" t="s">
        <v>53</v>
      </c>
      <c r="C104" s="343" t="s">
        <v>74</v>
      </c>
      <c r="D104" s="343" t="s">
        <v>252</v>
      </c>
      <c r="E104" s="344" t="s">
        <v>53</v>
      </c>
      <c r="F104" s="343" t="s">
        <v>436</v>
      </c>
      <c r="G104" s="343" t="s">
        <v>473</v>
      </c>
      <c r="H104" s="343" t="s">
        <v>485</v>
      </c>
      <c r="I104" s="343" t="s">
        <v>485</v>
      </c>
      <c r="J104" s="343" t="s">
        <v>271</v>
      </c>
      <c r="K104" s="345">
        <f t="shared" si="37"/>
        <v>12000</v>
      </c>
      <c r="L104" s="346">
        <f t="shared" si="38"/>
        <v>12000</v>
      </c>
      <c r="M104" s="362"/>
      <c r="N104" s="347">
        <v>6</v>
      </c>
      <c r="O104" s="361">
        <v>12000</v>
      </c>
      <c r="P104" s="348"/>
      <c r="Q104" s="348"/>
      <c r="R104" s="348"/>
      <c r="S104" s="348"/>
      <c r="T104" s="348"/>
      <c r="U104" s="349">
        <f t="shared" si="49"/>
        <v>12000</v>
      </c>
      <c r="V104" s="350"/>
      <c r="W104" s="350"/>
      <c r="X104" s="350"/>
      <c r="Y104" s="350"/>
      <c r="Z104" s="350"/>
      <c r="AA104" s="350"/>
      <c r="AB104" s="350"/>
      <c r="AC104" s="349">
        <f t="shared" si="39"/>
        <v>12000</v>
      </c>
      <c r="AD104" s="351"/>
      <c r="AE104" s="352">
        <v>202606</v>
      </c>
      <c r="AF104" s="348"/>
      <c r="AG104" s="348"/>
      <c r="AH104" s="348"/>
      <c r="AI104" s="348"/>
      <c r="AJ104" s="348"/>
      <c r="AK104" s="348"/>
      <c r="AL104" s="353"/>
      <c r="AM104" s="349"/>
      <c r="AN104" s="348"/>
      <c r="AO104" s="348"/>
      <c r="AP104" s="348"/>
      <c r="AQ104" s="348"/>
      <c r="AR104" s="348"/>
      <c r="AS104" s="348"/>
      <c r="AT104" s="354"/>
      <c r="AU104" s="355"/>
      <c r="AV104" s="348"/>
      <c r="AW104" s="348"/>
      <c r="AX104" s="348"/>
      <c r="AY104" s="349"/>
      <c r="AZ104" s="348">
        <f t="shared" si="40"/>
        <v>0</v>
      </c>
      <c r="BA104" s="348"/>
      <c r="BB104" s="348">
        <f t="shared" si="41"/>
        <v>12000</v>
      </c>
      <c r="BC104" s="353"/>
      <c r="BD104" s="349">
        <f t="shared" si="42"/>
        <v>12000</v>
      </c>
      <c r="BE104" s="356"/>
      <c r="BF104" s="348"/>
      <c r="BG104" s="348"/>
      <c r="BH104" s="348"/>
      <c r="BI104" s="348"/>
      <c r="BJ104" s="348"/>
      <c r="BK104" s="353"/>
      <c r="BL104" s="349">
        <f t="shared" si="43"/>
        <v>0</v>
      </c>
      <c r="BM104" s="354"/>
      <c r="BN104" s="350"/>
      <c r="BO104" s="350"/>
      <c r="BP104" s="350"/>
      <c r="BQ104" s="350"/>
      <c r="BR104" s="349"/>
      <c r="BS104" s="349">
        <f t="shared" si="44"/>
        <v>0</v>
      </c>
      <c r="BT104" s="357">
        <v>1250</v>
      </c>
      <c r="BU104" s="357"/>
      <c r="BV104" s="358"/>
      <c r="BW104" s="359" t="str">
        <f t="shared" si="45"/>
        <v>弈工分健康（外包保安）姚伟</v>
      </c>
      <c r="BX104" s="360" t="s">
        <v>258</v>
      </c>
      <c r="BY104" s="360" t="s">
        <v>259</v>
      </c>
      <c r="BZ104" s="360"/>
      <c r="CA104" s="360" t="e">
        <f>VLOOKUP(A104,hr.个税累计数据!C:C,1,0)</f>
        <v>#N/A</v>
      </c>
      <c r="CB104" s="360" t="s">
        <v>488</v>
      </c>
      <c r="CC104" s="360"/>
      <c r="CD104" s="243" t="b">
        <f t="shared" si="46"/>
        <v>1</v>
      </c>
    </row>
    <row r="105" s="243" customFormat="1" ht="23" hidden="1" customHeight="1" spans="1:82">
      <c r="A105" s="343" t="str">
        <f t="shared" si="36"/>
        <v>弈工分健康（外包保安）刘鹏</v>
      </c>
      <c r="B105" s="343" t="s">
        <v>53</v>
      </c>
      <c r="C105" s="343" t="s">
        <v>74</v>
      </c>
      <c r="D105" s="343" t="s">
        <v>252</v>
      </c>
      <c r="E105" s="344" t="s">
        <v>53</v>
      </c>
      <c r="F105" s="343" t="s">
        <v>436</v>
      </c>
      <c r="G105" s="343" t="s">
        <v>473</v>
      </c>
      <c r="H105" s="343" t="s">
        <v>489</v>
      </c>
      <c r="I105" s="343" t="s">
        <v>489</v>
      </c>
      <c r="J105" s="343" t="s">
        <v>271</v>
      </c>
      <c r="K105" s="345">
        <f t="shared" si="37"/>
        <v>12000</v>
      </c>
      <c r="L105" s="346">
        <f t="shared" si="38"/>
        <v>12000</v>
      </c>
      <c r="M105" s="362"/>
      <c r="N105" s="347">
        <v>6</v>
      </c>
      <c r="O105" s="361">
        <v>12000</v>
      </c>
      <c r="P105" s="348"/>
      <c r="Q105" s="348"/>
      <c r="R105" s="348"/>
      <c r="S105" s="348"/>
      <c r="T105" s="348"/>
      <c r="U105" s="349">
        <f t="shared" si="49"/>
        <v>12000</v>
      </c>
      <c r="V105" s="350"/>
      <c r="W105" s="350"/>
      <c r="X105" s="350"/>
      <c r="Y105" s="350"/>
      <c r="Z105" s="350"/>
      <c r="AA105" s="350"/>
      <c r="AB105" s="350"/>
      <c r="AC105" s="349">
        <f t="shared" si="39"/>
        <v>12000</v>
      </c>
      <c r="AD105" s="351"/>
      <c r="AE105" s="352">
        <v>202606</v>
      </c>
      <c r="AF105" s="348"/>
      <c r="AG105" s="348"/>
      <c r="AH105" s="348"/>
      <c r="AI105" s="348"/>
      <c r="AJ105" s="348"/>
      <c r="AK105" s="348"/>
      <c r="AL105" s="353"/>
      <c r="AM105" s="349"/>
      <c r="AN105" s="348"/>
      <c r="AO105" s="348"/>
      <c r="AP105" s="348"/>
      <c r="AQ105" s="348"/>
      <c r="AR105" s="348"/>
      <c r="AS105" s="348"/>
      <c r="AT105" s="354"/>
      <c r="AU105" s="355"/>
      <c r="AV105" s="348"/>
      <c r="AW105" s="348"/>
      <c r="AX105" s="348"/>
      <c r="AY105" s="349"/>
      <c r="AZ105" s="348">
        <f t="shared" si="40"/>
        <v>0</v>
      </c>
      <c r="BA105" s="348"/>
      <c r="BB105" s="348">
        <f t="shared" si="41"/>
        <v>12000</v>
      </c>
      <c r="BC105" s="353"/>
      <c r="BD105" s="349">
        <f t="shared" si="42"/>
        <v>12000</v>
      </c>
      <c r="BE105" s="356"/>
      <c r="BF105" s="348"/>
      <c r="BG105" s="348"/>
      <c r="BH105" s="348"/>
      <c r="BI105" s="348"/>
      <c r="BJ105" s="348"/>
      <c r="BK105" s="353"/>
      <c r="BL105" s="349">
        <f t="shared" si="43"/>
        <v>0</v>
      </c>
      <c r="BM105" s="354"/>
      <c r="BN105" s="350"/>
      <c r="BO105" s="350"/>
      <c r="BP105" s="350"/>
      <c r="BQ105" s="350"/>
      <c r="BR105" s="349"/>
      <c r="BS105" s="349">
        <f t="shared" si="44"/>
        <v>0</v>
      </c>
      <c r="BT105" s="357">
        <v>1250</v>
      </c>
      <c r="BU105" s="357"/>
      <c r="BV105" s="358"/>
      <c r="BW105" s="359" t="str">
        <f t="shared" si="45"/>
        <v>弈工分健康（外包保安）刘鹏</v>
      </c>
      <c r="BX105" s="360" t="s">
        <v>258</v>
      </c>
      <c r="BY105" s="360" t="s">
        <v>259</v>
      </c>
      <c r="BZ105" s="360"/>
      <c r="CA105" s="360" t="e">
        <f>VLOOKUP(A105,hr.个税累计数据!C:C,1,0)</f>
        <v>#N/A</v>
      </c>
      <c r="CB105" s="360" t="s">
        <v>490</v>
      </c>
      <c r="CC105" s="360"/>
      <c r="CD105" s="243" t="b">
        <f t="shared" si="46"/>
        <v>1</v>
      </c>
    </row>
    <row r="106" s="243" customFormat="1" ht="23" hidden="1" customHeight="1" spans="1:82">
      <c r="A106" s="343" t="str">
        <f t="shared" si="36"/>
        <v>弈工分健康（外包保安）吉庆</v>
      </c>
      <c r="B106" s="343" t="s">
        <v>53</v>
      </c>
      <c r="C106" s="343" t="s">
        <v>74</v>
      </c>
      <c r="D106" s="343" t="s">
        <v>252</v>
      </c>
      <c r="E106" s="344" t="s">
        <v>53</v>
      </c>
      <c r="F106" s="343" t="s">
        <v>436</v>
      </c>
      <c r="G106" s="343" t="s">
        <v>473</v>
      </c>
      <c r="H106" s="343" t="s">
        <v>491</v>
      </c>
      <c r="I106" s="343" t="s">
        <v>491</v>
      </c>
      <c r="J106" s="343" t="s">
        <v>271</v>
      </c>
      <c r="K106" s="345">
        <f t="shared" si="37"/>
        <v>12000</v>
      </c>
      <c r="L106" s="346">
        <f t="shared" si="38"/>
        <v>12000</v>
      </c>
      <c r="M106" s="362"/>
      <c r="N106" s="347">
        <v>6</v>
      </c>
      <c r="O106" s="361">
        <v>12000</v>
      </c>
      <c r="P106" s="348"/>
      <c r="Q106" s="348"/>
      <c r="R106" s="348"/>
      <c r="S106" s="348"/>
      <c r="T106" s="348"/>
      <c r="U106" s="349">
        <f t="shared" si="49"/>
        <v>12000</v>
      </c>
      <c r="V106" s="350"/>
      <c r="W106" s="350"/>
      <c r="X106" s="350"/>
      <c r="Y106" s="350"/>
      <c r="Z106" s="350"/>
      <c r="AA106" s="350"/>
      <c r="AB106" s="350"/>
      <c r="AC106" s="349">
        <f t="shared" si="39"/>
        <v>12000</v>
      </c>
      <c r="AD106" s="351"/>
      <c r="AE106" s="352">
        <v>202606</v>
      </c>
      <c r="AF106" s="348"/>
      <c r="AG106" s="348"/>
      <c r="AH106" s="348"/>
      <c r="AI106" s="348"/>
      <c r="AJ106" s="348"/>
      <c r="AK106" s="348"/>
      <c r="AL106" s="353"/>
      <c r="AM106" s="349"/>
      <c r="AN106" s="348"/>
      <c r="AO106" s="348"/>
      <c r="AP106" s="348"/>
      <c r="AQ106" s="348"/>
      <c r="AR106" s="348"/>
      <c r="AS106" s="348"/>
      <c r="AT106" s="354"/>
      <c r="AU106" s="355"/>
      <c r="AV106" s="348"/>
      <c r="AW106" s="348"/>
      <c r="AX106" s="348"/>
      <c r="AY106" s="349"/>
      <c r="AZ106" s="348">
        <f t="shared" si="40"/>
        <v>0</v>
      </c>
      <c r="BA106" s="348"/>
      <c r="BB106" s="348">
        <f t="shared" si="41"/>
        <v>12000</v>
      </c>
      <c r="BC106" s="353"/>
      <c r="BD106" s="349">
        <f t="shared" si="42"/>
        <v>12000</v>
      </c>
      <c r="BE106" s="356"/>
      <c r="BF106" s="348"/>
      <c r="BG106" s="348"/>
      <c r="BH106" s="348"/>
      <c r="BI106" s="348"/>
      <c r="BJ106" s="348"/>
      <c r="BK106" s="353"/>
      <c r="BL106" s="349">
        <f t="shared" si="43"/>
        <v>0</v>
      </c>
      <c r="BM106" s="354"/>
      <c r="BN106" s="350"/>
      <c r="BO106" s="350"/>
      <c r="BP106" s="350"/>
      <c r="BQ106" s="350"/>
      <c r="BR106" s="349"/>
      <c r="BS106" s="349">
        <f t="shared" si="44"/>
        <v>0</v>
      </c>
      <c r="BT106" s="357">
        <v>1250</v>
      </c>
      <c r="BU106" s="357"/>
      <c r="BV106" s="358"/>
      <c r="BW106" s="359" t="str">
        <f t="shared" si="45"/>
        <v>弈工分健康（外包保安）吉庆</v>
      </c>
      <c r="BX106" s="360" t="s">
        <v>258</v>
      </c>
      <c r="BY106" s="360" t="s">
        <v>259</v>
      </c>
      <c r="BZ106" s="360"/>
      <c r="CA106" s="360" t="e">
        <f>VLOOKUP(A106,hr.个税累计数据!C:C,1,0)</f>
        <v>#N/A</v>
      </c>
      <c r="CB106" s="360" t="s">
        <v>492</v>
      </c>
      <c r="CC106" s="360"/>
      <c r="CD106" s="243" t="b">
        <f t="shared" si="46"/>
        <v>1</v>
      </c>
    </row>
    <row r="107" s="243" customFormat="1" ht="23" hidden="1" customHeight="1" spans="1:82">
      <c r="A107" s="343" t="str">
        <f t="shared" si="36"/>
        <v>弈工分健康（外包保安）朱留宇</v>
      </c>
      <c r="B107" s="343" t="s">
        <v>53</v>
      </c>
      <c r="C107" s="343" t="s">
        <v>74</v>
      </c>
      <c r="D107" s="343" t="s">
        <v>252</v>
      </c>
      <c r="E107" s="344" t="s">
        <v>53</v>
      </c>
      <c r="F107" s="343" t="s">
        <v>436</v>
      </c>
      <c r="G107" s="343" t="s">
        <v>473</v>
      </c>
      <c r="H107" s="343" t="s">
        <v>493</v>
      </c>
      <c r="I107" s="343" t="s">
        <v>493</v>
      </c>
      <c r="J107" s="343" t="s">
        <v>271</v>
      </c>
      <c r="K107" s="345">
        <f t="shared" si="37"/>
        <v>12000</v>
      </c>
      <c r="L107" s="346">
        <f t="shared" si="38"/>
        <v>12000</v>
      </c>
      <c r="M107" s="362"/>
      <c r="N107" s="347">
        <v>6</v>
      </c>
      <c r="O107" s="361">
        <v>12000</v>
      </c>
      <c r="P107" s="348"/>
      <c r="Q107" s="348"/>
      <c r="R107" s="348"/>
      <c r="S107" s="348"/>
      <c r="T107" s="348"/>
      <c r="U107" s="349">
        <f t="shared" si="49"/>
        <v>12000</v>
      </c>
      <c r="V107" s="350"/>
      <c r="W107" s="350"/>
      <c r="X107" s="350"/>
      <c r="Y107" s="350"/>
      <c r="Z107" s="350"/>
      <c r="AA107" s="350"/>
      <c r="AB107" s="350"/>
      <c r="AC107" s="349">
        <f t="shared" si="39"/>
        <v>12000</v>
      </c>
      <c r="AD107" s="351"/>
      <c r="AE107" s="352">
        <v>202606</v>
      </c>
      <c r="AF107" s="348"/>
      <c r="AG107" s="348"/>
      <c r="AH107" s="348"/>
      <c r="AI107" s="348"/>
      <c r="AJ107" s="348"/>
      <c r="AK107" s="348"/>
      <c r="AL107" s="353"/>
      <c r="AM107" s="349"/>
      <c r="AN107" s="348"/>
      <c r="AO107" s="348"/>
      <c r="AP107" s="348"/>
      <c r="AQ107" s="348"/>
      <c r="AR107" s="348"/>
      <c r="AS107" s="348"/>
      <c r="AT107" s="354"/>
      <c r="AU107" s="355"/>
      <c r="AV107" s="348"/>
      <c r="AW107" s="348"/>
      <c r="AX107" s="348"/>
      <c r="AY107" s="349"/>
      <c r="AZ107" s="348">
        <f t="shared" si="40"/>
        <v>0</v>
      </c>
      <c r="BA107" s="348"/>
      <c r="BB107" s="348">
        <f t="shared" si="41"/>
        <v>12000</v>
      </c>
      <c r="BC107" s="353"/>
      <c r="BD107" s="349">
        <f t="shared" si="42"/>
        <v>12000</v>
      </c>
      <c r="BE107" s="356"/>
      <c r="BF107" s="348"/>
      <c r="BG107" s="348"/>
      <c r="BH107" s="348"/>
      <c r="BI107" s="348"/>
      <c r="BJ107" s="348"/>
      <c r="BK107" s="353"/>
      <c r="BL107" s="349">
        <f t="shared" si="43"/>
        <v>0</v>
      </c>
      <c r="BM107" s="354"/>
      <c r="BN107" s="350"/>
      <c r="BO107" s="350"/>
      <c r="BP107" s="350"/>
      <c r="BQ107" s="350"/>
      <c r="BR107" s="349"/>
      <c r="BS107" s="349">
        <f t="shared" si="44"/>
        <v>0</v>
      </c>
      <c r="BT107" s="357">
        <v>1250</v>
      </c>
      <c r="BU107" s="357"/>
      <c r="BV107" s="358"/>
      <c r="BW107" s="359" t="str">
        <f t="shared" si="45"/>
        <v>弈工分健康（外包保安）朱留宇</v>
      </c>
      <c r="BX107" s="360" t="s">
        <v>258</v>
      </c>
      <c r="BY107" s="360" t="s">
        <v>259</v>
      </c>
      <c r="BZ107" s="360"/>
      <c r="CA107" s="360" t="e">
        <f>VLOOKUP(A107,hr.个税累计数据!C:C,1,0)</f>
        <v>#N/A</v>
      </c>
      <c r="CB107" s="360" t="s">
        <v>494</v>
      </c>
      <c r="CC107" s="360"/>
      <c r="CD107" s="243" t="b">
        <f t="shared" si="46"/>
        <v>1</v>
      </c>
    </row>
    <row r="108" s="243" customFormat="1" ht="23" hidden="1" customHeight="1" spans="1:82">
      <c r="A108" s="343" t="str">
        <f t="shared" si="36"/>
        <v>弈工分健康（外包保安）杨永宁</v>
      </c>
      <c r="B108" s="343" t="s">
        <v>53</v>
      </c>
      <c r="C108" s="343" t="s">
        <v>74</v>
      </c>
      <c r="D108" s="343" t="s">
        <v>252</v>
      </c>
      <c r="E108" s="344" t="s">
        <v>53</v>
      </c>
      <c r="F108" s="343" t="s">
        <v>436</v>
      </c>
      <c r="G108" s="343" t="s">
        <v>473</v>
      </c>
      <c r="H108" s="343" t="s">
        <v>495</v>
      </c>
      <c r="I108" s="343" t="s">
        <v>495</v>
      </c>
      <c r="J108" s="343" t="s">
        <v>271</v>
      </c>
      <c r="K108" s="345">
        <f t="shared" si="37"/>
        <v>12000</v>
      </c>
      <c r="L108" s="346">
        <f t="shared" si="38"/>
        <v>12000</v>
      </c>
      <c r="M108" s="362"/>
      <c r="N108" s="347">
        <v>6</v>
      </c>
      <c r="O108" s="361">
        <v>12000</v>
      </c>
      <c r="P108" s="348"/>
      <c r="Q108" s="348"/>
      <c r="R108" s="348"/>
      <c r="S108" s="348"/>
      <c r="T108" s="348"/>
      <c r="U108" s="349">
        <f t="shared" si="49"/>
        <v>12000</v>
      </c>
      <c r="V108" s="350"/>
      <c r="W108" s="350"/>
      <c r="X108" s="350"/>
      <c r="Y108" s="350"/>
      <c r="Z108" s="350"/>
      <c r="AA108" s="350"/>
      <c r="AB108" s="350"/>
      <c r="AC108" s="349">
        <f t="shared" si="39"/>
        <v>12000</v>
      </c>
      <c r="AD108" s="351"/>
      <c r="AE108" s="352">
        <v>202606</v>
      </c>
      <c r="AF108" s="348"/>
      <c r="AG108" s="348"/>
      <c r="AH108" s="348"/>
      <c r="AI108" s="348"/>
      <c r="AJ108" s="348"/>
      <c r="AK108" s="348"/>
      <c r="AL108" s="353"/>
      <c r="AM108" s="349"/>
      <c r="AN108" s="348"/>
      <c r="AO108" s="348"/>
      <c r="AP108" s="348"/>
      <c r="AQ108" s="348"/>
      <c r="AR108" s="348"/>
      <c r="AS108" s="348"/>
      <c r="AT108" s="354"/>
      <c r="AU108" s="355"/>
      <c r="AV108" s="348"/>
      <c r="AW108" s="348"/>
      <c r="AX108" s="348"/>
      <c r="AY108" s="349"/>
      <c r="AZ108" s="348">
        <f t="shared" si="40"/>
        <v>0</v>
      </c>
      <c r="BA108" s="348"/>
      <c r="BB108" s="348">
        <f t="shared" si="41"/>
        <v>12000</v>
      </c>
      <c r="BC108" s="353"/>
      <c r="BD108" s="349">
        <f t="shared" si="42"/>
        <v>12000</v>
      </c>
      <c r="BE108" s="356"/>
      <c r="BF108" s="348"/>
      <c r="BG108" s="348"/>
      <c r="BH108" s="348"/>
      <c r="BI108" s="348"/>
      <c r="BJ108" s="348"/>
      <c r="BK108" s="353"/>
      <c r="BL108" s="349">
        <f t="shared" si="43"/>
        <v>0</v>
      </c>
      <c r="BM108" s="354"/>
      <c r="BN108" s="350"/>
      <c r="BO108" s="350"/>
      <c r="BP108" s="350"/>
      <c r="BQ108" s="350"/>
      <c r="BR108" s="349"/>
      <c r="BS108" s="349">
        <f t="shared" si="44"/>
        <v>0</v>
      </c>
      <c r="BT108" s="357">
        <v>1250</v>
      </c>
      <c r="BU108" s="357"/>
      <c r="BV108" s="358"/>
      <c r="BW108" s="359" t="str">
        <f t="shared" si="45"/>
        <v>弈工分健康（外包保安）杨永宁</v>
      </c>
      <c r="BX108" s="360" t="s">
        <v>258</v>
      </c>
      <c r="BY108" s="360" t="s">
        <v>259</v>
      </c>
      <c r="BZ108" s="360"/>
      <c r="CA108" s="360" t="e">
        <f>VLOOKUP(A108,hr.个税累计数据!C:C,1,0)</f>
        <v>#N/A</v>
      </c>
      <c r="CB108" s="360" t="s">
        <v>496</v>
      </c>
      <c r="CC108" s="360"/>
      <c r="CD108" s="243" t="b">
        <f t="shared" si="46"/>
        <v>1</v>
      </c>
    </row>
    <row r="109" s="243" customFormat="1" ht="23" hidden="1" customHeight="1" spans="1:82">
      <c r="A109" s="343" t="str">
        <f t="shared" ref="A109:A125" si="50">C109&amp;I109</f>
        <v>弈工分健康（外包保安）刘曦文</v>
      </c>
      <c r="B109" s="343" t="s">
        <v>53</v>
      </c>
      <c r="C109" s="343" t="s">
        <v>74</v>
      </c>
      <c r="D109" s="343" t="s">
        <v>252</v>
      </c>
      <c r="E109" s="344" t="s">
        <v>53</v>
      </c>
      <c r="F109" s="343" t="s">
        <v>436</v>
      </c>
      <c r="G109" s="343" t="s">
        <v>473</v>
      </c>
      <c r="H109" s="343" t="s">
        <v>497</v>
      </c>
      <c r="I109" s="343" t="s">
        <v>497</v>
      </c>
      <c r="J109" s="343" t="s">
        <v>271</v>
      </c>
      <c r="K109" s="345">
        <f t="shared" ref="K109:K125" si="51">AC109+BL109</f>
        <v>12000</v>
      </c>
      <c r="L109" s="346">
        <f t="shared" ref="L109:L125" si="52">AC109-AM109-AX109-AY109+SUM(AZ109:BA109)</f>
        <v>12000</v>
      </c>
      <c r="M109" s="362"/>
      <c r="N109" s="347">
        <v>6</v>
      </c>
      <c r="O109" s="361">
        <v>12000</v>
      </c>
      <c r="P109" s="348"/>
      <c r="Q109" s="348"/>
      <c r="R109" s="348"/>
      <c r="S109" s="348"/>
      <c r="T109" s="348"/>
      <c r="U109" s="349">
        <f t="shared" si="49"/>
        <v>12000</v>
      </c>
      <c r="V109" s="350"/>
      <c r="W109" s="350"/>
      <c r="X109" s="350"/>
      <c r="Y109" s="350"/>
      <c r="Z109" s="350"/>
      <c r="AA109" s="350"/>
      <c r="AB109" s="350"/>
      <c r="AC109" s="349">
        <f t="shared" ref="AC109:AC125" si="53">SUM(O109:T109)+SUM(V109:AB109)</f>
        <v>12000</v>
      </c>
      <c r="AD109" s="351"/>
      <c r="AE109" s="352">
        <v>202606</v>
      </c>
      <c r="AF109" s="348"/>
      <c r="AG109" s="348"/>
      <c r="AH109" s="348"/>
      <c r="AI109" s="348"/>
      <c r="AJ109" s="348"/>
      <c r="AK109" s="348"/>
      <c r="AL109" s="353"/>
      <c r="AM109" s="349"/>
      <c r="AN109" s="348"/>
      <c r="AO109" s="348"/>
      <c r="AP109" s="348"/>
      <c r="AQ109" s="348"/>
      <c r="AR109" s="348"/>
      <c r="AS109" s="348"/>
      <c r="AT109" s="354"/>
      <c r="AU109" s="355"/>
      <c r="AV109" s="348"/>
      <c r="AW109" s="348"/>
      <c r="AX109" s="348"/>
      <c r="AY109" s="349"/>
      <c r="AZ109" s="348">
        <f t="shared" ref="AZ109:AZ125" si="54">-S109</f>
        <v>0</v>
      </c>
      <c r="BA109" s="348"/>
      <c r="BB109" s="348">
        <f t="shared" ref="BB109:BB125" si="55">AC109-AM109-AY109-AX109+SUM(AZ109:BA109)</f>
        <v>12000</v>
      </c>
      <c r="BC109" s="353"/>
      <c r="BD109" s="349">
        <f t="shared" ref="BD109:BD125" si="56">AC109-AM109-AX109-AY109+SUM(AZ109:BA109)</f>
        <v>12000</v>
      </c>
      <c r="BE109" s="356"/>
      <c r="BF109" s="348"/>
      <c r="BG109" s="348"/>
      <c r="BH109" s="348"/>
      <c r="BI109" s="348"/>
      <c r="BJ109" s="348"/>
      <c r="BK109" s="353"/>
      <c r="BL109" s="349">
        <f t="shared" ref="BL109:BL125" si="57">SUM(BE109:BK109)</f>
        <v>0</v>
      </c>
      <c r="BM109" s="354"/>
      <c r="BN109" s="350"/>
      <c r="BO109" s="350"/>
      <c r="BP109" s="350"/>
      <c r="BQ109" s="350"/>
      <c r="BR109" s="349"/>
      <c r="BS109" s="349">
        <f t="shared" ref="BS109:BS125" si="58">SUM(V109:AB109)</f>
        <v>0</v>
      </c>
      <c r="BT109" s="357">
        <v>1250</v>
      </c>
      <c r="BU109" s="357"/>
      <c r="BV109" s="358"/>
      <c r="BW109" s="359" t="str">
        <f t="shared" ref="BW109:BW125" si="59">C109&amp;I109</f>
        <v>弈工分健康（外包保安）刘曦文</v>
      </c>
      <c r="BX109" s="360" t="s">
        <v>258</v>
      </c>
      <c r="BY109" s="360" t="s">
        <v>259</v>
      </c>
      <c r="BZ109" s="360"/>
      <c r="CA109" s="360" t="e">
        <f>VLOOKUP(A109,hr.个税累计数据!C:C,1,0)</f>
        <v>#N/A</v>
      </c>
      <c r="CB109" s="360" t="s">
        <v>498</v>
      </c>
      <c r="CC109" s="360"/>
      <c r="CD109" s="243" t="b">
        <f t="shared" ref="CD109:CD125" si="60">H109=I109</f>
        <v>1</v>
      </c>
    </row>
    <row r="110" s="243" customFormat="1" ht="23" hidden="1" customHeight="1" spans="1:82">
      <c r="A110" s="343" t="str">
        <f t="shared" si="50"/>
        <v>弈工分健康（外包保安）李俭波</v>
      </c>
      <c r="B110" s="343" t="s">
        <v>53</v>
      </c>
      <c r="C110" s="343" t="s">
        <v>74</v>
      </c>
      <c r="D110" s="343" t="s">
        <v>252</v>
      </c>
      <c r="E110" s="344" t="s">
        <v>53</v>
      </c>
      <c r="F110" s="343" t="s">
        <v>436</v>
      </c>
      <c r="G110" s="343" t="s">
        <v>473</v>
      </c>
      <c r="H110" s="343" t="s">
        <v>499</v>
      </c>
      <c r="I110" s="343" t="s">
        <v>499</v>
      </c>
      <c r="J110" s="343" t="s">
        <v>271</v>
      </c>
      <c r="K110" s="345">
        <f t="shared" si="51"/>
        <v>12000</v>
      </c>
      <c r="L110" s="346">
        <f t="shared" si="52"/>
        <v>12000</v>
      </c>
      <c r="M110" s="362"/>
      <c r="N110" s="347">
        <v>6</v>
      </c>
      <c r="O110" s="361">
        <v>12000</v>
      </c>
      <c r="P110" s="348"/>
      <c r="Q110" s="348"/>
      <c r="R110" s="348"/>
      <c r="S110" s="348"/>
      <c r="T110" s="348"/>
      <c r="U110" s="349">
        <f t="shared" si="49"/>
        <v>12000</v>
      </c>
      <c r="V110" s="350"/>
      <c r="W110" s="350"/>
      <c r="X110" s="350"/>
      <c r="Y110" s="350"/>
      <c r="Z110" s="350"/>
      <c r="AA110" s="350"/>
      <c r="AB110" s="350"/>
      <c r="AC110" s="349">
        <f t="shared" si="53"/>
        <v>12000</v>
      </c>
      <c r="AD110" s="351"/>
      <c r="AE110" s="352">
        <v>202606</v>
      </c>
      <c r="AF110" s="348"/>
      <c r="AG110" s="348"/>
      <c r="AH110" s="348"/>
      <c r="AI110" s="348"/>
      <c r="AJ110" s="348"/>
      <c r="AK110" s="348"/>
      <c r="AL110" s="353"/>
      <c r="AM110" s="349"/>
      <c r="AN110" s="348"/>
      <c r="AO110" s="348"/>
      <c r="AP110" s="348"/>
      <c r="AQ110" s="348"/>
      <c r="AR110" s="348"/>
      <c r="AS110" s="348"/>
      <c r="AT110" s="354"/>
      <c r="AU110" s="355"/>
      <c r="AV110" s="348"/>
      <c r="AW110" s="348"/>
      <c r="AX110" s="348"/>
      <c r="AY110" s="349"/>
      <c r="AZ110" s="348">
        <f t="shared" si="54"/>
        <v>0</v>
      </c>
      <c r="BA110" s="348"/>
      <c r="BB110" s="348">
        <f t="shared" si="55"/>
        <v>12000</v>
      </c>
      <c r="BC110" s="353"/>
      <c r="BD110" s="349">
        <f t="shared" si="56"/>
        <v>12000</v>
      </c>
      <c r="BE110" s="356"/>
      <c r="BF110" s="348"/>
      <c r="BG110" s="348"/>
      <c r="BH110" s="348"/>
      <c r="BI110" s="348"/>
      <c r="BJ110" s="348"/>
      <c r="BK110" s="353"/>
      <c r="BL110" s="349">
        <f t="shared" si="57"/>
        <v>0</v>
      </c>
      <c r="BM110" s="354"/>
      <c r="BN110" s="350"/>
      <c r="BO110" s="350"/>
      <c r="BP110" s="350"/>
      <c r="BQ110" s="350"/>
      <c r="BR110" s="349"/>
      <c r="BS110" s="349">
        <f t="shared" si="58"/>
        <v>0</v>
      </c>
      <c r="BT110" s="357">
        <v>1250</v>
      </c>
      <c r="BU110" s="357"/>
      <c r="BV110" s="358"/>
      <c r="BW110" s="359" t="str">
        <f t="shared" si="59"/>
        <v>弈工分健康（外包保安）李俭波</v>
      </c>
      <c r="BX110" s="360" t="s">
        <v>258</v>
      </c>
      <c r="BY110" s="360" t="s">
        <v>259</v>
      </c>
      <c r="BZ110" s="360"/>
      <c r="CA110" s="360" t="e">
        <f>VLOOKUP(A110,hr.个税累计数据!C:C,1,0)</f>
        <v>#N/A</v>
      </c>
      <c r="CB110" s="360" t="s">
        <v>500</v>
      </c>
      <c r="CC110" s="360"/>
      <c r="CD110" s="243" t="b">
        <f t="shared" si="60"/>
        <v>1</v>
      </c>
    </row>
    <row r="111" s="243" customFormat="1" ht="23" hidden="1" customHeight="1" spans="1:82">
      <c r="A111" s="343" t="str">
        <f t="shared" si="50"/>
        <v>弈工分健康（外包保安）李军立</v>
      </c>
      <c r="B111" s="343" t="s">
        <v>53</v>
      </c>
      <c r="C111" s="343" t="s">
        <v>74</v>
      </c>
      <c r="D111" s="343" t="s">
        <v>252</v>
      </c>
      <c r="E111" s="344" t="s">
        <v>53</v>
      </c>
      <c r="F111" s="343" t="s">
        <v>436</v>
      </c>
      <c r="G111" s="343" t="s">
        <v>473</v>
      </c>
      <c r="H111" s="343" t="s">
        <v>501</v>
      </c>
      <c r="I111" s="343" t="s">
        <v>501</v>
      </c>
      <c r="J111" s="343" t="s">
        <v>271</v>
      </c>
      <c r="K111" s="345">
        <f t="shared" si="51"/>
        <v>12000</v>
      </c>
      <c r="L111" s="346">
        <f t="shared" si="52"/>
        <v>12000</v>
      </c>
      <c r="M111" s="362"/>
      <c r="N111" s="347">
        <v>6</v>
      </c>
      <c r="O111" s="361">
        <v>12000</v>
      </c>
      <c r="P111" s="348"/>
      <c r="Q111" s="348"/>
      <c r="R111" s="348"/>
      <c r="S111" s="348"/>
      <c r="T111" s="348"/>
      <c r="U111" s="349">
        <f t="shared" si="49"/>
        <v>12000</v>
      </c>
      <c r="V111" s="350"/>
      <c r="W111" s="350"/>
      <c r="X111" s="350"/>
      <c r="Y111" s="350"/>
      <c r="Z111" s="350"/>
      <c r="AA111" s="350"/>
      <c r="AB111" s="350"/>
      <c r="AC111" s="349">
        <f t="shared" si="53"/>
        <v>12000</v>
      </c>
      <c r="AD111" s="351"/>
      <c r="AE111" s="352">
        <v>202606</v>
      </c>
      <c r="AF111" s="348"/>
      <c r="AG111" s="348"/>
      <c r="AH111" s="348"/>
      <c r="AI111" s="348"/>
      <c r="AJ111" s="348"/>
      <c r="AK111" s="348"/>
      <c r="AL111" s="353"/>
      <c r="AM111" s="349"/>
      <c r="AN111" s="348"/>
      <c r="AO111" s="348"/>
      <c r="AP111" s="348"/>
      <c r="AQ111" s="348"/>
      <c r="AR111" s="348"/>
      <c r="AS111" s="348"/>
      <c r="AT111" s="354"/>
      <c r="AU111" s="355"/>
      <c r="AV111" s="348"/>
      <c r="AW111" s="348"/>
      <c r="AX111" s="348"/>
      <c r="AY111" s="349"/>
      <c r="AZ111" s="348">
        <f t="shared" si="54"/>
        <v>0</v>
      </c>
      <c r="BA111" s="348"/>
      <c r="BB111" s="348">
        <f t="shared" si="55"/>
        <v>12000</v>
      </c>
      <c r="BC111" s="353"/>
      <c r="BD111" s="349">
        <f t="shared" si="56"/>
        <v>12000</v>
      </c>
      <c r="BE111" s="356"/>
      <c r="BF111" s="348"/>
      <c r="BG111" s="348"/>
      <c r="BH111" s="348"/>
      <c r="BI111" s="348"/>
      <c r="BJ111" s="348"/>
      <c r="BK111" s="353"/>
      <c r="BL111" s="349">
        <f t="shared" si="57"/>
        <v>0</v>
      </c>
      <c r="BM111" s="354"/>
      <c r="BN111" s="350"/>
      <c r="BO111" s="350"/>
      <c r="BP111" s="350"/>
      <c r="BQ111" s="350"/>
      <c r="BR111" s="349"/>
      <c r="BS111" s="349">
        <f t="shared" si="58"/>
        <v>0</v>
      </c>
      <c r="BT111" s="357">
        <v>1250</v>
      </c>
      <c r="BU111" s="357"/>
      <c r="BV111" s="358"/>
      <c r="BW111" s="359" t="str">
        <f t="shared" si="59"/>
        <v>弈工分健康（外包保安）李军立</v>
      </c>
      <c r="BX111" s="360" t="s">
        <v>258</v>
      </c>
      <c r="BY111" s="360" t="s">
        <v>259</v>
      </c>
      <c r="BZ111" s="360"/>
      <c r="CA111" s="360" t="e">
        <f>VLOOKUP(A111,hr.个税累计数据!C:C,1,0)</f>
        <v>#N/A</v>
      </c>
      <c r="CB111" s="360" t="s">
        <v>502</v>
      </c>
      <c r="CC111" s="360"/>
      <c r="CD111" s="243" t="b">
        <f t="shared" si="60"/>
        <v>1</v>
      </c>
    </row>
    <row r="112" s="243" customFormat="1" ht="23" hidden="1" customHeight="1" spans="1:82">
      <c r="A112" s="343" t="str">
        <f t="shared" si="50"/>
        <v>弈工分健康（外包保安）胡保林</v>
      </c>
      <c r="B112" s="343" t="s">
        <v>53</v>
      </c>
      <c r="C112" s="343" t="s">
        <v>74</v>
      </c>
      <c r="D112" s="343" t="s">
        <v>252</v>
      </c>
      <c r="E112" s="344" t="s">
        <v>53</v>
      </c>
      <c r="F112" s="343" t="s">
        <v>436</v>
      </c>
      <c r="G112" s="343" t="s">
        <v>473</v>
      </c>
      <c r="H112" s="343" t="s">
        <v>503</v>
      </c>
      <c r="I112" s="343" t="s">
        <v>503</v>
      </c>
      <c r="J112" s="343" t="s">
        <v>271</v>
      </c>
      <c r="K112" s="345">
        <f t="shared" si="51"/>
        <v>12000</v>
      </c>
      <c r="L112" s="346">
        <f t="shared" si="52"/>
        <v>12000</v>
      </c>
      <c r="M112" s="362"/>
      <c r="N112" s="347">
        <v>6</v>
      </c>
      <c r="O112" s="361">
        <v>12000</v>
      </c>
      <c r="P112" s="348"/>
      <c r="Q112" s="348"/>
      <c r="R112" s="348"/>
      <c r="S112" s="348"/>
      <c r="T112" s="348"/>
      <c r="U112" s="349">
        <f t="shared" si="49"/>
        <v>12000</v>
      </c>
      <c r="V112" s="350"/>
      <c r="W112" s="350"/>
      <c r="X112" s="350"/>
      <c r="Y112" s="350"/>
      <c r="Z112" s="350"/>
      <c r="AA112" s="350"/>
      <c r="AB112" s="350"/>
      <c r="AC112" s="349">
        <f t="shared" si="53"/>
        <v>12000</v>
      </c>
      <c r="AD112" s="351"/>
      <c r="AE112" s="352">
        <v>202606</v>
      </c>
      <c r="AF112" s="348"/>
      <c r="AG112" s="348"/>
      <c r="AH112" s="348"/>
      <c r="AI112" s="348"/>
      <c r="AJ112" s="348"/>
      <c r="AK112" s="348"/>
      <c r="AL112" s="353"/>
      <c r="AM112" s="349"/>
      <c r="AN112" s="348"/>
      <c r="AO112" s="348"/>
      <c r="AP112" s="348"/>
      <c r="AQ112" s="348"/>
      <c r="AR112" s="348"/>
      <c r="AS112" s="348"/>
      <c r="AT112" s="354"/>
      <c r="AU112" s="355"/>
      <c r="AV112" s="348"/>
      <c r="AW112" s="348"/>
      <c r="AX112" s="348"/>
      <c r="AY112" s="349"/>
      <c r="AZ112" s="348">
        <f t="shared" si="54"/>
        <v>0</v>
      </c>
      <c r="BA112" s="348"/>
      <c r="BB112" s="348">
        <f t="shared" si="55"/>
        <v>12000</v>
      </c>
      <c r="BC112" s="353"/>
      <c r="BD112" s="349">
        <f t="shared" si="56"/>
        <v>12000</v>
      </c>
      <c r="BE112" s="356"/>
      <c r="BF112" s="348"/>
      <c r="BG112" s="348"/>
      <c r="BH112" s="348"/>
      <c r="BI112" s="348"/>
      <c r="BJ112" s="348"/>
      <c r="BK112" s="353"/>
      <c r="BL112" s="349">
        <f t="shared" si="57"/>
        <v>0</v>
      </c>
      <c r="BM112" s="354"/>
      <c r="BN112" s="350"/>
      <c r="BO112" s="350"/>
      <c r="BP112" s="350"/>
      <c r="BQ112" s="350"/>
      <c r="BR112" s="349"/>
      <c r="BS112" s="349">
        <f t="shared" si="58"/>
        <v>0</v>
      </c>
      <c r="BT112" s="357">
        <v>1250</v>
      </c>
      <c r="BU112" s="357"/>
      <c r="BV112" s="358"/>
      <c r="BW112" s="359" t="str">
        <f t="shared" si="59"/>
        <v>弈工分健康（外包保安）胡保林</v>
      </c>
      <c r="BX112" s="360" t="s">
        <v>258</v>
      </c>
      <c r="BY112" s="360" t="s">
        <v>259</v>
      </c>
      <c r="BZ112" s="360"/>
      <c r="CA112" s="360" t="e">
        <f>VLOOKUP(A112,hr.个税累计数据!C:C,1,0)</f>
        <v>#N/A</v>
      </c>
      <c r="CB112" s="360" t="s">
        <v>504</v>
      </c>
      <c r="CC112" s="360"/>
      <c r="CD112" s="243" t="b">
        <f t="shared" si="60"/>
        <v>1</v>
      </c>
    </row>
    <row r="113" s="243" customFormat="1" ht="23" hidden="1" customHeight="1" spans="1:82">
      <c r="A113" s="343" t="str">
        <f t="shared" si="50"/>
        <v>弈工分健康（外包保安）贾元录</v>
      </c>
      <c r="B113" s="343" t="s">
        <v>53</v>
      </c>
      <c r="C113" s="343" t="s">
        <v>74</v>
      </c>
      <c r="D113" s="343" t="s">
        <v>252</v>
      </c>
      <c r="E113" s="344" t="s">
        <v>53</v>
      </c>
      <c r="F113" s="343" t="s">
        <v>436</v>
      </c>
      <c r="G113" s="343" t="s">
        <v>473</v>
      </c>
      <c r="H113" s="343" t="s">
        <v>505</v>
      </c>
      <c r="I113" s="343" t="s">
        <v>505</v>
      </c>
      <c r="J113" s="343" t="s">
        <v>271</v>
      </c>
      <c r="K113" s="345">
        <f t="shared" si="51"/>
        <v>12000</v>
      </c>
      <c r="L113" s="346">
        <f t="shared" si="52"/>
        <v>12000</v>
      </c>
      <c r="M113" s="362"/>
      <c r="N113" s="347">
        <v>6</v>
      </c>
      <c r="O113" s="361">
        <v>12000</v>
      </c>
      <c r="P113" s="348"/>
      <c r="Q113" s="348"/>
      <c r="R113" s="348"/>
      <c r="S113" s="348"/>
      <c r="T113" s="348"/>
      <c r="U113" s="349">
        <f t="shared" si="49"/>
        <v>12000</v>
      </c>
      <c r="V113" s="350"/>
      <c r="W113" s="350"/>
      <c r="X113" s="350"/>
      <c r="Y113" s="350"/>
      <c r="Z113" s="350"/>
      <c r="AA113" s="350"/>
      <c r="AB113" s="350"/>
      <c r="AC113" s="349">
        <f t="shared" si="53"/>
        <v>12000</v>
      </c>
      <c r="AD113" s="351"/>
      <c r="AE113" s="352">
        <v>202606</v>
      </c>
      <c r="AF113" s="348"/>
      <c r="AG113" s="348"/>
      <c r="AH113" s="348"/>
      <c r="AI113" s="348"/>
      <c r="AJ113" s="348"/>
      <c r="AK113" s="348"/>
      <c r="AL113" s="353"/>
      <c r="AM113" s="349"/>
      <c r="AN113" s="348"/>
      <c r="AO113" s="348"/>
      <c r="AP113" s="348"/>
      <c r="AQ113" s="348"/>
      <c r="AR113" s="348"/>
      <c r="AS113" s="348"/>
      <c r="AT113" s="354"/>
      <c r="AU113" s="355"/>
      <c r="AV113" s="348"/>
      <c r="AW113" s="348"/>
      <c r="AX113" s="348"/>
      <c r="AY113" s="349"/>
      <c r="AZ113" s="348">
        <f t="shared" si="54"/>
        <v>0</v>
      </c>
      <c r="BA113" s="348"/>
      <c r="BB113" s="348">
        <f t="shared" si="55"/>
        <v>12000</v>
      </c>
      <c r="BC113" s="353"/>
      <c r="BD113" s="349">
        <f t="shared" si="56"/>
        <v>12000</v>
      </c>
      <c r="BE113" s="356"/>
      <c r="BF113" s="348"/>
      <c r="BG113" s="348"/>
      <c r="BH113" s="348"/>
      <c r="BI113" s="348"/>
      <c r="BJ113" s="348"/>
      <c r="BK113" s="353"/>
      <c r="BL113" s="349">
        <f t="shared" si="57"/>
        <v>0</v>
      </c>
      <c r="BM113" s="354"/>
      <c r="BN113" s="350"/>
      <c r="BO113" s="350"/>
      <c r="BP113" s="350"/>
      <c r="BQ113" s="350"/>
      <c r="BR113" s="349"/>
      <c r="BS113" s="349">
        <f t="shared" si="58"/>
        <v>0</v>
      </c>
      <c r="BT113" s="357">
        <v>1250</v>
      </c>
      <c r="BU113" s="357"/>
      <c r="BV113" s="358"/>
      <c r="BW113" s="359" t="str">
        <f t="shared" si="59"/>
        <v>弈工分健康（外包保安）贾元录</v>
      </c>
      <c r="BX113" s="360" t="s">
        <v>258</v>
      </c>
      <c r="BY113" s="360" t="s">
        <v>259</v>
      </c>
      <c r="BZ113" s="360"/>
      <c r="CA113" s="360" t="e">
        <f>VLOOKUP(A113,hr.个税累计数据!C:C,1,0)</f>
        <v>#N/A</v>
      </c>
      <c r="CB113" s="360" t="s">
        <v>506</v>
      </c>
      <c r="CC113" s="360"/>
      <c r="CD113" s="243" t="b">
        <f t="shared" si="60"/>
        <v>1</v>
      </c>
    </row>
    <row r="114" s="243" customFormat="1" ht="23" hidden="1" customHeight="1" spans="1:82">
      <c r="A114" s="343" t="str">
        <f t="shared" si="50"/>
        <v>弈工分健康（外包保安）徐刘岸</v>
      </c>
      <c r="B114" s="343" t="s">
        <v>53</v>
      </c>
      <c r="C114" s="343" t="s">
        <v>74</v>
      </c>
      <c r="D114" s="343" t="s">
        <v>252</v>
      </c>
      <c r="E114" s="344" t="s">
        <v>53</v>
      </c>
      <c r="F114" s="343" t="s">
        <v>436</v>
      </c>
      <c r="G114" s="343" t="s">
        <v>473</v>
      </c>
      <c r="H114" s="343" t="s">
        <v>507</v>
      </c>
      <c r="I114" s="343" t="s">
        <v>507</v>
      </c>
      <c r="J114" s="343" t="s">
        <v>271</v>
      </c>
      <c r="K114" s="345">
        <f t="shared" si="51"/>
        <v>11600</v>
      </c>
      <c r="L114" s="346">
        <f t="shared" si="52"/>
        <v>11600</v>
      </c>
      <c r="M114" s="362"/>
      <c r="N114" s="347">
        <v>2</v>
      </c>
      <c r="O114" s="361">
        <f t="shared" ref="O114:O123" si="61">11600</f>
        <v>11600</v>
      </c>
      <c r="P114" s="348"/>
      <c r="Q114" s="348"/>
      <c r="R114" s="348"/>
      <c r="S114" s="348"/>
      <c r="T114" s="348"/>
      <c r="U114" s="349">
        <f t="shared" si="49"/>
        <v>11600</v>
      </c>
      <c r="V114" s="350"/>
      <c r="W114" s="350"/>
      <c r="X114" s="350"/>
      <c r="Y114" s="350"/>
      <c r="Z114" s="350"/>
      <c r="AA114" s="350"/>
      <c r="AB114" s="350"/>
      <c r="AC114" s="349">
        <f t="shared" si="53"/>
        <v>11600</v>
      </c>
      <c r="AD114" s="351"/>
      <c r="AE114" s="352">
        <v>202606</v>
      </c>
      <c r="AF114" s="348"/>
      <c r="AG114" s="348"/>
      <c r="AH114" s="348"/>
      <c r="AI114" s="348"/>
      <c r="AJ114" s="348"/>
      <c r="AK114" s="348"/>
      <c r="AL114" s="353"/>
      <c r="AM114" s="349"/>
      <c r="AN114" s="348"/>
      <c r="AO114" s="348"/>
      <c r="AP114" s="348"/>
      <c r="AQ114" s="348"/>
      <c r="AR114" s="348"/>
      <c r="AS114" s="348"/>
      <c r="AT114" s="354"/>
      <c r="AU114" s="355"/>
      <c r="AV114" s="348"/>
      <c r="AW114" s="348"/>
      <c r="AX114" s="348"/>
      <c r="AY114" s="349"/>
      <c r="AZ114" s="348">
        <f t="shared" si="54"/>
        <v>0</v>
      </c>
      <c r="BA114" s="348"/>
      <c r="BB114" s="348">
        <f t="shared" si="55"/>
        <v>11600</v>
      </c>
      <c r="BC114" s="353"/>
      <c r="BD114" s="349">
        <f t="shared" si="56"/>
        <v>11600</v>
      </c>
      <c r="BE114" s="356"/>
      <c r="BF114" s="348"/>
      <c r="BG114" s="348"/>
      <c r="BH114" s="348"/>
      <c r="BI114" s="348"/>
      <c r="BJ114" s="348"/>
      <c r="BK114" s="353"/>
      <c r="BL114" s="349">
        <f t="shared" si="57"/>
        <v>0</v>
      </c>
      <c r="BM114" s="354"/>
      <c r="BN114" s="350"/>
      <c r="BO114" s="350"/>
      <c r="BP114" s="350"/>
      <c r="BQ114" s="350"/>
      <c r="BR114" s="349"/>
      <c r="BS114" s="349">
        <f t="shared" si="58"/>
        <v>0</v>
      </c>
      <c r="BT114" s="357">
        <v>1250</v>
      </c>
      <c r="BU114" s="357"/>
      <c r="BV114" s="358"/>
      <c r="BW114" s="359" t="str">
        <f t="shared" si="59"/>
        <v>弈工分健康（外包保安）徐刘岸</v>
      </c>
      <c r="BX114" s="360" t="s">
        <v>258</v>
      </c>
      <c r="BY114" s="360" t="s">
        <v>259</v>
      </c>
      <c r="BZ114" s="360"/>
      <c r="CA114" s="360" t="e">
        <f>VLOOKUP(A114,hr.个税累计数据!C:C,1,0)</f>
        <v>#N/A</v>
      </c>
      <c r="CB114" s="360" t="s">
        <v>506</v>
      </c>
      <c r="CC114" s="360"/>
      <c r="CD114" s="243" t="b">
        <f t="shared" si="60"/>
        <v>1</v>
      </c>
    </row>
    <row r="115" s="243" customFormat="1" ht="23" hidden="1" customHeight="1" spans="1:82">
      <c r="A115" s="343" t="str">
        <f t="shared" si="50"/>
        <v>弈工分健康（外包保安）马金超</v>
      </c>
      <c r="B115" s="343" t="s">
        <v>53</v>
      </c>
      <c r="C115" s="343" t="s">
        <v>74</v>
      </c>
      <c r="D115" s="343" t="s">
        <v>252</v>
      </c>
      <c r="E115" s="344" t="s">
        <v>53</v>
      </c>
      <c r="F115" s="343" t="s">
        <v>436</v>
      </c>
      <c r="G115" s="343" t="s">
        <v>473</v>
      </c>
      <c r="H115" s="343" t="s">
        <v>508</v>
      </c>
      <c r="I115" s="343" t="s">
        <v>508</v>
      </c>
      <c r="J115" s="343" t="s">
        <v>271</v>
      </c>
      <c r="K115" s="345">
        <f t="shared" si="51"/>
        <v>11600</v>
      </c>
      <c r="L115" s="346">
        <f t="shared" si="52"/>
        <v>11600</v>
      </c>
      <c r="M115" s="362"/>
      <c r="N115" s="347">
        <v>2</v>
      </c>
      <c r="O115" s="361">
        <f t="shared" si="61"/>
        <v>11600</v>
      </c>
      <c r="P115" s="348"/>
      <c r="Q115" s="348"/>
      <c r="R115" s="348"/>
      <c r="S115" s="348"/>
      <c r="T115" s="348"/>
      <c r="U115" s="349">
        <f t="shared" si="49"/>
        <v>11600</v>
      </c>
      <c r="V115" s="350"/>
      <c r="W115" s="350"/>
      <c r="X115" s="350"/>
      <c r="Y115" s="350"/>
      <c r="Z115" s="350"/>
      <c r="AA115" s="350"/>
      <c r="AB115" s="350"/>
      <c r="AC115" s="349">
        <f t="shared" si="53"/>
        <v>11600</v>
      </c>
      <c r="AD115" s="351"/>
      <c r="AE115" s="352">
        <v>202606</v>
      </c>
      <c r="AF115" s="348"/>
      <c r="AG115" s="348"/>
      <c r="AH115" s="348"/>
      <c r="AI115" s="348"/>
      <c r="AJ115" s="348"/>
      <c r="AK115" s="348"/>
      <c r="AL115" s="353"/>
      <c r="AM115" s="349"/>
      <c r="AN115" s="348"/>
      <c r="AO115" s="348"/>
      <c r="AP115" s="348"/>
      <c r="AQ115" s="348"/>
      <c r="AR115" s="348"/>
      <c r="AS115" s="348"/>
      <c r="AT115" s="354"/>
      <c r="AU115" s="355"/>
      <c r="AV115" s="348"/>
      <c r="AW115" s="348"/>
      <c r="AX115" s="348"/>
      <c r="AY115" s="349"/>
      <c r="AZ115" s="348">
        <f t="shared" si="54"/>
        <v>0</v>
      </c>
      <c r="BA115" s="348"/>
      <c r="BB115" s="348">
        <f t="shared" si="55"/>
        <v>11600</v>
      </c>
      <c r="BC115" s="353"/>
      <c r="BD115" s="349">
        <f t="shared" si="56"/>
        <v>11600</v>
      </c>
      <c r="BE115" s="356"/>
      <c r="BF115" s="348"/>
      <c r="BG115" s="348"/>
      <c r="BH115" s="348"/>
      <c r="BI115" s="348"/>
      <c r="BJ115" s="348"/>
      <c r="BK115" s="353"/>
      <c r="BL115" s="349">
        <f t="shared" si="57"/>
        <v>0</v>
      </c>
      <c r="BM115" s="354"/>
      <c r="BN115" s="350"/>
      <c r="BO115" s="350"/>
      <c r="BP115" s="350"/>
      <c r="BQ115" s="350"/>
      <c r="BR115" s="349"/>
      <c r="BS115" s="349">
        <f t="shared" si="58"/>
        <v>0</v>
      </c>
      <c r="BT115" s="357">
        <v>1250</v>
      </c>
      <c r="BU115" s="357"/>
      <c r="BV115" s="358"/>
      <c r="BW115" s="359" t="str">
        <f t="shared" si="59"/>
        <v>弈工分健康（外包保安）马金超</v>
      </c>
      <c r="BX115" s="360" t="s">
        <v>258</v>
      </c>
      <c r="BY115" s="360" t="s">
        <v>259</v>
      </c>
      <c r="BZ115" s="360"/>
      <c r="CA115" s="360" t="e">
        <f>VLOOKUP(A115,hr.个税累计数据!C:C,1,0)</f>
        <v>#N/A</v>
      </c>
      <c r="CB115" s="360" t="s">
        <v>506</v>
      </c>
      <c r="CC115" s="360"/>
      <c r="CD115" s="243" t="b">
        <f t="shared" si="60"/>
        <v>1</v>
      </c>
    </row>
    <row r="116" s="243" customFormat="1" ht="23" hidden="1" customHeight="1" spans="1:82">
      <c r="A116" s="343" t="str">
        <f t="shared" si="50"/>
        <v>弈工分健康（外包保安）宋英杰</v>
      </c>
      <c r="B116" s="343" t="s">
        <v>53</v>
      </c>
      <c r="C116" s="343" t="s">
        <v>74</v>
      </c>
      <c r="D116" s="343" t="s">
        <v>252</v>
      </c>
      <c r="E116" s="344" t="s">
        <v>53</v>
      </c>
      <c r="F116" s="343" t="s">
        <v>436</v>
      </c>
      <c r="G116" s="343" t="s">
        <v>473</v>
      </c>
      <c r="H116" s="343" t="s">
        <v>509</v>
      </c>
      <c r="I116" s="343" t="s">
        <v>509</v>
      </c>
      <c r="J116" s="343" t="s">
        <v>271</v>
      </c>
      <c r="K116" s="345">
        <f t="shared" si="51"/>
        <v>11600</v>
      </c>
      <c r="L116" s="346">
        <f t="shared" si="52"/>
        <v>11600</v>
      </c>
      <c r="M116" s="362"/>
      <c r="N116" s="347">
        <v>2</v>
      </c>
      <c r="O116" s="361">
        <f t="shared" si="61"/>
        <v>11600</v>
      </c>
      <c r="P116" s="348"/>
      <c r="Q116" s="348"/>
      <c r="R116" s="348"/>
      <c r="S116" s="348"/>
      <c r="T116" s="348"/>
      <c r="U116" s="349">
        <f t="shared" si="49"/>
        <v>11600</v>
      </c>
      <c r="V116" s="350"/>
      <c r="W116" s="350"/>
      <c r="X116" s="350"/>
      <c r="Y116" s="350"/>
      <c r="Z116" s="350"/>
      <c r="AA116" s="350"/>
      <c r="AB116" s="350"/>
      <c r="AC116" s="349">
        <f t="shared" si="53"/>
        <v>11600</v>
      </c>
      <c r="AD116" s="351"/>
      <c r="AE116" s="352">
        <v>202606</v>
      </c>
      <c r="AF116" s="348"/>
      <c r="AG116" s="348"/>
      <c r="AH116" s="348"/>
      <c r="AI116" s="348"/>
      <c r="AJ116" s="348"/>
      <c r="AK116" s="348"/>
      <c r="AL116" s="353"/>
      <c r="AM116" s="349"/>
      <c r="AN116" s="348"/>
      <c r="AO116" s="348"/>
      <c r="AP116" s="348"/>
      <c r="AQ116" s="348"/>
      <c r="AR116" s="348"/>
      <c r="AS116" s="348"/>
      <c r="AT116" s="354"/>
      <c r="AU116" s="355"/>
      <c r="AV116" s="348"/>
      <c r="AW116" s="348"/>
      <c r="AX116" s="348"/>
      <c r="AY116" s="349"/>
      <c r="AZ116" s="348">
        <f t="shared" si="54"/>
        <v>0</v>
      </c>
      <c r="BA116" s="348"/>
      <c r="BB116" s="348">
        <f t="shared" si="55"/>
        <v>11600</v>
      </c>
      <c r="BC116" s="353"/>
      <c r="BD116" s="349">
        <f t="shared" si="56"/>
        <v>11600</v>
      </c>
      <c r="BE116" s="356"/>
      <c r="BF116" s="348"/>
      <c r="BG116" s="348"/>
      <c r="BH116" s="348"/>
      <c r="BI116" s="348"/>
      <c r="BJ116" s="348"/>
      <c r="BK116" s="353"/>
      <c r="BL116" s="349">
        <f t="shared" si="57"/>
        <v>0</v>
      </c>
      <c r="BM116" s="354"/>
      <c r="BN116" s="350"/>
      <c r="BO116" s="350"/>
      <c r="BP116" s="350"/>
      <c r="BQ116" s="350"/>
      <c r="BR116" s="349"/>
      <c r="BS116" s="349">
        <f t="shared" si="58"/>
        <v>0</v>
      </c>
      <c r="BT116" s="357">
        <v>1250</v>
      </c>
      <c r="BU116" s="357"/>
      <c r="BV116" s="358"/>
      <c r="BW116" s="359" t="str">
        <f t="shared" si="59"/>
        <v>弈工分健康（外包保安）宋英杰</v>
      </c>
      <c r="BX116" s="360" t="s">
        <v>258</v>
      </c>
      <c r="BY116" s="360" t="s">
        <v>259</v>
      </c>
      <c r="BZ116" s="360"/>
      <c r="CA116" s="360" t="e">
        <f>VLOOKUP(A116,hr.个税累计数据!C:C,1,0)</f>
        <v>#N/A</v>
      </c>
      <c r="CB116" s="360" t="s">
        <v>506</v>
      </c>
      <c r="CC116" s="360"/>
      <c r="CD116" s="243" t="b">
        <f t="shared" si="60"/>
        <v>1</v>
      </c>
    </row>
    <row r="117" s="243" customFormat="1" ht="23" hidden="1" customHeight="1" spans="1:82">
      <c r="A117" s="343" t="str">
        <f t="shared" si="50"/>
        <v>弈工分健康（外包保安）李龙</v>
      </c>
      <c r="B117" s="343" t="s">
        <v>53</v>
      </c>
      <c r="C117" s="343" t="s">
        <v>74</v>
      </c>
      <c r="D117" s="343" t="s">
        <v>252</v>
      </c>
      <c r="E117" s="344" t="s">
        <v>53</v>
      </c>
      <c r="F117" s="343" t="s">
        <v>436</v>
      </c>
      <c r="G117" s="343" t="s">
        <v>473</v>
      </c>
      <c r="H117" s="343" t="s">
        <v>510</v>
      </c>
      <c r="I117" s="343" t="s">
        <v>510</v>
      </c>
      <c r="J117" s="343" t="s">
        <v>271</v>
      </c>
      <c r="K117" s="345">
        <f t="shared" si="51"/>
        <v>11600</v>
      </c>
      <c r="L117" s="346">
        <f t="shared" si="52"/>
        <v>11600</v>
      </c>
      <c r="M117" s="362"/>
      <c r="N117" s="347">
        <v>2</v>
      </c>
      <c r="O117" s="361">
        <f t="shared" si="61"/>
        <v>11600</v>
      </c>
      <c r="P117" s="348"/>
      <c r="Q117" s="348"/>
      <c r="R117" s="348"/>
      <c r="S117" s="348"/>
      <c r="T117" s="348"/>
      <c r="U117" s="349">
        <f t="shared" si="49"/>
        <v>11600</v>
      </c>
      <c r="V117" s="350"/>
      <c r="W117" s="350"/>
      <c r="X117" s="350"/>
      <c r="Y117" s="350"/>
      <c r="Z117" s="350"/>
      <c r="AA117" s="350"/>
      <c r="AB117" s="350"/>
      <c r="AC117" s="349">
        <f t="shared" si="53"/>
        <v>11600</v>
      </c>
      <c r="AD117" s="351"/>
      <c r="AE117" s="352">
        <v>202606</v>
      </c>
      <c r="AF117" s="348"/>
      <c r="AG117" s="348"/>
      <c r="AH117" s="348"/>
      <c r="AI117" s="348"/>
      <c r="AJ117" s="348"/>
      <c r="AK117" s="348"/>
      <c r="AL117" s="353"/>
      <c r="AM117" s="349"/>
      <c r="AN117" s="348"/>
      <c r="AO117" s="348"/>
      <c r="AP117" s="348"/>
      <c r="AQ117" s="348"/>
      <c r="AR117" s="348"/>
      <c r="AS117" s="348"/>
      <c r="AT117" s="354"/>
      <c r="AU117" s="355"/>
      <c r="AV117" s="348"/>
      <c r="AW117" s="348"/>
      <c r="AX117" s="348"/>
      <c r="AY117" s="349"/>
      <c r="AZ117" s="348">
        <f t="shared" si="54"/>
        <v>0</v>
      </c>
      <c r="BA117" s="348"/>
      <c r="BB117" s="348">
        <f t="shared" si="55"/>
        <v>11600</v>
      </c>
      <c r="BC117" s="353"/>
      <c r="BD117" s="349">
        <f t="shared" si="56"/>
        <v>11600</v>
      </c>
      <c r="BE117" s="356"/>
      <c r="BF117" s="348"/>
      <c r="BG117" s="348"/>
      <c r="BH117" s="348"/>
      <c r="BI117" s="348"/>
      <c r="BJ117" s="348"/>
      <c r="BK117" s="353"/>
      <c r="BL117" s="349">
        <f t="shared" si="57"/>
        <v>0</v>
      </c>
      <c r="BM117" s="354"/>
      <c r="BN117" s="350"/>
      <c r="BO117" s="350"/>
      <c r="BP117" s="350"/>
      <c r="BQ117" s="350"/>
      <c r="BR117" s="349"/>
      <c r="BS117" s="349">
        <f t="shared" si="58"/>
        <v>0</v>
      </c>
      <c r="BT117" s="357">
        <v>1250</v>
      </c>
      <c r="BU117" s="357"/>
      <c r="BV117" s="358"/>
      <c r="BW117" s="359" t="str">
        <f t="shared" si="59"/>
        <v>弈工分健康（外包保安）李龙</v>
      </c>
      <c r="BX117" s="360" t="s">
        <v>258</v>
      </c>
      <c r="BY117" s="360" t="s">
        <v>259</v>
      </c>
      <c r="BZ117" s="360"/>
      <c r="CA117" s="360" t="e">
        <f>VLOOKUP(A117,hr.个税累计数据!C:C,1,0)</f>
        <v>#N/A</v>
      </c>
      <c r="CB117" s="360" t="s">
        <v>506</v>
      </c>
      <c r="CC117" s="360"/>
      <c r="CD117" s="243" t="b">
        <f t="shared" si="60"/>
        <v>1</v>
      </c>
    </row>
    <row r="118" s="243" customFormat="1" ht="23" hidden="1" customHeight="1" spans="1:82">
      <c r="A118" s="343" t="str">
        <f t="shared" si="50"/>
        <v>弈工分健康（外包保安）朱家良</v>
      </c>
      <c r="B118" s="343" t="s">
        <v>53</v>
      </c>
      <c r="C118" s="343" t="s">
        <v>74</v>
      </c>
      <c r="D118" s="343" t="s">
        <v>252</v>
      </c>
      <c r="E118" s="344" t="s">
        <v>53</v>
      </c>
      <c r="F118" s="343" t="s">
        <v>436</v>
      </c>
      <c r="G118" s="343" t="s">
        <v>473</v>
      </c>
      <c r="H118" s="343" t="s">
        <v>511</v>
      </c>
      <c r="I118" s="343" t="s">
        <v>511</v>
      </c>
      <c r="J118" s="343" t="s">
        <v>271</v>
      </c>
      <c r="K118" s="345">
        <f t="shared" si="51"/>
        <v>11600</v>
      </c>
      <c r="L118" s="346">
        <f t="shared" si="52"/>
        <v>11600</v>
      </c>
      <c r="M118" s="362"/>
      <c r="N118" s="347">
        <v>2</v>
      </c>
      <c r="O118" s="361">
        <f t="shared" si="61"/>
        <v>11600</v>
      </c>
      <c r="P118" s="348"/>
      <c r="Q118" s="348"/>
      <c r="R118" s="348"/>
      <c r="S118" s="348"/>
      <c r="T118" s="348"/>
      <c r="U118" s="349">
        <f t="shared" si="49"/>
        <v>11600</v>
      </c>
      <c r="V118" s="350"/>
      <c r="W118" s="350"/>
      <c r="X118" s="350"/>
      <c r="Y118" s="350"/>
      <c r="Z118" s="350"/>
      <c r="AA118" s="350"/>
      <c r="AB118" s="350"/>
      <c r="AC118" s="349">
        <f t="shared" si="53"/>
        <v>11600</v>
      </c>
      <c r="AD118" s="351"/>
      <c r="AE118" s="352">
        <v>202606</v>
      </c>
      <c r="AF118" s="348"/>
      <c r="AG118" s="348"/>
      <c r="AH118" s="348"/>
      <c r="AI118" s="348"/>
      <c r="AJ118" s="348"/>
      <c r="AK118" s="348"/>
      <c r="AL118" s="353"/>
      <c r="AM118" s="349"/>
      <c r="AN118" s="348"/>
      <c r="AO118" s="348"/>
      <c r="AP118" s="348"/>
      <c r="AQ118" s="348"/>
      <c r="AR118" s="348"/>
      <c r="AS118" s="348"/>
      <c r="AT118" s="354"/>
      <c r="AU118" s="355"/>
      <c r="AV118" s="348"/>
      <c r="AW118" s="348"/>
      <c r="AX118" s="348"/>
      <c r="AY118" s="349"/>
      <c r="AZ118" s="348">
        <f t="shared" si="54"/>
        <v>0</v>
      </c>
      <c r="BA118" s="348"/>
      <c r="BB118" s="348">
        <f t="shared" si="55"/>
        <v>11600</v>
      </c>
      <c r="BC118" s="353"/>
      <c r="BD118" s="349">
        <f t="shared" si="56"/>
        <v>11600</v>
      </c>
      <c r="BE118" s="356"/>
      <c r="BF118" s="348"/>
      <c r="BG118" s="348"/>
      <c r="BH118" s="348"/>
      <c r="BI118" s="348"/>
      <c r="BJ118" s="348"/>
      <c r="BK118" s="353"/>
      <c r="BL118" s="349">
        <f t="shared" si="57"/>
        <v>0</v>
      </c>
      <c r="BM118" s="354"/>
      <c r="BN118" s="350"/>
      <c r="BO118" s="350"/>
      <c r="BP118" s="350"/>
      <c r="BQ118" s="350"/>
      <c r="BR118" s="349"/>
      <c r="BS118" s="349">
        <f t="shared" si="58"/>
        <v>0</v>
      </c>
      <c r="BT118" s="357">
        <v>1250</v>
      </c>
      <c r="BU118" s="357"/>
      <c r="BV118" s="358"/>
      <c r="BW118" s="359" t="str">
        <f t="shared" si="59"/>
        <v>弈工分健康（外包保安）朱家良</v>
      </c>
      <c r="BX118" s="360" t="s">
        <v>258</v>
      </c>
      <c r="BY118" s="360" t="s">
        <v>259</v>
      </c>
      <c r="BZ118" s="360"/>
      <c r="CA118" s="360" t="e">
        <f>VLOOKUP(A118,hr.个税累计数据!C:C,1,0)</f>
        <v>#N/A</v>
      </c>
      <c r="CB118" s="360" t="s">
        <v>506</v>
      </c>
      <c r="CC118" s="360"/>
      <c r="CD118" s="243" t="b">
        <f t="shared" si="60"/>
        <v>1</v>
      </c>
    </row>
    <row r="119" s="243" customFormat="1" ht="23" hidden="1" customHeight="1" spans="1:82">
      <c r="A119" s="343" t="str">
        <f t="shared" si="50"/>
        <v>弈工分健康（外包保安）杨永奋</v>
      </c>
      <c r="B119" s="343" t="s">
        <v>53</v>
      </c>
      <c r="C119" s="343" t="s">
        <v>74</v>
      </c>
      <c r="D119" s="343" t="s">
        <v>252</v>
      </c>
      <c r="E119" s="344" t="s">
        <v>53</v>
      </c>
      <c r="F119" s="343" t="s">
        <v>436</v>
      </c>
      <c r="G119" s="343" t="s">
        <v>473</v>
      </c>
      <c r="H119" s="343" t="s">
        <v>512</v>
      </c>
      <c r="I119" s="343" t="s">
        <v>512</v>
      </c>
      <c r="J119" s="343" t="s">
        <v>271</v>
      </c>
      <c r="K119" s="345">
        <f t="shared" si="51"/>
        <v>11600</v>
      </c>
      <c r="L119" s="346">
        <f t="shared" si="52"/>
        <v>11600</v>
      </c>
      <c r="M119" s="362"/>
      <c r="N119" s="347">
        <v>2</v>
      </c>
      <c r="O119" s="361">
        <f t="shared" si="61"/>
        <v>11600</v>
      </c>
      <c r="P119" s="348"/>
      <c r="Q119" s="348"/>
      <c r="R119" s="348"/>
      <c r="S119" s="348"/>
      <c r="T119" s="348"/>
      <c r="U119" s="349">
        <f t="shared" si="49"/>
        <v>11600</v>
      </c>
      <c r="V119" s="350"/>
      <c r="W119" s="350"/>
      <c r="X119" s="350"/>
      <c r="Y119" s="350"/>
      <c r="Z119" s="350"/>
      <c r="AA119" s="350"/>
      <c r="AB119" s="350"/>
      <c r="AC119" s="349">
        <f t="shared" si="53"/>
        <v>11600</v>
      </c>
      <c r="AD119" s="351"/>
      <c r="AE119" s="352">
        <v>202606</v>
      </c>
      <c r="AF119" s="348"/>
      <c r="AG119" s="348"/>
      <c r="AH119" s="348"/>
      <c r="AI119" s="348"/>
      <c r="AJ119" s="348"/>
      <c r="AK119" s="348"/>
      <c r="AL119" s="353"/>
      <c r="AM119" s="349"/>
      <c r="AN119" s="348"/>
      <c r="AO119" s="348"/>
      <c r="AP119" s="348"/>
      <c r="AQ119" s="348"/>
      <c r="AR119" s="348"/>
      <c r="AS119" s="348"/>
      <c r="AT119" s="354"/>
      <c r="AU119" s="355"/>
      <c r="AV119" s="348"/>
      <c r="AW119" s="348"/>
      <c r="AX119" s="348"/>
      <c r="AY119" s="349"/>
      <c r="AZ119" s="348">
        <f t="shared" si="54"/>
        <v>0</v>
      </c>
      <c r="BA119" s="348"/>
      <c r="BB119" s="348">
        <f t="shared" si="55"/>
        <v>11600</v>
      </c>
      <c r="BC119" s="353"/>
      <c r="BD119" s="349">
        <f t="shared" si="56"/>
        <v>11600</v>
      </c>
      <c r="BE119" s="356"/>
      <c r="BF119" s="348"/>
      <c r="BG119" s="348"/>
      <c r="BH119" s="348"/>
      <c r="BI119" s="348"/>
      <c r="BJ119" s="348"/>
      <c r="BK119" s="353"/>
      <c r="BL119" s="349">
        <f t="shared" si="57"/>
        <v>0</v>
      </c>
      <c r="BM119" s="354"/>
      <c r="BN119" s="350"/>
      <c r="BO119" s="350"/>
      <c r="BP119" s="350"/>
      <c r="BQ119" s="350"/>
      <c r="BR119" s="349"/>
      <c r="BS119" s="349">
        <f t="shared" si="58"/>
        <v>0</v>
      </c>
      <c r="BT119" s="357">
        <v>1250</v>
      </c>
      <c r="BU119" s="357"/>
      <c r="BV119" s="358"/>
      <c r="BW119" s="359" t="str">
        <f t="shared" si="59"/>
        <v>弈工分健康（外包保安）杨永奋</v>
      </c>
      <c r="BX119" s="360" t="s">
        <v>258</v>
      </c>
      <c r="BY119" s="360" t="s">
        <v>259</v>
      </c>
      <c r="BZ119" s="360"/>
      <c r="CA119" s="360" t="e">
        <f>VLOOKUP(A119,hr.个税累计数据!C:C,1,0)</f>
        <v>#N/A</v>
      </c>
      <c r="CB119" s="360" t="s">
        <v>506</v>
      </c>
      <c r="CC119" s="360"/>
      <c r="CD119" s="243" t="b">
        <f t="shared" si="60"/>
        <v>1</v>
      </c>
    </row>
    <row r="120" s="243" customFormat="1" ht="23" hidden="1" customHeight="1" spans="1:82">
      <c r="A120" s="343" t="str">
        <f t="shared" si="50"/>
        <v>弈工分健康（外包保安）许磊</v>
      </c>
      <c r="B120" s="343" t="s">
        <v>53</v>
      </c>
      <c r="C120" s="343" t="s">
        <v>74</v>
      </c>
      <c r="D120" s="343" t="s">
        <v>252</v>
      </c>
      <c r="E120" s="344" t="s">
        <v>53</v>
      </c>
      <c r="F120" s="343" t="s">
        <v>436</v>
      </c>
      <c r="G120" s="343" t="s">
        <v>473</v>
      </c>
      <c r="H120" s="343" t="s">
        <v>513</v>
      </c>
      <c r="I120" s="343" t="s">
        <v>513</v>
      </c>
      <c r="J120" s="343" t="s">
        <v>271</v>
      </c>
      <c r="K120" s="345">
        <f t="shared" si="51"/>
        <v>11600</v>
      </c>
      <c r="L120" s="346">
        <f t="shared" si="52"/>
        <v>11600</v>
      </c>
      <c r="M120" s="362"/>
      <c r="N120" s="347">
        <v>2</v>
      </c>
      <c r="O120" s="361">
        <f t="shared" si="61"/>
        <v>11600</v>
      </c>
      <c r="P120" s="348"/>
      <c r="Q120" s="348"/>
      <c r="R120" s="348"/>
      <c r="S120" s="348"/>
      <c r="T120" s="348"/>
      <c r="U120" s="349">
        <f t="shared" si="49"/>
        <v>11600</v>
      </c>
      <c r="V120" s="350"/>
      <c r="W120" s="350"/>
      <c r="X120" s="350"/>
      <c r="Y120" s="350"/>
      <c r="Z120" s="350"/>
      <c r="AA120" s="350"/>
      <c r="AB120" s="350"/>
      <c r="AC120" s="349">
        <f t="shared" si="53"/>
        <v>11600</v>
      </c>
      <c r="AD120" s="351"/>
      <c r="AE120" s="352">
        <v>202606</v>
      </c>
      <c r="AF120" s="348"/>
      <c r="AG120" s="348"/>
      <c r="AH120" s="348"/>
      <c r="AI120" s="348"/>
      <c r="AJ120" s="348"/>
      <c r="AK120" s="348"/>
      <c r="AL120" s="353"/>
      <c r="AM120" s="349"/>
      <c r="AN120" s="348"/>
      <c r="AO120" s="348"/>
      <c r="AP120" s="348"/>
      <c r="AQ120" s="348"/>
      <c r="AR120" s="348"/>
      <c r="AS120" s="348"/>
      <c r="AT120" s="354"/>
      <c r="AU120" s="355"/>
      <c r="AV120" s="348"/>
      <c r="AW120" s="348"/>
      <c r="AX120" s="348"/>
      <c r="AY120" s="349"/>
      <c r="AZ120" s="348">
        <f t="shared" si="54"/>
        <v>0</v>
      </c>
      <c r="BA120" s="348"/>
      <c r="BB120" s="348">
        <f t="shared" si="55"/>
        <v>11600</v>
      </c>
      <c r="BC120" s="353"/>
      <c r="BD120" s="349">
        <f t="shared" si="56"/>
        <v>11600</v>
      </c>
      <c r="BE120" s="356"/>
      <c r="BF120" s="348"/>
      <c r="BG120" s="348"/>
      <c r="BH120" s="348"/>
      <c r="BI120" s="348"/>
      <c r="BJ120" s="348"/>
      <c r="BK120" s="353"/>
      <c r="BL120" s="349">
        <f t="shared" si="57"/>
        <v>0</v>
      </c>
      <c r="BM120" s="354"/>
      <c r="BN120" s="350"/>
      <c r="BO120" s="350"/>
      <c r="BP120" s="350"/>
      <c r="BQ120" s="350"/>
      <c r="BR120" s="349"/>
      <c r="BS120" s="349">
        <f t="shared" si="58"/>
        <v>0</v>
      </c>
      <c r="BT120" s="357">
        <v>1250</v>
      </c>
      <c r="BU120" s="357"/>
      <c r="BV120" s="358"/>
      <c r="BW120" s="359" t="str">
        <f t="shared" si="59"/>
        <v>弈工分健康（外包保安）许磊</v>
      </c>
      <c r="BX120" s="360" t="s">
        <v>258</v>
      </c>
      <c r="BY120" s="360" t="s">
        <v>259</v>
      </c>
      <c r="BZ120" s="360"/>
      <c r="CA120" s="360" t="e">
        <f>VLOOKUP(A120,hr.个税累计数据!C:C,1,0)</f>
        <v>#N/A</v>
      </c>
      <c r="CB120" s="360" t="s">
        <v>506</v>
      </c>
      <c r="CC120" s="360"/>
      <c r="CD120" s="243" t="b">
        <f t="shared" si="60"/>
        <v>1</v>
      </c>
    </row>
    <row r="121" s="243" customFormat="1" ht="23" hidden="1" customHeight="1" spans="1:82">
      <c r="A121" s="343" t="str">
        <f t="shared" si="50"/>
        <v>弈工分健康（外包保安）李威威</v>
      </c>
      <c r="B121" s="343" t="s">
        <v>53</v>
      </c>
      <c r="C121" s="343" t="s">
        <v>74</v>
      </c>
      <c r="D121" s="343" t="s">
        <v>252</v>
      </c>
      <c r="E121" s="344" t="s">
        <v>53</v>
      </c>
      <c r="F121" s="343" t="s">
        <v>436</v>
      </c>
      <c r="G121" s="343" t="s">
        <v>473</v>
      </c>
      <c r="H121" s="343" t="s">
        <v>514</v>
      </c>
      <c r="I121" s="343" t="s">
        <v>514</v>
      </c>
      <c r="J121" s="343" t="s">
        <v>271</v>
      </c>
      <c r="K121" s="345">
        <f t="shared" si="51"/>
        <v>11600</v>
      </c>
      <c r="L121" s="346">
        <f t="shared" si="52"/>
        <v>11600</v>
      </c>
      <c r="M121" s="362"/>
      <c r="N121" s="347">
        <v>2</v>
      </c>
      <c r="O121" s="361">
        <f t="shared" si="61"/>
        <v>11600</v>
      </c>
      <c r="P121" s="348"/>
      <c r="Q121" s="348"/>
      <c r="R121" s="348"/>
      <c r="S121" s="348"/>
      <c r="T121" s="348"/>
      <c r="U121" s="349">
        <f t="shared" si="49"/>
        <v>11600</v>
      </c>
      <c r="V121" s="350"/>
      <c r="W121" s="350"/>
      <c r="X121" s="350"/>
      <c r="Y121" s="350"/>
      <c r="Z121" s="350"/>
      <c r="AA121" s="350"/>
      <c r="AB121" s="350"/>
      <c r="AC121" s="349">
        <f t="shared" si="53"/>
        <v>11600</v>
      </c>
      <c r="AD121" s="351"/>
      <c r="AE121" s="352">
        <v>202606</v>
      </c>
      <c r="AF121" s="348"/>
      <c r="AG121" s="348"/>
      <c r="AH121" s="348"/>
      <c r="AI121" s="348"/>
      <c r="AJ121" s="348"/>
      <c r="AK121" s="348"/>
      <c r="AL121" s="353"/>
      <c r="AM121" s="349"/>
      <c r="AN121" s="348"/>
      <c r="AO121" s="348"/>
      <c r="AP121" s="348"/>
      <c r="AQ121" s="348"/>
      <c r="AR121" s="348"/>
      <c r="AS121" s="348"/>
      <c r="AT121" s="354"/>
      <c r="AU121" s="355"/>
      <c r="AV121" s="348"/>
      <c r="AW121" s="348"/>
      <c r="AX121" s="348"/>
      <c r="AY121" s="349"/>
      <c r="AZ121" s="348">
        <f t="shared" si="54"/>
        <v>0</v>
      </c>
      <c r="BA121" s="348"/>
      <c r="BB121" s="348">
        <f t="shared" si="55"/>
        <v>11600</v>
      </c>
      <c r="BC121" s="353"/>
      <c r="BD121" s="349">
        <f t="shared" si="56"/>
        <v>11600</v>
      </c>
      <c r="BE121" s="356"/>
      <c r="BF121" s="348"/>
      <c r="BG121" s="348"/>
      <c r="BH121" s="348"/>
      <c r="BI121" s="348"/>
      <c r="BJ121" s="348"/>
      <c r="BK121" s="353"/>
      <c r="BL121" s="349">
        <f t="shared" si="57"/>
        <v>0</v>
      </c>
      <c r="BM121" s="354"/>
      <c r="BN121" s="350"/>
      <c r="BO121" s="350"/>
      <c r="BP121" s="350"/>
      <c r="BQ121" s="350"/>
      <c r="BR121" s="349"/>
      <c r="BS121" s="349">
        <f t="shared" si="58"/>
        <v>0</v>
      </c>
      <c r="BT121" s="357">
        <v>1250</v>
      </c>
      <c r="BU121" s="357"/>
      <c r="BV121" s="358"/>
      <c r="BW121" s="359" t="str">
        <f t="shared" si="59"/>
        <v>弈工分健康（外包保安）李威威</v>
      </c>
      <c r="BX121" s="360" t="s">
        <v>258</v>
      </c>
      <c r="BY121" s="360" t="s">
        <v>259</v>
      </c>
      <c r="BZ121" s="360"/>
      <c r="CA121" s="360" t="e">
        <f>VLOOKUP(A121,hr.个税累计数据!C:C,1,0)</f>
        <v>#N/A</v>
      </c>
      <c r="CB121" s="360" t="s">
        <v>506</v>
      </c>
      <c r="CC121" s="360"/>
      <c r="CD121" s="243" t="b">
        <f t="shared" si="60"/>
        <v>1</v>
      </c>
    </row>
    <row r="122" s="243" customFormat="1" ht="23" hidden="1" customHeight="1" spans="1:82">
      <c r="A122" s="343" t="str">
        <f t="shared" si="50"/>
        <v>弈工分健康（外包保安）王海涛</v>
      </c>
      <c r="B122" s="343" t="s">
        <v>53</v>
      </c>
      <c r="C122" s="343" t="s">
        <v>74</v>
      </c>
      <c r="D122" s="343" t="s">
        <v>252</v>
      </c>
      <c r="E122" s="344" t="s">
        <v>53</v>
      </c>
      <c r="F122" s="343" t="s">
        <v>436</v>
      </c>
      <c r="G122" s="343" t="s">
        <v>473</v>
      </c>
      <c r="H122" s="343" t="s">
        <v>515</v>
      </c>
      <c r="I122" s="343" t="s">
        <v>515</v>
      </c>
      <c r="J122" s="343" t="s">
        <v>271</v>
      </c>
      <c r="K122" s="345">
        <f t="shared" si="51"/>
        <v>11600</v>
      </c>
      <c r="L122" s="346">
        <f t="shared" si="52"/>
        <v>11600</v>
      </c>
      <c r="M122" s="362"/>
      <c r="N122" s="347">
        <v>2</v>
      </c>
      <c r="O122" s="361">
        <f t="shared" si="61"/>
        <v>11600</v>
      </c>
      <c r="P122" s="348"/>
      <c r="Q122" s="348"/>
      <c r="R122" s="348"/>
      <c r="S122" s="348"/>
      <c r="T122" s="348"/>
      <c r="U122" s="349">
        <f t="shared" si="49"/>
        <v>11600</v>
      </c>
      <c r="V122" s="350"/>
      <c r="W122" s="350"/>
      <c r="X122" s="350"/>
      <c r="Y122" s="350"/>
      <c r="Z122" s="350"/>
      <c r="AA122" s="350"/>
      <c r="AB122" s="350"/>
      <c r="AC122" s="349">
        <f t="shared" si="53"/>
        <v>11600</v>
      </c>
      <c r="AD122" s="351"/>
      <c r="AE122" s="352">
        <v>202606</v>
      </c>
      <c r="AF122" s="348"/>
      <c r="AG122" s="348"/>
      <c r="AH122" s="348"/>
      <c r="AI122" s="348"/>
      <c r="AJ122" s="348"/>
      <c r="AK122" s="348"/>
      <c r="AL122" s="353"/>
      <c r="AM122" s="349"/>
      <c r="AN122" s="348"/>
      <c r="AO122" s="348"/>
      <c r="AP122" s="348"/>
      <c r="AQ122" s="348"/>
      <c r="AR122" s="348"/>
      <c r="AS122" s="348"/>
      <c r="AT122" s="354"/>
      <c r="AU122" s="355"/>
      <c r="AV122" s="348"/>
      <c r="AW122" s="348"/>
      <c r="AX122" s="348"/>
      <c r="AY122" s="349"/>
      <c r="AZ122" s="348">
        <f t="shared" si="54"/>
        <v>0</v>
      </c>
      <c r="BA122" s="348"/>
      <c r="BB122" s="348">
        <f t="shared" si="55"/>
        <v>11600</v>
      </c>
      <c r="BC122" s="353"/>
      <c r="BD122" s="349">
        <f t="shared" si="56"/>
        <v>11600</v>
      </c>
      <c r="BE122" s="356"/>
      <c r="BF122" s="348"/>
      <c r="BG122" s="348"/>
      <c r="BH122" s="348"/>
      <c r="BI122" s="348"/>
      <c r="BJ122" s="348"/>
      <c r="BK122" s="353"/>
      <c r="BL122" s="349">
        <f t="shared" si="57"/>
        <v>0</v>
      </c>
      <c r="BM122" s="354"/>
      <c r="BN122" s="350"/>
      <c r="BO122" s="350"/>
      <c r="BP122" s="350"/>
      <c r="BQ122" s="350"/>
      <c r="BR122" s="349"/>
      <c r="BS122" s="349">
        <f t="shared" si="58"/>
        <v>0</v>
      </c>
      <c r="BT122" s="357">
        <v>1250</v>
      </c>
      <c r="BU122" s="357"/>
      <c r="BV122" s="358"/>
      <c r="BW122" s="359" t="str">
        <f t="shared" si="59"/>
        <v>弈工分健康（外包保安）王海涛</v>
      </c>
      <c r="BX122" s="360" t="s">
        <v>258</v>
      </c>
      <c r="BY122" s="360" t="s">
        <v>259</v>
      </c>
      <c r="BZ122" s="360"/>
      <c r="CA122" s="360" t="e">
        <f>VLOOKUP(A122,hr.个税累计数据!C:C,1,0)</f>
        <v>#N/A</v>
      </c>
      <c r="CB122" s="360" t="s">
        <v>506</v>
      </c>
      <c r="CC122" s="360"/>
      <c r="CD122" s="243" t="b">
        <f t="shared" si="60"/>
        <v>1</v>
      </c>
    </row>
    <row r="123" s="243" customFormat="1" ht="23" hidden="1" customHeight="1" spans="1:82">
      <c r="A123" s="343" t="str">
        <f t="shared" si="50"/>
        <v>弈工分健康（外包保安）王玉玺</v>
      </c>
      <c r="B123" s="343" t="s">
        <v>53</v>
      </c>
      <c r="C123" s="343" t="s">
        <v>74</v>
      </c>
      <c r="D123" s="343" t="s">
        <v>252</v>
      </c>
      <c r="E123" s="344" t="s">
        <v>53</v>
      </c>
      <c r="F123" s="343" t="s">
        <v>436</v>
      </c>
      <c r="G123" s="343" t="s">
        <v>473</v>
      </c>
      <c r="H123" s="343" t="s">
        <v>516</v>
      </c>
      <c r="I123" s="343" t="s">
        <v>516</v>
      </c>
      <c r="J123" s="343" t="s">
        <v>271</v>
      </c>
      <c r="K123" s="345">
        <f t="shared" si="51"/>
        <v>11600</v>
      </c>
      <c r="L123" s="346">
        <f t="shared" si="52"/>
        <v>11600</v>
      </c>
      <c r="M123" s="362"/>
      <c r="N123" s="347">
        <v>2</v>
      </c>
      <c r="O123" s="361">
        <f t="shared" si="61"/>
        <v>11600</v>
      </c>
      <c r="P123" s="348"/>
      <c r="Q123" s="348"/>
      <c r="R123" s="348"/>
      <c r="S123" s="348"/>
      <c r="T123" s="348"/>
      <c r="U123" s="349">
        <f t="shared" si="49"/>
        <v>11600</v>
      </c>
      <c r="V123" s="350"/>
      <c r="W123" s="350"/>
      <c r="X123" s="350"/>
      <c r="Y123" s="350"/>
      <c r="Z123" s="350"/>
      <c r="AA123" s="350"/>
      <c r="AB123" s="350"/>
      <c r="AC123" s="349">
        <f t="shared" si="53"/>
        <v>11600</v>
      </c>
      <c r="AD123" s="351"/>
      <c r="AE123" s="352">
        <v>202606</v>
      </c>
      <c r="AF123" s="348"/>
      <c r="AG123" s="348"/>
      <c r="AH123" s="348"/>
      <c r="AI123" s="348"/>
      <c r="AJ123" s="348"/>
      <c r="AK123" s="348"/>
      <c r="AL123" s="353"/>
      <c r="AM123" s="349"/>
      <c r="AN123" s="348"/>
      <c r="AO123" s="348"/>
      <c r="AP123" s="348"/>
      <c r="AQ123" s="348"/>
      <c r="AR123" s="348"/>
      <c r="AS123" s="348"/>
      <c r="AT123" s="354"/>
      <c r="AU123" s="355"/>
      <c r="AV123" s="348"/>
      <c r="AW123" s="348"/>
      <c r="AX123" s="348"/>
      <c r="AY123" s="349"/>
      <c r="AZ123" s="348">
        <f t="shared" si="54"/>
        <v>0</v>
      </c>
      <c r="BA123" s="348"/>
      <c r="BB123" s="348">
        <f t="shared" si="55"/>
        <v>11600</v>
      </c>
      <c r="BC123" s="353"/>
      <c r="BD123" s="349">
        <f t="shared" si="56"/>
        <v>11600</v>
      </c>
      <c r="BE123" s="356"/>
      <c r="BF123" s="348"/>
      <c r="BG123" s="348"/>
      <c r="BH123" s="348"/>
      <c r="BI123" s="348"/>
      <c r="BJ123" s="348"/>
      <c r="BK123" s="353"/>
      <c r="BL123" s="349">
        <f t="shared" si="57"/>
        <v>0</v>
      </c>
      <c r="BM123" s="354"/>
      <c r="BN123" s="350"/>
      <c r="BO123" s="350"/>
      <c r="BP123" s="350"/>
      <c r="BQ123" s="350"/>
      <c r="BR123" s="349"/>
      <c r="BS123" s="349">
        <f t="shared" si="58"/>
        <v>0</v>
      </c>
      <c r="BT123" s="357">
        <v>1250</v>
      </c>
      <c r="BU123" s="357"/>
      <c r="BV123" s="358"/>
      <c r="BW123" s="359" t="str">
        <f t="shared" si="59"/>
        <v>弈工分健康（外包保安）王玉玺</v>
      </c>
      <c r="BX123" s="360" t="s">
        <v>258</v>
      </c>
      <c r="BY123" s="360" t="s">
        <v>259</v>
      </c>
      <c r="BZ123" s="360"/>
      <c r="CA123" s="360" t="e">
        <f>VLOOKUP(A123,hr.个税累计数据!C:C,1,0)</f>
        <v>#N/A</v>
      </c>
      <c r="CB123" s="360" t="s">
        <v>506</v>
      </c>
      <c r="CC123" s="360"/>
      <c r="CD123" s="243" t="b">
        <f t="shared" si="60"/>
        <v>1</v>
      </c>
    </row>
    <row r="124" s="243" customFormat="1" ht="23" hidden="1" customHeight="1" spans="1:82">
      <c r="A124" s="343" t="str">
        <f t="shared" si="50"/>
        <v>弈工分文化季文菊</v>
      </c>
      <c r="B124" s="343" t="s">
        <v>25</v>
      </c>
      <c r="C124" s="343" t="s">
        <v>76</v>
      </c>
      <c r="D124" s="343" t="s">
        <v>252</v>
      </c>
      <c r="E124" s="344" t="s">
        <v>373</v>
      </c>
      <c r="F124" s="343" t="s">
        <v>134</v>
      </c>
      <c r="G124" s="343" t="s">
        <v>366</v>
      </c>
      <c r="H124" s="343" t="s">
        <v>517</v>
      </c>
      <c r="I124" s="343" t="s">
        <v>517</v>
      </c>
      <c r="J124" s="343" t="s">
        <v>257</v>
      </c>
      <c r="K124" s="345">
        <f t="shared" si="51"/>
        <v>12172.45</v>
      </c>
      <c r="L124" s="346">
        <f t="shared" si="52"/>
        <v>11295.46</v>
      </c>
      <c r="M124" s="362"/>
      <c r="N124" s="347">
        <v>6</v>
      </c>
      <c r="O124" s="361">
        <v>12000</v>
      </c>
      <c r="P124" s="348"/>
      <c r="Q124" s="348">
        <f>VLOOKUP(I124,考勤调整记录!I:W,15,0)</f>
        <v>0</v>
      </c>
      <c r="R124" s="348"/>
      <c r="S124" s="348">
        <v>172.45</v>
      </c>
      <c r="T124" s="348"/>
      <c r="U124" s="349">
        <f>SUM(O124:T124)</f>
        <v>12172.45</v>
      </c>
      <c r="V124" s="350"/>
      <c r="W124" s="350"/>
      <c r="X124" s="350"/>
      <c r="Y124" s="350"/>
      <c r="Z124" s="350"/>
      <c r="AA124" s="350"/>
      <c r="AB124" s="350"/>
      <c r="AC124" s="349">
        <f t="shared" si="53"/>
        <v>12172.45</v>
      </c>
      <c r="AD124" s="351"/>
      <c r="AE124" s="352">
        <v>202606</v>
      </c>
      <c r="AF124" s="348">
        <f>VLOOKUP(BW124,'HR|社保明细'!C:F,4,0)</f>
        <v>0</v>
      </c>
      <c r="AG124" s="348">
        <f>VLOOKUP($BW124,'HR|社保明细'!$C:G,5,0)</f>
        <v>0</v>
      </c>
      <c r="AH124" s="348">
        <f>VLOOKUP($BW124,'HR|社保明细'!$C:H,6,0)</f>
        <v>0</v>
      </c>
      <c r="AI124" s="348">
        <f>VLOOKUP($BW124,'HR|社保明细'!$C:I,7,0)</f>
        <v>0</v>
      </c>
      <c r="AJ124" s="348">
        <f>VLOOKUP($BW124,'HR|社保明细'!$C:J,8,0)</f>
        <v>0</v>
      </c>
      <c r="AK124" s="348">
        <f>VLOOKUP($BW124,'HR|社保明细'!$C:K,9,0)</f>
        <v>0</v>
      </c>
      <c r="AL124" s="353">
        <f>VLOOKUP($BW124,'HR|社保明细'!$C:L,10,0)</f>
        <v>0</v>
      </c>
      <c r="AM124" s="349">
        <f>SUM(AH124:AL124)</f>
        <v>0</v>
      </c>
      <c r="AN124" s="348"/>
      <c r="AO124" s="348"/>
      <c r="AP124" s="348"/>
      <c r="AQ124" s="348"/>
      <c r="AR124" s="348"/>
      <c r="AS124" s="348">
        <f>AC124-AM124-SUM(AN124:AR124)</f>
        <v>12172.45</v>
      </c>
      <c r="AT124" s="354"/>
      <c r="AU124" s="355">
        <f>VLOOKUP(BW124,hr.个税累计数据!C:DS,121,0)</f>
        <v>72990.9</v>
      </c>
      <c r="AV124" s="348">
        <f>IF(AU124-5000*N124-VLOOKUP(A124,hr.个税累计数据!C:DT,122,0)-VLOOKUP(A124,hr.个税累计数据!C:DU,123,0)&gt;0,AU124-5000*N124-VLOOKUP(A124,hr.个税累计数据!C:DT,122,0)-VLOOKUP(A124,hr.个税累计数据!C:DU,123,0),0)</f>
        <v>42990.9</v>
      </c>
      <c r="AW124" s="348">
        <f>VLOOKUP(BW124,hr.个税累计数据!C:DV,124,0)</f>
        <v>1074.55</v>
      </c>
      <c r="AX124" s="348"/>
      <c r="AY124" s="349">
        <f>IF(ROUND(MAX(AV124*{0.03,0.1,0.2,0.25,0.3,0.35,0.45}-{0,210,1410,2660,4410,7160,15160}*12)-AW124,2)&lt;=0,0,ROUND(MAX(AV124*{0.03,0.1,0.2,0.25,0.3,0.35,0.45}-{0,210,1410,2660,4410,7160,15160}*12)-AW124,2))</f>
        <v>704.54</v>
      </c>
      <c r="AZ124" s="348">
        <f t="shared" si="54"/>
        <v>-172.45</v>
      </c>
      <c r="BA124" s="348"/>
      <c r="BB124" s="348">
        <f t="shared" si="55"/>
        <v>11295.46</v>
      </c>
      <c r="BC124" s="353"/>
      <c r="BD124" s="349">
        <f t="shared" si="56"/>
        <v>11295.46</v>
      </c>
      <c r="BE124" s="356">
        <f>VLOOKUP($BW124,'HR|社保明细'!C:T,11,0)</f>
        <v>0</v>
      </c>
      <c r="BF124" s="348">
        <f>VLOOKUP($BW124,'HR|社保明细'!$C:U,12,0)</f>
        <v>0</v>
      </c>
      <c r="BG124" s="348">
        <f>VLOOKUP($BW124,'HR|社保明细'!$C:V,13,0)</f>
        <v>0</v>
      </c>
      <c r="BH124" s="348">
        <f>VLOOKUP($BW124,'HR|社保明细'!$C:W,14,0)</f>
        <v>0</v>
      </c>
      <c r="BI124" s="348">
        <f>VLOOKUP($BW124,'HR|社保明细'!$C:X,15,0)</f>
        <v>0</v>
      </c>
      <c r="BJ124" s="348">
        <f>VLOOKUP($BW124,'HR|社保明细'!$C:Y,16,0)</f>
        <v>0</v>
      </c>
      <c r="BK124" s="353">
        <f>VLOOKUP($BW124,'HR|社保明细'!$C:Z,17,0)</f>
        <v>0</v>
      </c>
      <c r="BL124" s="349">
        <f t="shared" si="57"/>
        <v>0</v>
      </c>
      <c r="BM124" s="354"/>
      <c r="BN124" s="350"/>
      <c r="BO124" s="350"/>
      <c r="BP124" s="350"/>
      <c r="BQ124" s="350"/>
      <c r="BR124" s="349">
        <f>SUM(BN124:BQ124)</f>
        <v>0</v>
      </c>
      <c r="BS124" s="349">
        <f t="shared" si="58"/>
        <v>0</v>
      </c>
      <c r="BT124" s="357">
        <v>1250</v>
      </c>
      <c r="BU124" s="357"/>
      <c r="BV124" s="358"/>
      <c r="BW124" s="359" t="str">
        <f t="shared" si="59"/>
        <v>弈工分文化季文菊</v>
      </c>
      <c r="BX124" s="360" t="s">
        <v>258</v>
      </c>
      <c r="BY124" s="360" t="s">
        <v>273</v>
      </c>
      <c r="BZ124" s="360"/>
      <c r="CA124" s="360" t="str">
        <f>VLOOKUP(A124,hr.个税累计数据!C:C,1,0)</f>
        <v>弈工分文化季文菊</v>
      </c>
      <c r="CB124" s="360" t="s">
        <v>518</v>
      </c>
      <c r="CC124" s="360" t="s">
        <v>273</v>
      </c>
      <c r="CD124" s="243" t="b">
        <f t="shared" si="60"/>
        <v>1</v>
      </c>
    </row>
    <row r="125" s="243" customFormat="1" ht="23" hidden="1" customHeight="1" spans="1:82">
      <c r="A125" s="343" t="str">
        <f t="shared" si="50"/>
        <v>弈工分文化王建平</v>
      </c>
      <c r="B125" s="343" t="s">
        <v>52</v>
      </c>
      <c r="C125" s="343" t="s">
        <v>76</v>
      </c>
      <c r="D125" s="343" t="s">
        <v>267</v>
      </c>
      <c r="E125" s="344" t="s">
        <v>52</v>
      </c>
      <c r="F125" s="343" t="s">
        <v>380</v>
      </c>
      <c r="G125" s="343" t="s">
        <v>366</v>
      </c>
      <c r="H125" s="343" t="s">
        <v>381</v>
      </c>
      <c r="I125" s="343" t="s">
        <v>381</v>
      </c>
      <c r="J125" s="343" t="s">
        <v>271</v>
      </c>
      <c r="K125" s="345">
        <f t="shared" si="51"/>
        <v>3000</v>
      </c>
      <c r="L125" s="346">
        <f t="shared" si="52"/>
        <v>2560</v>
      </c>
      <c r="M125" s="362"/>
      <c r="N125" s="347">
        <v>6</v>
      </c>
      <c r="O125" s="361">
        <v>3000</v>
      </c>
      <c r="P125" s="348"/>
      <c r="Q125" s="348">
        <f>VLOOKUP(I125,考勤调整记录!I:W,15,0)</f>
        <v>0</v>
      </c>
      <c r="R125" s="348"/>
      <c r="S125" s="348"/>
      <c r="T125" s="348"/>
      <c r="U125" s="349">
        <f>SUM(O125:T125)</f>
        <v>3000</v>
      </c>
      <c r="V125" s="350"/>
      <c r="W125" s="350"/>
      <c r="X125" s="350"/>
      <c r="Y125" s="350"/>
      <c r="Z125" s="350"/>
      <c r="AA125" s="350"/>
      <c r="AB125" s="350"/>
      <c r="AC125" s="349">
        <f t="shared" si="53"/>
        <v>3000</v>
      </c>
      <c r="AD125" s="351"/>
      <c r="AE125" s="352">
        <v>202606</v>
      </c>
      <c r="AF125" s="348">
        <f>VLOOKUP(BW125,'HR|社保明细'!C:F,4,0)</f>
        <v>0</v>
      </c>
      <c r="AG125" s="348">
        <f>VLOOKUP($BW125,'HR|社保明细'!$C:G,5,0)</f>
        <v>0</v>
      </c>
      <c r="AH125" s="348">
        <f>VLOOKUP($BW125,'HR|社保明细'!$C:H,6,0)</f>
        <v>0</v>
      </c>
      <c r="AI125" s="348">
        <f>VLOOKUP($BW125,'HR|社保明细'!$C:I,7,0)</f>
        <v>0</v>
      </c>
      <c r="AJ125" s="348">
        <f>VLOOKUP($BW125,'HR|社保明细'!$C:J,8,0)</f>
        <v>0</v>
      </c>
      <c r="AK125" s="348">
        <f>VLOOKUP($BW125,'HR|社保明细'!$C:K,9,0)</f>
        <v>0</v>
      </c>
      <c r="AL125" s="353">
        <f>VLOOKUP($BW125,'HR|社保明细'!$C:L,10,0)</f>
        <v>0</v>
      </c>
      <c r="AM125" s="349">
        <f>SUM(AH125:AL125)</f>
        <v>0</v>
      </c>
      <c r="AN125" s="348"/>
      <c r="AO125" s="348"/>
      <c r="AP125" s="348"/>
      <c r="AQ125" s="348"/>
      <c r="AR125" s="348"/>
      <c r="AS125" s="348">
        <f>AC125-AM125-SUM(AN125:AR125)</f>
        <v>3000</v>
      </c>
      <c r="AT125" s="354"/>
      <c r="AU125" s="355">
        <f>VLOOKUP(BW125,hr.个税累计数据!C:DS,121,0)</f>
        <v>18000</v>
      </c>
      <c r="AV125" s="348">
        <f>IF(AU125-5000*N125-VLOOKUP(A125,hr.个税累计数据!C:DT,122,0)-VLOOKUP(A125,hr.个税累计数据!C:DU,123,0)&gt;0,AU125-5000*N125-VLOOKUP(A125,hr.个税累计数据!C:DT,122,0)-VLOOKUP(A125,hr.个税累计数据!C:DU,123,0),0)</f>
        <v>0</v>
      </c>
      <c r="AW125" s="348">
        <f>VLOOKUP(BW125,hr.个税累计数据!C:DV,124,0)</f>
        <v>2200</v>
      </c>
      <c r="AX125" s="348"/>
      <c r="AY125" s="349">
        <f>IF(D125="国内不计税",0,IF(D125="正常计税",ROUND(MAX(AS125*{0.03,0.1,0.2,0.25,0.3,0.35,0.45}-{0,210,1410,2660,4410,7160,15160},0),2),IF(D125="外籍人",ROUND(MAX(AS125*{0.03,0.1,0.2,0.25,0.3,0.35,0.45}-{0,210,1410,2660,4410,7160,15160},0),2),ROUND(MAX((AS125-IF(AS125&lt;4000,800,AS125*0.2))*10%*{2,3,4}-1000*{0,2,7},0),2))))</f>
        <v>440</v>
      </c>
      <c r="AZ125" s="348">
        <f t="shared" si="54"/>
        <v>0</v>
      </c>
      <c r="BA125" s="348"/>
      <c r="BB125" s="348">
        <f t="shared" si="55"/>
        <v>2560</v>
      </c>
      <c r="BC125" s="353"/>
      <c r="BD125" s="349">
        <f t="shared" si="56"/>
        <v>2560</v>
      </c>
      <c r="BE125" s="356">
        <f>VLOOKUP($BW125,'HR|社保明细'!C:T,11,0)</f>
        <v>0</v>
      </c>
      <c r="BF125" s="348">
        <f>VLOOKUP($BW125,'HR|社保明细'!$C:U,12,0)</f>
        <v>0</v>
      </c>
      <c r="BG125" s="348">
        <f>VLOOKUP($BW125,'HR|社保明细'!$C:V,13,0)</f>
        <v>0</v>
      </c>
      <c r="BH125" s="348">
        <f>VLOOKUP($BW125,'HR|社保明细'!$C:W,14,0)</f>
        <v>0</v>
      </c>
      <c r="BI125" s="348">
        <f>VLOOKUP($BW125,'HR|社保明细'!$C:X,15,0)</f>
        <v>0</v>
      </c>
      <c r="BJ125" s="348">
        <f>VLOOKUP($BW125,'HR|社保明细'!$C:Y,16,0)</f>
        <v>0</v>
      </c>
      <c r="BK125" s="353">
        <f>VLOOKUP($BW125,'HR|社保明细'!$C:Z,17,0)</f>
        <v>0</v>
      </c>
      <c r="BL125" s="349">
        <f t="shared" si="57"/>
        <v>0</v>
      </c>
      <c r="BM125" s="354"/>
      <c r="BN125" s="350"/>
      <c r="BO125" s="350"/>
      <c r="BP125" s="350"/>
      <c r="BQ125" s="350"/>
      <c r="BR125" s="349">
        <f>SUM(BN125:BQ125)</f>
        <v>0</v>
      </c>
      <c r="BS125" s="349">
        <f t="shared" si="58"/>
        <v>0</v>
      </c>
      <c r="BT125" s="357"/>
      <c r="BU125" s="357"/>
      <c r="BV125" s="358"/>
      <c r="BW125" s="359" t="str">
        <f t="shared" si="59"/>
        <v>弈工分文化王建平</v>
      </c>
      <c r="BX125" s="360" t="s">
        <v>258</v>
      </c>
      <c r="BY125" s="360" t="s">
        <v>259</v>
      </c>
      <c r="BZ125" s="360"/>
      <c r="CA125" s="360" t="str">
        <f>VLOOKUP(A125,hr.个税累计数据!C:C,1,0)</f>
        <v>弈工分文化王建平</v>
      </c>
      <c r="CB125" s="360" t="s">
        <v>519</v>
      </c>
      <c r="CC125" s="360"/>
      <c r="CD125" s="243" t="b">
        <f t="shared" si="60"/>
        <v>1</v>
      </c>
    </row>
    <row r="126" s="243" customFormat="1" ht="23" hidden="1" customHeight="1" spans="1:82">
      <c r="A126" s="343" t="str">
        <f t="shared" ref="A126:A137" si="62">C126&amp;I126</f>
        <v>开弈投资李萍萍</v>
      </c>
      <c r="B126" s="343" t="s">
        <v>41</v>
      </c>
      <c r="C126" s="343" t="s">
        <v>71</v>
      </c>
      <c r="D126" s="343" t="s">
        <v>252</v>
      </c>
      <c r="E126" s="344" t="s">
        <v>350</v>
      </c>
      <c r="F126" s="343" t="s">
        <v>352</v>
      </c>
      <c r="G126" s="343" t="s">
        <v>391</v>
      </c>
      <c r="H126" s="343" t="s">
        <v>520</v>
      </c>
      <c r="I126" s="343" t="s">
        <v>520</v>
      </c>
      <c r="J126" s="343" t="s">
        <v>257</v>
      </c>
      <c r="K126" s="345">
        <f t="shared" ref="K126:K137" si="63">AC126+BL126</f>
        <v>25064.97</v>
      </c>
      <c r="L126" s="346">
        <f t="shared" ref="L126:L137" si="64">AC126-AM126-AX126-AY126+SUM(AZ126:BA126)</f>
        <v>17852.64</v>
      </c>
      <c r="M126" s="362"/>
      <c r="N126" s="347">
        <v>6</v>
      </c>
      <c r="O126" s="361">
        <v>22210</v>
      </c>
      <c r="P126" s="348"/>
      <c r="Q126" s="348">
        <f>VLOOKUP(I126,考勤调整记录!I:W,15,0)</f>
        <v>0</v>
      </c>
      <c r="R126" s="348"/>
      <c r="S126" s="348">
        <v>257.16</v>
      </c>
      <c r="T126" s="348"/>
      <c r="U126" s="349">
        <f t="shared" ref="U126:U159" si="65">SUM(O126:T126)</f>
        <v>22467.16</v>
      </c>
      <c r="V126" s="350">
        <v>947.34</v>
      </c>
      <c r="W126" s="350">
        <v>-1665.75</v>
      </c>
      <c r="X126" s="350"/>
      <c r="Y126" s="350"/>
      <c r="Z126" s="350"/>
      <c r="AA126" s="350"/>
      <c r="AB126" s="350"/>
      <c r="AC126" s="349">
        <f t="shared" ref="AC126:AC137" si="66">SUM(O126:T126)+SUM(V126:AB126)</f>
        <v>21748.75</v>
      </c>
      <c r="AD126" s="351"/>
      <c r="AE126" s="352">
        <v>202606</v>
      </c>
      <c r="AF126" s="348">
        <f>VLOOKUP(BW126,'HR|社保明细'!C:F,4,0)</f>
        <v>7460</v>
      </c>
      <c r="AG126" s="348">
        <f>VLOOKUP($BW126,'HR|社保明细'!$C:G,5,0)</f>
        <v>11650</v>
      </c>
      <c r="AH126" s="348">
        <f>VLOOKUP($BW126,'HR|社保明细'!$C:H,6,0)</f>
        <v>596.8</v>
      </c>
      <c r="AI126" s="348">
        <f>VLOOKUP($BW126,'HR|社保明细'!$C:I,7,0)</f>
        <v>149.2</v>
      </c>
      <c r="AJ126" s="348">
        <f>VLOOKUP($BW126,'HR|社保明细'!$C:J,8,0)</f>
        <v>37.3</v>
      </c>
      <c r="AK126" s="348">
        <f>VLOOKUP($BW126,'HR|社保明细'!$C:K,9,0)</f>
        <v>816</v>
      </c>
      <c r="AL126" s="353">
        <f>VLOOKUP($BW126,'HR|社保明细'!$C:L,10,0)</f>
        <v>583</v>
      </c>
      <c r="AM126" s="349">
        <f t="shared" ref="AM126:AM140" si="67">SUM(AH126:AL126)</f>
        <v>2182.3</v>
      </c>
      <c r="AN126" s="348"/>
      <c r="AO126" s="348"/>
      <c r="AP126" s="348"/>
      <c r="AQ126" s="348"/>
      <c r="AR126" s="348"/>
      <c r="AS126" s="348">
        <f t="shared" ref="AS126:AS159" si="68">AC126-AM126-SUM(AN126:AR126)</f>
        <v>19566.45</v>
      </c>
      <c r="AT126" s="354"/>
      <c r="AU126" s="355">
        <f>VLOOKUP(BW126,hr.个税累计数据!C:DS,121,0)</f>
        <v>128344.08</v>
      </c>
      <c r="AV126" s="348">
        <f>IF(AU126-5000*N126-VLOOKUP(A126,hr.个税累计数据!C:DT,122,0)-VLOOKUP(A126,hr.个税累计数据!C:DU,123,0)&gt;0,AU126-5000*N126-VLOOKUP(A126,hr.个税累计数据!C:DT,122,0)-VLOOKUP(A126,hr.个税累计数据!C:DU,123,0),0)</f>
        <v>85250.28</v>
      </c>
      <c r="AW126" s="348">
        <f>VLOOKUP(BW126,hr.个税累计数据!C:DV,124,0)</f>
        <v>4548.38</v>
      </c>
      <c r="AX126" s="348"/>
      <c r="AY126" s="349">
        <f>IF(ROUND(MAX(AV126*{0.03,0.1,0.2,0.25,0.3,0.35,0.45}-{0,210,1410,2660,4410,7160,15160}*12)-AW126,2)&lt;=0,0,ROUND(MAX(AV126*{0.03,0.1,0.2,0.25,0.3,0.35,0.45}-{0,210,1410,2660,4410,7160,15160}*12)-AW126,2))</f>
        <v>1456.65</v>
      </c>
      <c r="AZ126" s="348">
        <f t="shared" ref="AZ126:AZ137" si="69">-S126</f>
        <v>-257.16</v>
      </c>
      <c r="BA126" s="348"/>
      <c r="BB126" s="348">
        <f t="shared" ref="BB126:BB137" si="70">AC126-AM126-AY126-AX126+SUM(AZ126:BA126)</f>
        <v>17852.64</v>
      </c>
      <c r="BC126" s="353"/>
      <c r="BD126" s="349">
        <f t="shared" ref="BD126:BD137" si="71">AC126-AM126-AX126-AY126+SUM(AZ126:BA126)</f>
        <v>17852.64</v>
      </c>
      <c r="BE126" s="356">
        <f>VLOOKUP($BW126,'HR|社保明细'!C:T,11,0)</f>
        <v>1193.6</v>
      </c>
      <c r="BF126" s="348">
        <f>VLOOKUP($BW126,'HR|社保明细'!$C:U,12,0)</f>
        <v>596.8</v>
      </c>
      <c r="BG126" s="348">
        <f>VLOOKUP($BW126,'HR|社保明细'!$C:V,13,0)</f>
        <v>37.3</v>
      </c>
      <c r="BH126" s="348">
        <f>VLOOKUP($BW126,'HR|社保明细'!$C:W,14,0)</f>
        <v>14.92</v>
      </c>
      <c r="BI126" s="348">
        <f>VLOOKUP($BW126,'HR|社保明细'!$C:X,15,0)</f>
        <v>74.6</v>
      </c>
      <c r="BJ126" s="348">
        <f>VLOOKUP($BW126,'HR|社保明细'!$C:Y,16,0)</f>
        <v>816</v>
      </c>
      <c r="BK126" s="353">
        <f>VLOOKUP($BW126,'HR|社保明细'!$C:Z,17,0)</f>
        <v>583</v>
      </c>
      <c r="BL126" s="349">
        <f t="shared" ref="BL126:BL137" si="72">SUM(BE126:BK126)</f>
        <v>3316.22</v>
      </c>
      <c r="BM126" s="354"/>
      <c r="BN126" s="350"/>
      <c r="BO126" s="350"/>
      <c r="BP126" s="350"/>
      <c r="BQ126" s="350"/>
      <c r="BR126" s="349">
        <f t="shared" ref="BR126:BR140" si="73">SUM(BN126:BQ126)</f>
        <v>0</v>
      </c>
      <c r="BS126" s="349">
        <f t="shared" ref="BS126:BS137" si="74">SUM(V126:AB126)</f>
        <v>-718.41</v>
      </c>
      <c r="BT126" s="357">
        <v>1250</v>
      </c>
      <c r="BU126" s="357"/>
      <c r="BV126" s="358"/>
      <c r="BW126" s="359" t="str">
        <f t="shared" ref="BW126:BW137" si="75">C126&amp;I126</f>
        <v>开弈投资李萍萍</v>
      </c>
      <c r="BX126" s="360"/>
      <c r="BY126" s="360" t="s">
        <v>273</v>
      </c>
      <c r="BZ126" s="360" t="s">
        <v>353</v>
      </c>
      <c r="CA126" s="360" t="str">
        <f>VLOOKUP(A126,hr.个税累计数据!C:C,1,0)</f>
        <v>开弈投资李萍萍</v>
      </c>
      <c r="CB126" s="360" t="s">
        <v>521</v>
      </c>
      <c r="CC126" s="360" t="s">
        <v>273</v>
      </c>
      <c r="CD126" s="243" t="b">
        <f t="shared" ref="CD126:CD137" si="76">H126=I126</f>
        <v>1</v>
      </c>
    </row>
    <row r="127" s="243" customFormat="1" ht="23" customHeight="1" spans="1:82">
      <c r="A127" s="343" t="str">
        <f t="shared" si="62"/>
        <v>弈工分信息王倩</v>
      </c>
      <c r="B127" s="343" t="s">
        <v>39</v>
      </c>
      <c r="C127" s="343" t="s">
        <v>72</v>
      </c>
      <c r="D127" s="343" t="s">
        <v>252</v>
      </c>
      <c r="E127" s="344" t="s">
        <v>522</v>
      </c>
      <c r="F127" s="343" t="s">
        <v>134</v>
      </c>
      <c r="G127" s="343" t="s">
        <v>523</v>
      </c>
      <c r="H127" s="343" t="s">
        <v>270</v>
      </c>
      <c r="I127" s="343" t="s">
        <v>270</v>
      </c>
      <c r="J127" s="343" t="s">
        <v>257</v>
      </c>
      <c r="K127" s="345">
        <f t="shared" si="63"/>
        <v>36809.32</v>
      </c>
      <c r="L127" s="346">
        <f t="shared" si="64"/>
        <v>26050.75</v>
      </c>
      <c r="M127" s="362"/>
      <c r="N127" s="347">
        <v>6</v>
      </c>
      <c r="O127" s="361">
        <v>21000</v>
      </c>
      <c r="P127" s="348"/>
      <c r="Q127" s="348">
        <f>VLOOKUP(I127,考勤调整记录!I:W,15,0)</f>
        <v>0</v>
      </c>
      <c r="R127" s="348"/>
      <c r="S127" s="348">
        <v>368.76</v>
      </c>
      <c r="T127" s="348"/>
      <c r="U127" s="349">
        <f t="shared" si="65"/>
        <v>21368.76</v>
      </c>
      <c r="V127" s="350"/>
      <c r="W127" s="350">
        <v>535.56</v>
      </c>
      <c r="X127" s="350"/>
      <c r="Y127" s="350"/>
      <c r="Z127" s="350">
        <v>10000</v>
      </c>
      <c r="AA127" s="350"/>
      <c r="AB127" s="350"/>
      <c r="AC127" s="349">
        <f t="shared" si="66"/>
        <v>31904.32</v>
      </c>
      <c r="AD127" s="351"/>
      <c r="AE127" s="352">
        <v>202606</v>
      </c>
      <c r="AF127" s="348">
        <f>VLOOKUP(BW127,'HR|社保明细'!C:F,4,0)</f>
        <v>15000</v>
      </c>
      <c r="AG127" s="348">
        <f>VLOOKUP($BW127,'HR|社保明细'!$C:G,5,0)</f>
        <v>15000</v>
      </c>
      <c r="AH127" s="348">
        <f>VLOOKUP($BW127,'HR|社保明细'!$C:H,6,0)</f>
        <v>1200</v>
      </c>
      <c r="AI127" s="348">
        <f>VLOOKUP($BW127,'HR|社保明细'!$C:I,7,0)</f>
        <v>300</v>
      </c>
      <c r="AJ127" s="348">
        <f>VLOOKUP($BW127,'HR|社保明细'!$C:J,8,0)</f>
        <v>75</v>
      </c>
      <c r="AK127" s="348">
        <f>VLOOKUP($BW127,'HR|社保明细'!$C:K,9,0)</f>
        <v>1050</v>
      </c>
      <c r="AL127" s="353">
        <f>VLOOKUP($BW127,'HR|社保明细'!$C:L,10,0)</f>
        <v>0</v>
      </c>
      <c r="AM127" s="349">
        <f t="shared" si="67"/>
        <v>2625</v>
      </c>
      <c r="AN127" s="348"/>
      <c r="AO127" s="348"/>
      <c r="AP127" s="348"/>
      <c r="AQ127" s="348"/>
      <c r="AR127" s="348"/>
      <c r="AS127" s="348">
        <f t="shared" si="68"/>
        <v>29279.32</v>
      </c>
      <c r="AT127" s="354"/>
      <c r="AU127" s="355">
        <f>VLOOKUP(BW127,hr.个税累计数据!C:DS,121,0)</f>
        <v>194068.8</v>
      </c>
      <c r="AV127" s="348">
        <f>IF(AU127-5000*N127-VLOOKUP(A127,hr.个税累计数据!C:DT,122,0)-VLOOKUP(A127,hr.个税累计数据!C:DU,123,0)&gt;0,AU127-5000*N127-VLOOKUP(A127,hr.个税累计数据!C:DT,122,0)-VLOOKUP(A127,hr.个税累计数据!C:DU,123,0),0)</f>
        <v>148318.8</v>
      </c>
      <c r="AW127" s="348">
        <f>VLOOKUP(BW127,hr.个税累计数据!C:DV,124,0)</f>
        <v>9883.95</v>
      </c>
      <c r="AX127" s="348"/>
      <c r="AY127" s="349">
        <f>IF(ROUND(MAX(AV127*{0.03,0.1,0.2,0.25,0.3,0.35,0.45}-{0,210,1410,2660,4410,7160,15160}*12)-AW127,2)&lt;=0,0,ROUND(MAX(AV127*{0.03,0.1,0.2,0.25,0.3,0.35,0.45}-{0,210,1410,2660,4410,7160,15160}*12)-AW127,2))</f>
        <v>2859.81</v>
      </c>
      <c r="AZ127" s="348">
        <f t="shared" si="69"/>
        <v>-368.76</v>
      </c>
      <c r="BA127" s="348"/>
      <c r="BB127" s="348">
        <f t="shared" si="70"/>
        <v>26050.75</v>
      </c>
      <c r="BC127" s="353"/>
      <c r="BD127" s="349">
        <f t="shared" si="71"/>
        <v>26050.75</v>
      </c>
      <c r="BE127" s="356">
        <f>VLOOKUP($BW127,'HR|社保明细'!C:T,11,0)</f>
        <v>2400</v>
      </c>
      <c r="BF127" s="348">
        <f>VLOOKUP($BW127,'HR|社保明细'!$C:U,12,0)</f>
        <v>1200</v>
      </c>
      <c r="BG127" s="348">
        <f>VLOOKUP($BW127,'HR|社保明细'!$C:V,13,0)</f>
        <v>75</v>
      </c>
      <c r="BH127" s="348">
        <f>VLOOKUP($BW127,'HR|社保明细'!$C:W,14,0)</f>
        <v>30</v>
      </c>
      <c r="BI127" s="348">
        <f>VLOOKUP($BW127,'HR|社保明细'!$C:X,15,0)</f>
        <v>150</v>
      </c>
      <c r="BJ127" s="348">
        <f>VLOOKUP($BW127,'HR|社保明细'!$C:Y,16,0)</f>
        <v>1050</v>
      </c>
      <c r="BK127" s="353">
        <f>VLOOKUP($BW127,'HR|社保明细'!$C:Z,17,0)</f>
        <v>0</v>
      </c>
      <c r="BL127" s="349">
        <f t="shared" si="72"/>
        <v>4905</v>
      </c>
      <c r="BM127" s="354"/>
      <c r="BN127" s="350"/>
      <c r="BO127" s="350"/>
      <c r="BP127" s="350"/>
      <c r="BQ127" s="350"/>
      <c r="BR127" s="349">
        <f t="shared" si="73"/>
        <v>0</v>
      </c>
      <c r="BS127" s="349">
        <f t="shared" si="74"/>
        <v>10535.56</v>
      </c>
      <c r="BT127" s="357">
        <v>1250</v>
      </c>
      <c r="BU127" s="357"/>
      <c r="BV127" s="358"/>
      <c r="BW127" s="359" t="str">
        <f t="shared" si="75"/>
        <v>弈工分信息王倩</v>
      </c>
      <c r="BX127" s="360"/>
      <c r="BY127" s="360" t="s">
        <v>273</v>
      </c>
      <c r="BZ127" s="360" t="s">
        <v>38</v>
      </c>
      <c r="CA127" s="360" t="str">
        <f>VLOOKUP(A127,hr.个税累计数据!C:C,1,0)</f>
        <v>弈工分信息王倩</v>
      </c>
      <c r="CB127" s="360" t="s">
        <v>524</v>
      </c>
      <c r="CC127" s="360" t="s">
        <v>273</v>
      </c>
      <c r="CD127" s="243" t="b">
        <f t="shared" si="76"/>
        <v>1</v>
      </c>
    </row>
    <row r="128" s="243" customFormat="1" ht="23" hidden="1" customHeight="1" spans="1:82">
      <c r="A128" s="343" t="str">
        <f t="shared" si="62"/>
        <v>弈工分信息武敏辉</v>
      </c>
      <c r="B128" s="343" t="s">
        <v>41</v>
      </c>
      <c r="C128" s="343" t="s">
        <v>72</v>
      </c>
      <c r="D128" s="343" t="s">
        <v>252</v>
      </c>
      <c r="E128" s="344" t="s">
        <v>350</v>
      </c>
      <c r="F128" s="343" t="s">
        <v>352</v>
      </c>
      <c r="G128" s="343" t="s">
        <v>391</v>
      </c>
      <c r="H128" s="343" t="s">
        <v>525</v>
      </c>
      <c r="I128" s="343" t="s">
        <v>525</v>
      </c>
      <c r="J128" s="343" t="s">
        <v>257</v>
      </c>
      <c r="K128" s="345">
        <f t="shared" si="63"/>
        <v>24325.21</v>
      </c>
      <c r="L128" s="346">
        <f t="shared" si="64"/>
        <v>18473.39</v>
      </c>
      <c r="M128" s="362"/>
      <c r="N128" s="347">
        <v>6</v>
      </c>
      <c r="O128" s="361">
        <v>20000</v>
      </c>
      <c r="P128" s="348">
        <v>291</v>
      </c>
      <c r="Q128" s="348">
        <f>VLOOKUP(I128,考勤调整记录!I:W,15,0)</f>
        <v>0</v>
      </c>
      <c r="R128" s="348"/>
      <c r="S128" s="348">
        <v>155.8</v>
      </c>
      <c r="T128" s="348"/>
      <c r="U128" s="349">
        <f t="shared" si="65"/>
        <v>20446.8</v>
      </c>
      <c r="V128" s="350">
        <v>2450.2</v>
      </c>
      <c r="W128" s="350">
        <v>-1399.29</v>
      </c>
      <c r="X128" s="350"/>
      <c r="Y128" s="350"/>
      <c r="Z128" s="350"/>
      <c r="AA128" s="350"/>
      <c r="AB128" s="350"/>
      <c r="AC128" s="349">
        <f t="shared" si="66"/>
        <v>21497.71</v>
      </c>
      <c r="AD128" s="351"/>
      <c r="AE128" s="352">
        <v>202606</v>
      </c>
      <c r="AF128" s="348">
        <f>VLOOKUP(BW128,'HR|社保明细'!C:F,4,0)</f>
        <v>7500</v>
      </c>
      <c r="AG128" s="348">
        <f>VLOOKUP($BW128,'HR|社保明细'!$C:G,5,0)</f>
        <v>7500</v>
      </c>
      <c r="AH128" s="348">
        <f>VLOOKUP($BW128,'HR|社保明细'!$C:H,6,0)</f>
        <v>600</v>
      </c>
      <c r="AI128" s="348">
        <f>VLOOKUP($BW128,'HR|社保明细'!$C:I,7,0)</f>
        <v>150</v>
      </c>
      <c r="AJ128" s="348">
        <f>VLOOKUP($BW128,'HR|社保明细'!$C:J,8,0)</f>
        <v>37.5</v>
      </c>
      <c r="AK128" s="348">
        <f>VLOOKUP($BW128,'HR|社保明细'!$C:K,9,0)</f>
        <v>525</v>
      </c>
      <c r="AL128" s="353">
        <f>VLOOKUP($BW128,'HR|社保明细'!$C:L,10,0)</f>
        <v>375</v>
      </c>
      <c r="AM128" s="349">
        <f t="shared" si="67"/>
        <v>1687.5</v>
      </c>
      <c r="AN128" s="348"/>
      <c r="AO128" s="348"/>
      <c r="AP128" s="348"/>
      <c r="AQ128" s="348">
        <v>3000</v>
      </c>
      <c r="AR128" s="348"/>
      <c r="AS128" s="348">
        <f t="shared" si="68"/>
        <v>16810.21</v>
      </c>
      <c r="AT128" s="354"/>
      <c r="AU128" s="355">
        <f>VLOOKUP(BW128,hr.个税累计数据!C:DS,121,0)</f>
        <v>123939.73</v>
      </c>
      <c r="AV128" s="348">
        <f>IF(AU128-5000*N128-VLOOKUP(A128,hr.个税累计数据!C:DT,122,0)-VLOOKUP(A128,hr.个税累计数据!C:DU,123,0)&gt;0,AU128-5000*N128-VLOOKUP(A128,hr.个税累计数据!C:DT,122,0)-VLOOKUP(A128,hr.个税累计数据!C:DU,123,0),0)</f>
        <v>65814.73</v>
      </c>
      <c r="AW128" s="348">
        <f>VLOOKUP(BW128,hr.个税累计数据!C:DV,124,0)</f>
        <v>2880.45</v>
      </c>
      <c r="AX128" s="348"/>
      <c r="AY128" s="349">
        <f>IF(ROUND(MAX(AV128*{0.03,0.1,0.2,0.25,0.3,0.35,0.45}-{0,210,1410,2660,4410,7160,15160}*12)-AW128,2)&lt;=0,0,ROUND(MAX(AV128*{0.03,0.1,0.2,0.25,0.3,0.35,0.45}-{0,210,1410,2660,4410,7160,15160}*12)-AW128,2))</f>
        <v>1181.02</v>
      </c>
      <c r="AZ128" s="348">
        <f t="shared" si="69"/>
        <v>-155.8</v>
      </c>
      <c r="BA128" s="348"/>
      <c r="BB128" s="348">
        <f t="shared" si="70"/>
        <v>18473.39</v>
      </c>
      <c r="BC128" s="353"/>
      <c r="BD128" s="349">
        <f t="shared" si="71"/>
        <v>18473.39</v>
      </c>
      <c r="BE128" s="356">
        <f>VLOOKUP($BW128,'HR|社保明细'!C:T,11,0)</f>
        <v>1200</v>
      </c>
      <c r="BF128" s="348">
        <f>VLOOKUP($BW128,'HR|社保明细'!$C:U,12,0)</f>
        <v>600</v>
      </c>
      <c r="BG128" s="348">
        <f>VLOOKUP($BW128,'HR|社保明细'!$C:V,13,0)</f>
        <v>37.5</v>
      </c>
      <c r="BH128" s="348">
        <f>VLOOKUP($BW128,'HR|社保明细'!$C:W,14,0)</f>
        <v>15</v>
      </c>
      <c r="BI128" s="348">
        <f>VLOOKUP($BW128,'HR|社保明细'!$C:X,15,0)</f>
        <v>75</v>
      </c>
      <c r="BJ128" s="348">
        <f>VLOOKUP($BW128,'HR|社保明细'!$C:Y,16,0)</f>
        <v>525</v>
      </c>
      <c r="BK128" s="353">
        <f>VLOOKUP($BW128,'HR|社保明细'!$C:Z,17,0)</f>
        <v>375</v>
      </c>
      <c r="BL128" s="349">
        <f t="shared" si="72"/>
        <v>2827.5</v>
      </c>
      <c r="BM128" s="354"/>
      <c r="BN128" s="350"/>
      <c r="BO128" s="350"/>
      <c r="BP128" s="350"/>
      <c r="BQ128" s="350"/>
      <c r="BR128" s="349">
        <f t="shared" si="73"/>
        <v>0</v>
      </c>
      <c r="BS128" s="349">
        <f t="shared" si="74"/>
        <v>1050.91</v>
      </c>
      <c r="BT128" s="357">
        <v>1250</v>
      </c>
      <c r="BU128" s="357"/>
      <c r="BV128" s="358"/>
      <c r="BW128" s="359" t="str">
        <f t="shared" si="75"/>
        <v>弈工分信息武敏辉</v>
      </c>
      <c r="BX128" s="360"/>
      <c r="BY128" s="360" t="s">
        <v>273</v>
      </c>
      <c r="BZ128" s="360" t="s">
        <v>353</v>
      </c>
      <c r="CA128" s="360" t="str">
        <f>VLOOKUP(A128,hr.个税累计数据!C:C,1,0)</f>
        <v>弈工分信息武敏辉</v>
      </c>
      <c r="CB128" s="360" t="s">
        <v>526</v>
      </c>
      <c r="CC128" s="360" t="s">
        <v>273</v>
      </c>
      <c r="CD128" s="243" t="b">
        <f t="shared" si="76"/>
        <v>1</v>
      </c>
    </row>
    <row r="129" s="243" customFormat="1" ht="23" hidden="1" customHeight="1" spans="1:82">
      <c r="A129" s="343" t="str">
        <f t="shared" si="62"/>
        <v>弈工分信息党红艳</v>
      </c>
      <c r="B129" s="343" t="s">
        <v>39</v>
      </c>
      <c r="C129" s="343" t="s">
        <v>72</v>
      </c>
      <c r="D129" s="343" t="s">
        <v>252</v>
      </c>
      <c r="E129" s="344" t="s">
        <v>522</v>
      </c>
      <c r="F129" s="343" t="s">
        <v>270</v>
      </c>
      <c r="G129" s="343" t="s">
        <v>527</v>
      </c>
      <c r="H129" s="343" t="s">
        <v>528</v>
      </c>
      <c r="I129" s="343" t="s">
        <v>528</v>
      </c>
      <c r="J129" s="343" t="s">
        <v>257</v>
      </c>
      <c r="K129" s="345">
        <f t="shared" si="63"/>
        <v>9778.92</v>
      </c>
      <c r="L129" s="346">
        <f t="shared" si="64"/>
        <v>5857.27</v>
      </c>
      <c r="M129" s="362"/>
      <c r="N129" s="347">
        <v>6</v>
      </c>
      <c r="O129" s="361">
        <v>7500</v>
      </c>
      <c r="P129" s="348"/>
      <c r="Q129" s="348">
        <f>VLOOKUP(I129,考勤调整记录!I:W,15,0)</f>
        <v>0</v>
      </c>
      <c r="R129" s="348"/>
      <c r="S129" s="348">
        <v>155.8</v>
      </c>
      <c r="T129" s="348"/>
      <c r="U129" s="349">
        <f t="shared" si="65"/>
        <v>7655.8</v>
      </c>
      <c r="V129" s="350"/>
      <c r="W129" s="350">
        <v>-311.1</v>
      </c>
      <c r="X129" s="350"/>
      <c r="Y129" s="350"/>
      <c r="Z129" s="350"/>
      <c r="AA129" s="350"/>
      <c r="AB129" s="350"/>
      <c r="AC129" s="349">
        <f t="shared" si="66"/>
        <v>7344.7</v>
      </c>
      <c r="AD129" s="351"/>
      <c r="AE129" s="352">
        <v>202606</v>
      </c>
      <c r="AF129" s="348">
        <f>VLOOKUP(BW129,'HR|社保明细'!C:F,4,0)</f>
        <v>7460</v>
      </c>
      <c r="AG129" s="348">
        <f>VLOOKUP($BW129,'HR|社保明细'!$C:G,5,0)</f>
        <v>7384</v>
      </c>
      <c r="AH129" s="348">
        <f>VLOOKUP($BW129,'HR|社保明细'!$C:H,6,0)</f>
        <v>596.8</v>
      </c>
      <c r="AI129" s="348">
        <f>VLOOKUP($BW129,'HR|社保明细'!$C:I,7,0)</f>
        <v>149.2</v>
      </c>
      <c r="AJ129" s="348">
        <f>VLOOKUP($BW129,'HR|社保明细'!$C:J,8,0)</f>
        <v>37.3</v>
      </c>
      <c r="AK129" s="348">
        <f>VLOOKUP($BW129,'HR|社保明细'!$C:K,9,0)</f>
        <v>517</v>
      </c>
      <c r="AL129" s="353">
        <f>VLOOKUP($BW129,'HR|社保明细'!$C:L,10,0)</f>
        <v>0</v>
      </c>
      <c r="AM129" s="349">
        <f t="shared" si="67"/>
        <v>1300.3</v>
      </c>
      <c r="AN129" s="348"/>
      <c r="AO129" s="348"/>
      <c r="AP129" s="348"/>
      <c r="AQ129" s="348"/>
      <c r="AR129" s="348"/>
      <c r="AS129" s="348">
        <f t="shared" si="68"/>
        <v>6044.4</v>
      </c>
      <c r="AT129" s="354"/>
      <c r="AU129" s="355">
        <f>VLOOKUP(BW129,hr.个税累计数据!C:DS,121,0)</f>
        <v>72960.78</v>
      </c>
      <c r="AV129" s="348">
        <f>IF(AU129-5000*N129-VLOOKUP(A129,hr.个税累计数据!C:DT,122,0)-VLOOKUP(A129,hr.个税累计数据!C:DU,123,0)&gt;0,AU129-5000*N129-VLOOKUP(A129,hr.个税累计数据!C:DT,122,0)-VLOOKUP(A129,hr.个税累计数据!C:DU,123,0),0)</f>
        <v>35158.98</v>
      </c>
      <c r="AW129" s="348">
        <f>VLOOKUP(BW129,hr.个税累计数据!C:DV,124,0)</f>
        <v>1023.44</v>
      </c>
      <c r="AX129" s="348"/>
      <c r="AY129" s="349">
        <f>IF(ROUND(MAX(AV129*{0.03,0.1,0.2,0.25,0.3,0.35,0.45}-{0,210,1410,2660,4410,7160,15160}*12)-AW129,2)&lt;=0,0,ROUND(MAX(AV129*{0.03,0.1,0.2,0.25,0.3,0.35,0.45}-{0,210,1410,2660,4410,7160,15160}*12)-AW129,2))</f>
        <v>31.33</v>
      </c>
      <c r="AZ129" s="348">
        <f t="shared" si="69"/>
        <v>-155.8</v>
      </c>
      <c r="BA129" s="348"/>
      <c r="BB129" s="348">
        <f t="shared" si="70"/>
        <v>5857.27</v>
      </c>
      <c r="BC129" s="353"/>
      <c r="BD129" s="349">
        <f t="shared" si="71"/>
        <v>5857.27</v>
      </c>
      <c r="BE129" s="356">
        <f>VLOOKUP($BW129,'HR|社保明细'!C:T,11,0)</f>
        <v>1193.6</v>
      </c>
      <c r="BF129" s="348">
        <f>VLOOKUP($BW129,'HR|社保明细'!$C:U,12,0)</f>
        <v>596.8</v>
      </c>
      <c r="BG129" s="348">
        <f>VLOOKUP($BW129,'HR|社保明细'!$C:V,13,0)</f>
        <v>37.3</v>
      </c>
      <c r="BH129" s="348">
        <f>VLOOKUP($BW129,'HR|社保明细'!$C:W,14,0)</f>
        <v>14.92</v>
      </c>
      <c r="BI129" s="348">
        <f>VLOOKUP($BW129,'HR|社保明细'!$C:X,15,0)</f>
        <v>74.6</v>
      </c>
      <c r="BJ129" s="348">
        <f>VLOOKUP($BW129,'HR|社保明细'!$C:Y,16,0)</f>
        <v>517</v>
      </c>
      <c r="BK129" s="353">
        <f>VLOOKUP($BW129,'HR|社保明细'!$C:Z,17,0)</f>
        <v>0</v>
      </c>
      <c r="BL129" s="349">
        <f t="shared" si="72"/>
        <v>2434.22</v>
      </c>
      <c r="BM129" s="354"/>
      <c r="BN129" s="350"/>
      <c r="BO129" s="350"/>
      <c r="BP129" s="350"/>
      <c r="BQ129" s="350"/>
      <c r="BR129" s="349">
        <f t="shared" si="73"/>
        <v>0</v>
      </c>
      <c r="BS129" s="349">
        <f t="shared" si="74"/>
        <v>-311.1</v>
      </c>
      <c r="BT129" s="357">
        <v>1250</v>
      </c>
      <c r="BU129" s="357"/>
      <c r="BV129" s="358"/>
      <c r="BW129" s="359" t="str">
        <f t="shared" si="75"/>
        <v>弈工分信息党红艳</v>
      </c>
      <c r="BX129" s="360"/>
      <c r="BY129" s="360" t="s">
        <v>273</v>
      </c>
      <c r="BZ129" s="360" t="s">
        <v>38</v>
      </c>
      <c r="CA129" s="360" t="str">
        <f>VLOOKUP(A129,hr.个税累计数据!C:C,1,0)</f>
        <v>弈工分信息党红艳</v>
      </c>
      <c r="CB129" s="360" t="s">
        <v>529</v>
      </c>
      <c r="CC129" s="360" t="s">
        <v>273</v>
      </c>
      <c r="CD129" s="243" t="b">
        <f t="shared" si="76"/>
        <v>1</v>
      </c>
    </row>
    <row r="130" s="243" customFormat="1" ht="23" hidden="1" customHeight="1" spans="1:82">
      <c r="A130" s="343" t="str">
        <f t="shared" si="62"/>
        <v>弈工分信息林知峰</v>
      </c>
      <c r="B130" s="343" t="s">
        <v>39</v>
      </c>
      <c r="C130" s="343" t="s">
        <v>72</v>
      </c>
      <c r="D130" s="343" t="s">
        <v>252</v>
      </c>
      <c r="E130" s="344" t="s">
        <v>522</v>
      </c>
      <c r="F130" s="343" t="s">
        <v>270</v>
      </c>
      <c r="G130" s="343" t="s">
        <v>530</v>
      </c>
      <c r="H130" s="343" t="s">
        <v>531</v>
      </c>
      <c r="I130" s="343" t="s">
        <v>531</v>
      </c>
      <c r="J130" s="343" t="s">
        <v>257</v>
      </c>
      <c r="K130" s="345">
        <f t="shared" si="63"/>
        <v>26154.2</v>
      </c>
      <c r="L130" s="346">
        <f t="shared" si="64"/>
        <v>15804.98</v>
      </c>
      <c r="M130" s="362"/>
      <c r="N130" s="347">
        <v>6</v>
      </c>
      <c r="O130" s="361">
        <v>20000</v>
      </c>
      <c r="P130" s="348"/>
      <c r="Q130" s="348">
        <f>VLOOKUP(I130,考勤调整记录!I:W,15,0)</f>
        <v>0</v>
      </c>
      <c r="R130" s="348"/>
      <c r="S130" s="348">
        <v>155.8</v>
      </c>
      <c r="T130" s="348"/>
      <c r="U130" s="349">
        <f t="shared" si="65"/>
        <v>20155.8</v>
      </c>
      <c r="V130" s="350"/>
      <c r="W130" s="350">
        <v>-541.6</v>
      </c>
      <c r="X130" s="350"/>
      <c r="Y130" s="350"/>
      <c r="Z130" s="350"/>
      <c r="AA130" s="350"/>
      <c r="AB130" s="350"/>
      <c r="AC130" s="349">
        <f t="shared" si="66"/>
        <v>19614.2</v>
      </c>
      <c r="AD130" s="351"/>
      <c r="AE130" s="352">
        <v>202606</v>
      </c>
      <c r="AF130" s="348">
        <f>VLOOKUP(BW130,'HR|社保明细'!C:F,4,0)</f>
        <v>20000</v>
      </c>
      <c r="AG130" s="348">
        <f>VLOOKUP($BW130,'HR|社保明细'!$C:G,5,0)</f>
        <v>20000</v>
      </c>
      <c r="AH130" s="348">
        <f>VLOOKUP($BW130,'HR|社保明细'!$C:H,6,0)</f>
        <v>1600</v>
      </c>
      <c r="AI130" s="348">
        <f>VLOOKUP($BW130,'HR|社保明细'!$C:I,7,0)</f>
        <v>400</v>
      </c>
      <c r="AJ130" s="348">
        <f>VLOOKUP($BW130,'HR|社保明细'!$C:J,8,0)</f>
        <v>100</v>
      </c>
      <c r="AK130" s="348">
        <f>VLOOKUP($BW130,'HR|社保明细'!$C:K,9,0)</f>
        <v>1400</v>
      </c>
      <c r="AL130" s="353">
        <f>VLOOKUP($BW130,'HR|社保明细'!$C:L,10,0)</f>
        <v>0</v>
      </c>
      <c r="AM130" s="349">
        <f t="shared" si="67"/>
        <v>3500</v>
      </c>
      <c r="AN130" s="348"/>
      <c r="AO130" s="348"/>
      <c r="AP130" s="348"/>
      <c r="AQ130" s="348">
        <v>3000</v>
      </c>
      <c r="AR130" s="348"/>
      <c r="AS130" s="348">
        <f t="shared" si="68"/>
        <v>13114.2</v>
      </c>
      <c r="AT130" s="354"/>
      <c r="AU130" s="355">
        <f>VLOOKUP(BW130,hr.个税累计数据!C:DS,121,0)</f>
        <v>121698.04</v>
      </c>
      <c r="AV130" s="348">
        <f>IF(AU130-5000*N130-VLOOKUP(A130,hr.个税累计数据!C:DT,122,0)-VLOOKUP(A130,hr.个税累计数据!C:DU,123,0)&gt;0,AU130-5000*N130-VLOOKUP(A130,hr.个税累计数据!C:DT,122,0)-VLOOKUP(A130,hr.个税累计数据!C:DU,123,0),0)</f>
        <v>34698.04</v>
      </c>
      <c r="AW130" s="348">
        <f>VLOOKUP(BW130,hr.个税累计数据!C:DV,124,0)</f>
        <v>887.52</v>
      </c>
      <c r="AX130" s="348"/>
      <c r="AY130" s="349">
        <f>IF(ROUND(MAX(AV130*{0.03,0.1,0.2,0.25,0.3,0.35,0.45}-{0,210,1410,2660,4410,7160,15160}*12)-AW130,2)&lt;=0,0,ROUND(MAX(AV130*{0.03,0.1,0.2,0.25,0.3,0.35,0.45}-{0,210,1410,2660,4410,7160,15160}*12)-AW130,2))</f>
        <v>153.42</v>
      </c>
      <c r="AZ130" s="348">
        <f t="shared" si="69"/>
        <v>-155.8</v>
      </c>
      <c r="BA130" s="348"/>
      <c r="BB130" s="348">
        <f t="shared" si="70"/>
        <v>15804.98</v>
      </c>
      <c r="BC130" s="353"/>
      <c r="BD130" s="349">
        <f t="shared" si="71"/>
        <v>15804.98</v>
      </c>
      <c r="BE130" s="356">
        <f>VLOOKUP($BW130,'HR|社保明细'!C:T,11,0)</f>
        <v>3200</v>
      </c>
      <c r="BF130" s="348">
        <f>VLOOKUP($BW130,'HR|社保明细'!$C:U,12,0)</f>
        <v>1600</v>
      </c>
      <c r="BG130" s="348">
        <f>VLOOKUP($BW130,'HR|社保明细'!$C:V,13,0)</f>
        <v>100</v>
      </c>
      <c r="BH130" s="348">
        <f>VLOOKUP($BW130,'HR|社保明细'!$C:W,14,0)</f>
        <v>40</v>
      </c>
      <c r="BI130" s="348">
        <f>VLOOKUP($BW130,'HR|社保明细'!$C:X,15,0)</f>
        <v>200</v>
      </c>
      <c r="BJ130" s="348">
        <f>VLOOKUP($BW130,'HR|社保明细'!$C:Y,16,0)</f>
        <v>1400</v>
      </c>
      <c r="BK130" s="353">
        <f>VLOOKUP($BW130,'HR|社保明细'!$C:Z,17,0)</f>
        <v>0</v>
      </c>
      <c r="BL130" s="349">
        <f t="shared" si="72"/>
        <v>6540</v>
      </c>
      <c r="BM130" s="354"/>
      <c r="BN130" s="350"/>
      <c r="BO130" s="350"/>
      <c r="BP130" s="350"/>
      <c r="BQ130" s="350"/>
      <c r="BR130" s="349">
        <f t="shared" si="73"/>
        <v>0</v>
      </c>
      <c r="BS130" s="349">
        <f t="shared" si="74"/>
        <v>-541.6</v>
      </c>
      <c r="BT130" s="357">
        <v>1250</v>
      </c>
      <c r="BU130" s="357"/>
      <c r="BV130" s="358"/>
      <c r="BW130" s="359" t="str">
        <f t="shared" si="75"/>
        <v>弈工分信息林知峰</v>
      </c>
      <c r="BX130" s="360"/>
      <c r="BY130" s="360" t="s">
        <v>273</v>
      </c>
      <c r="BZ130" s="360" t="s">
        <v>38</v>
      </c>
      <c r="CA130" s="360" t="str">
        <f>VLOOKUP(A130,hr.个税累计数据!C:C,1,0)</f>
        <v>弈工分信息林知峰</v>
      </c>
      <c r="CB130" s="360" t="s">
        <v>532</v>
      </c>
      <c r="CC130" s="360" t="s">
        <v>273</v>
      </c>
      <c r="CD130" s="243" t="b">
        <f t="shared" si="76"/>
        <v>1</v>
      </c>
    </row>
    <row r="131" s="243" customFormat="1" ht="23" hidden="1" customHeight="1" spans="1:82">
      <c r="A131" s="343" t="str">
        <f t="shared" si="62"/>
        <v>弈工分信息罗俊尧</v>
      </c>
      <c r="B131" s="343" t="s">
        <v>39</v>
      </c>
      <c r="C131" s="343" t="s">
        <v>72</v>
      </c>
      <c r="D131" s="343" t="s">
        <v>252</v>
      </c>
      <c r="E131" s="344" t="s">
        <v>522</v>
      </c>
      <c r="F131" s="343" t="s">
        <v>270</v>
      </c>
      <c r="G131" s="343" t="s">
        <v>527</v>
      </c>
      <c r="H131" s="343" t="s">
        <v>533</v>
      </c>
      <c r="I131" s="343" t="s">
        <v>533</v>
      </c>
      <c r="J131" s="343" t="s">
        <v>257</v>
      </c>
      <c r="K131" s="345">
        <f t="shared" si="63"/>
        <v>10013.25</v>
      </c>
      <c r="L131" s="346">
        <f t="shared" si="64"/>
        <v>6084.57</v>
      </c>
      <c r="M131" s="362"/>
      <c r="N131" s="347">
        <v>6</v>
      </c>
      <c r="O131" s="361">
        <v>6800</v>
      </c>
      <c r="P131" s="348"/>
      <c r="Q131" s="348">
        <f>VLOOKUP(I131,考勤调整记录!I:W,15,0)</f>
        <v>937.93</v>
      </c>
      <c r="R131" s="348"/>
      <c r="S131" s="348">
        <v>155.8</v>
      </c>
      <c r="T131" s="348"/>
      <c r="U131" s="349">
        <f t="shared" si="65"/>
        <v>7893.73</v>
      </c>
      <c r="V131" s="350"/>
      <c r="W131" s="350">
        <v>-314.7</v>
      </c>
      <c r="X131" s="350"/>
      <c r="Y131" s="350"/>
      <c r="Z131" s="350"/>
      <c r="AA131" s="350"/>
      <c r="AB131" s="350"/>
      <c r="AC131" s="349">
        <f t="shared" si="66"/>
        <v>7579.03</v>
      </c>
      <c r="AD131" s="351"/>
      <c r="AE131" s="352">
        <v>202606</v>
      </c>
      <c r="AF131" s="348">
        <f>VLOOKUP(BW131,'HR|社保明细'!C:F,4,0)</f>
        <v>7460</v>
      </c>
      <c r="AG131" s="348">
        <f>VLOOKUP($BW131,'HR|社保明细'!$C:G,5,0)</f>
        <v>7384</v>
      </c>
      <c r="AH131" s="348">
        <f>VLOOKUP($BW131,'HR|社保明细'!$C:H,6,0)</f>
        <v>596.8</v>
      </c>
      <c r="AI131" s="348">
        <f>VLOOKUP($BW131,'HR|社保明细'!$C:I,7,0)</f>
        <v>149.2</v>
      </c>
      <c r="AJ131" s="348">
        <f>VLOOKUP($BW131,'HR|社保明细'!$C:J,8,0)</f>
        <v>37.3</v>
      </c>
      <c r="AK131" s="348">
        <f>VLOOKUP($BW131,'HR|社保明细'!$C:K,9,0)</f>
        <v>517</v>
      </c>
      <c r="AL131" s="353">
        <f>VLOOKUP($BW131,'HR|社保明细'!$C:L,10,0)</f>
        <v>0</v>
      </c>
      <c r="AM131" s="349">
        <f t="shared" si="67"/>
        <v>1300.3</v>
      </c>
      <c r="AN131" s="348"/>
      <c r="AO131" s="348"/>
      <c r="AP131" s="348"/>
      <c r="AQ131" s="348"/>
      <c r="AR131" s="348"/>
      <c r="AS131" s="348">
        <f t="shared" si="68"/>
        <v>6278.73</v>
      </c>
      <c r="AT131" s="354"/>
      <c r="AU131" s="355">
        <f>VLOOKUP(BW131,hr.个税累计数据!C:DS,121,0)</f>
        <v>62899.54</v>
      </c>
      <c r="AV131" s="348">
        <f>IF(AU131-5000*N131-VLOOKUP(A131,hr.个税累计数据!C:DT,122,0)-VLOOKUP(A131,hr.个税累计数据!C:DU,123,0)&gt;0,AU131-5000*N131-VLOOKUP(A131,hr.个税累计数据!C:DT,122,0)-VLOOKUP(A131,hr.个税累计数据!C:DU,123,0),0)</f>
        <v>25097.74</v>
      </c>
      <c r="AW131" s="348">
        <f>VLOOKUP(BW131,hr.个税累计数据!C:DV,124,0)</f>
        <v>714.57</v>
      </c>
      <c r="AX131" s="348"/>
      <c r="AY131" s="349">
        <f>IF(ROUND(MAX(AV131*{0.03,0.1,0.2,0.25,0.3,0.35,0.45}-{0,210,1410,2660,4410,7160,15160}*12)-AW131,2)&lt;=0,0,ROUND(MAX(AV131*{0.03,0.1,0.2,0.25,0.3,0.35,0.45}-{0,210,1410,2660,4410,7160,15160}*12)-AW131,2))</f>
        <v>38.36</v>
      </c>
      <c r="AZ131" s="348">
        <f t="shared" si="69"/>
        <v>-155.8</v>
      </c>
      <c r="BA131" s="348"/>
      <c r="BB131" s="348">
        <f t="shared" si="70"/>
        <v>6084.57</v>
      </c>
      <c r="BC131" s="353"/>
      <c r="BD131" s="349">
        <f t="shared" si="71"/>
        <v>6084.57</v>
      </c>
      <c r="BE131" s="356">
        <f>VLOOKUP($BW131,'HR|社保明细'!C:T,11,0)</f>
        <v>1193.6</v>
      </c>
      <c r="BF131" s="348">
        <f>VLOOKUP($BW131,'HR|社保明细'!$C:U,12,0)</f>
        <v>596.8</v>
      </c>
      <c r="BG131" s="348">
        <f>VLOOKUP($BW131,'HR|社保明细'!$C:V,13,0)</f>
        <v>37.3</v>
      </c>
      <c r="BH131" s="348">
        <f>VLOOKUP($BW131,'HR|社保明细'!$C:W,14,0)</f>
        <v>14.92</v>
      </c>
      <c r="BI131" s="348">
        <f>VLOOKUP($BW131,'HR|社保明细'!$C:X,15,0)</f>
        <v>74.6</v>
      </c>
      <c r="BJ131" s="348">
        <f>VLOOKUP($BW131,'HR|社保明细'!$C:Y,16,0)</f>
        <v>517</v>
      </c>
      <c r="BK131" s="353">
        <f>VLOOKUP($BW131,'HR|社保明细'!$C:Z,17,0)</f>
        <v>0</v>
      </c>
      <c r="BL131" s="349">
        <f t="shared" si="72"/>
        <v>2434.22</v>
      </c>
      <c r="BM131" s="354"/>
      <c r="BN131" s="350"/>
      <c r="BO131" s="350"/>
      <c r="BP131" s="350"/>
      <c r="BQ131" s="350"/>
      <c r="BR131" s="349">
        <f t="shared" si="73"/>
        <v>0</v>
      </c>
      <c r="BS131" s="349">
        <f t="shared" si="74"/>
        <v>-314.7</v>
      </c>
      <c r="BT131" s="357">
        <v>1250</v>
      </c>
      <c r="BU131" s="357"/>
      <c r="BV131" s="358"/>
      <c r="BW131" s="359" t="str">
        <f t="shared" si="75"/>
        <v>弈工分信息罗俊尧</v>
      </c>
      <c r="BX131" s="360"/>
      <c r="BY131" s="360" t="s">
        <v>273</v>
      </c>
      <c r="BZ131" s="360" t="s">
        <v>38</v>
      </c>
      <c r="CA131" s="360" t="str">
        <f>VLOOKUP(A131,hr.个税累计数据!C:C,1,0)</f>
        <v>弈工分信息罗俊尧</v>
      </c>
      <c r="CB131" s="360" t="s">
        <v>534</v>
      </c>
      <c r="CC131" s="360" t="s">
        <v>273</v>
      </c>
      <c r="CD131" s="243" t="b">
        <f t="shared" si="76"/>
        <v>1</v>
      </c>
    </row>
    <row r="132" s="243" customFormat="1" ht="23" hidden="1" customHeight="1" spans="1:82">
      <c r="A132" s="343" t="str">
        <f t="shared" si="62"/>
        <v>弈工分信息方祥</v>
      </c>
      <c r="B132" s="343" t="s">
        <v>39</v>
      </c>
      <c r="C132" s="343" t="s">
        <v>72</v>
      </c>
      <c r="D132" s="343" t="s">
        <v>267</v>
      </c>
      <c r="E132" s="344" t="s">
        <v>522</v>
      </c>
      <c r="F132" s="343" t="s">
        <v>270</v>
      </c>
      <c r="G132" s="343" t="s">
        <v>535</v>
      </c>
      <c r="H132" s="343" t="s">
        <v>536</v>
      </c>
      <c r="I132" s="343" t="s">
        <v>536</v>
      </c>
      <c r="J132" s="343" t="s">
        <v>271</v>
      </c>
      <c r="K132" s="345">
        <f t="shared" si="63"/>
        <v>1550</v>
      </c>
      <c r="L132" s="346">
        <f t="shared" si="64"/>
        <v>1400</v>
      </c>
      <c r="M132" s="362"/>
      <c r="N132" s="347">
        <v>6</v>
      </c>
      <c r="O132" s="361">
        <v>1550</v>
      </c>
      <c r="P132" s="348"/>
      <c r="Q132" s="348">
        <f>VLOOKUP(I132,考勤调整记录!I:W,15,0)</f>
        <v>0</v>
      </c>
      <c r="R132" s="348"/>
      <c r="S132" s="348"/>
      <c r="T132" s="348"/>
      <c r="U132" s="349">
        <f t="shared" si="65"/>
        <v>1550</v>
      </c>
      <c r="V132" s="350"/>
      <c r="W132" s="350"/>
      <c r="X132" s="350"/>
      <c r="Y132" s="350"/>
      <c r="Z132" s="350"/>
      <c r="AA132" s="350"/>
      <c r="AB132" s="350"/>
      <c r="AC132" s="349">
        <f t="shared" si="66"/>
        <v>1550</v>
      </c>
      <c r="AD132" s="351"/>
      <c r="AE132" s="352">
        <v>202606</v>
      </c>
      <c r="AF132" s="348">
        <f>VLOOKUP(BW132,'HR|社保明细'!C:F,4,0)</f>
        <v>0</v>
      </c>
      <c r="AG132" s="348">
        <f>VLOOKUP($BW132,'HR|社保明细'!$C:G,5,0)</f>
        <v>0</v>
      </c>
      <c r="AH132" s="348">
        <f>VLOOKUP($BW132,'HR|社保明细'!$C:H,6,0)</f>
        <v>0</v>
      </c>
      <c r="AI132" s="348">
        <f>VLOOKUP($BW132,'HR|社保明细'!$C:I,7,0)</f>
        <v>0</v>
      </c>
      <c r="AJ132" s="348">
        <f>VLOOKUP($BW132,'HR|社保明细'!$C:J,8,0)</f>
        <v>0</v>
      </c>
      <c r="AK132" s="348">
        <f>VLOOKUP($BW132,'HR|社保明细'!$C:K,9,0)</f>
        <v>0</v>
      </c>
      <c r="AL132" s="353">
        <f>VLOOKUP($BW132,'HR|社保明细'!$C:L,10,0)</f>
        <v>0</v>
      </c>
      <c r="AM132" s="349">
        <f t="shared" si="67"/>
        <v>0</v>
      </c>
      <c r="AN132" s="348"/>
      <c r="AO132" s="348"/>
      <c r="AP132" s="348"/>
      <c r="AQ132" s="348"/>
      <c r="AR132" s="348"/>
      <c r="AS132" s="348">
        <f t="shared" si="68"/>
        <v>1550</v>
      </c>
      <c r="AT132" s="354"/>
      <c r="AU132" s="355">
        <f>VLOOKUP(BW132,hr.个税累计数据!C:DS,121,0)</f>
        <v>9300</v>
      </c>
      <c r="AV132" s="348">
        <f>IF(AU132-5000*N132-VLOOKUP(A132,hr.个税累计数据!C:DT,122,0)-VLOOKUP(A132,hr.个税累计数据!C:DU,123,0)&gt;0,AU132-5000*N132-VLOOKUP(A132,hr.个税累计数据!C:DT,122,0)-VLOOKUP(A132,hr.个税累计数据!C:DU,123,0),0)</f>
        <v>0</v>
      </c>
      <c r="AW132" s="348">
        <f>VLOOKUP(BW132,hr.个税累计数据!C:DV,124,0)</f>
        <v>750</v>
      </c>
      <c r="AX132" s="348"/>
      <c r="AY132" s="349">
        <f>IF(D132="国内不计税",0,IF(D132="正常计税",ROUND(MAX(AS132*{0.03,0.1,0.2,0.25,0.3,0.35,0.45}-{0,210,1410,2660,4410,7160,15160},0),2),IF(D132="外籍人",ROUND(MAX(AS132*{0.03,0.1,0.2,0.25,0.3,0.35,0.45}-{0,210,1410,2660,4410,7160,15160},0),2),ROUND(MAX((AS132-IF(AS132&lt;4000,800,AS132*0.2))*10%*{2,3,4}-1000*{0,2,7},0),2))))</f>
        <v>150</v>
      </c>
      <c r="AZ132" s="348">
        <f t="shared" si="69"/>
        <v>0</v>
      </c>
      <c r="BA132" s="348"/>
      <c r="BB132" s="348">
        <f t="shared" si="70"/>
        <v>1400</v>
      </c>
      <c r="BC132" s="353"/>
      <c r="BD132" s="349">
        <f t="shared" si="71"/>
        <v>1400</v>
      </c>
      <c r="BE132" s="356">
        <f>VLOOKUP($BW132,'HR|社保明细'!C:T,11,0)</f>
        <v>0</v>
      </c>
      <c r="BF132" s="348">
        <f>VLOOKUP($BW132,'HR|社保明细'!$C:U,12,0)</f>
        <v>0</v>
      </c>
      <c r="BG132" s="348">
        <f>VLOOKUP($BW132,'HR|社保明细'!$C:V,13,0)</f>
        <v>0</v>
      </c>
      <c r="BH132" s="348">
        <f>VLOOKUP($BW132,'HR|社保明细'!$C:W,14,0)</f>
        <v>0</v>
      </c>
      <c r="BI132" s="348">
        <f>VLOOKUP($BW132,'HR|社保明细'!$C:X,15,0)</f>
        <v>0</v>
      </c>
      <c r="BJ132" s="348">
        <f>VLOOKUP($BW132,'HR|社保明细'!$C:Y,16,0)</f>
        <v>0</v>
      </c>
      <c r="BK132" s="353">
        <f>VLOOKUP($BW132,'HR|社保明细'!$C:Z,17,0)</f>
        <v>0</v>
      </c>
      <c r="BL132" s="349">
        <f t="shared" si="72"/>
        <v>0</v>
      </c>
      <c r="BM132" s="354"/>
      <c r="BN132" s="350"/>
      <c r="BO132" s="350"/>
      <c r="BP132" s="350"/>
      <c r="BQ132" s="350"/>
      <c r="BR132" s="349">
        <f t="shared" si="73"/>
        <v>0</v>
      </c>
      <c r="BS132" s="349">
        <f t="shared" si="74"/>
        <v>0</v>
      </c>
      <c r="BT132" s="357"/>
      <c r="BU132" s="357"/>
      <c r="BV132" s="358"/>
      <c r="BW132" s="359" t="str">
        <f t="shared" si="75"/>
        <v>弈工分信息方祥</v>
      </c>
      <c r="BX132" s="360" t="s">
        <v>258</v>
      </c>
      <c r="BY132" s="360" t="s">
        <v>259</v>
      </c>
      <c r="BZ132" s="360"/>
      <c r="CA132" s="360" t="str">
        <f>VLOOKUP(A132,hr.个税累计数据!C:C,1,0)</f>
        <v>弈工分信息方祥</v>
      </c>
      <c r="CB132" s="360" t="s">
        <v>537</v>
      </c>
      <c r="CC132" s="360"/>
      <c r="CD132" s="243" t="b">
        <f t="shared" si="76"/>
        <v>1</v>
      </c>
    </row>
    <row r="133" s="243" customFormat="1" ht="23" hidden="1" customHeight="1" spans="1:82">
      <c r="A133" s="343" t="str">
        <f t="shared" si="62"/>
        <v>弈工分信息宣国英</v>
      </c>
      <c r="B133" s="343" t="s">
        <v>52</v>
      </c>
      <c r="C133" s="343" t="s">
        <v>72</v>
      </c>
      <c r="D133" s="343" t="s">
        <v>252</v>
      </c>
      <c r="E133" s="344" t="s">
        <v>52</v>
      </c>
      <c r="F133" s="343" t="s">
        <v>383</v>
      </c>
      <c r="G133" s="343" t="s">
        <v>538</v>
      </c>
      <c r="H133" s="343" t="s">
        <v>380</v>
      </c>
      <c r="I133" s="343" t="s">
        <v>380</v>
      </c>
      <c r="J133" s="343" t="s">
        <v>257</v>
      </c>
      <c r="K133" s="345">
        <f t="shared" si="63"/>
        <v>7655.8</v>
      </c>
      <c r="L133" s="346">
        <f t="shared" si="64"/>
        <v>7420.32</v>
      </c>
      <c r="M133" s="362"/>
      <c r="N133" s="347">
        <v>6</v>
      </c>
      <c r="O133" s="361">
        <v>7200</v>
      </c>
      <c r="P133" s="348"/>
      <c r="Q133" s="348">
        <f>VLOOKUP(I133,考勤调整记录!I:W,15,0)</f>
        <v>0</v>
      </c>
      <c r="R133" s="348"/>
      <c r="S133" s="348">
        <v>155.8</v>
      </c>
      <c r="T133" s="348"/>
      <c r="U133" s="349">
        <f t="shared" si="65"/>
        <v>7355.8</v>
      </c>
      <c r="V133" s="350"/>
      <c r="W133" s="350"/>
      <c r="X133" s="350"/>
      <c r="Y133" s="350">
        <v>300</v>
      </c>
      <c r="Z133" s="350"/>
      <c r="AA133" s="350"/>
      <c r="AB133" s="350"/>
      <c r="AC133" s="349">
        <f t="shared" si="66"/>
        <v>7655.8</v>
      </c>
      <c r="AD133" s="351"/>
      <c r="AE133" s="352">
        <v>202606</v>
      </c>
      <c r="AF133" s="348">
        <f>VLOOKUP(BW133,'HR|社保明细'!C:F,4,0)</f>
        <v>0</v>
      </c>
      <c r="AG133" s="348">
        <f>VLOOKUP($BW133,'HR|社保明细'!$C:G,5,0)</f>
        <v>0</v>
      </c>
      <c r="AH133" s="348">
        <f>VLOOKUP($BW133,'HR|社保明细'!$C:H,6,0)</f>
        <v>0</v>
      </c>
      <c r="AI133" s="348">
        <f>VLOOKUP($BW133,'HR|社保明细'!$C:I,7,0)</f>
        <v>0</v>
      </c>
      <c r="AJ133" s="348">
        <f>VLOOKUP($BW133,'HR|社保明细'!$C:J,8,0)</f>
        <v>0</v>
      </c>
      <c r="AK133" s="348">
        <f>VLOOKUP($BW133,'HR|社保明细'!$C:K,9,0)</f>
        <v>0</v>
      </c>
      <c r="AL133" s="353">
        <f>VLOOKUP($BW133,'HR|社保明细'!$C:L,10,0)</f>
        <v>0</v>
      </c>
      <c r="AM133" s="349">
        <f t="shared" si="67"/>
        <v>0</v>
      </c>
      <c r="AN133" s="348"/>
      <c r="AO133" s="348"/>
      <c r="AP133" s="348"/>
      <c r="AQ133" s="348"/>
      <c r="AR133" s="348"/>
      <c r="AS133" s="348">
        <f t="shared" si="68"/>
        <v>7655.8</v>
      </c>
      <c r="AT133" s="354"/>
      <c r="AU133" s="355">
        <f>VLOOKUP(BW133,hr.个税累计数据!C:DS,121,0)</f>
        <v>43006.59</v>
      </c>
      <c r="AV133" s="348">
        <f>IF(AU133-5000*N133-VLOOKUP(A133,hr.个税累计数据!C:DT,122,0)-VLOOKUP(A133,hr.个税累计数据!C:DU,123,0)&gt;0,AU133-5000*N133-VLOOKUP(A133,hr.个税累计数据!C:DT,122,0)-VLOOKUP(A133,hr.个税累计数据!C:DU,123,0),0)</f>
        <v>13006.59</v>
      </c>
      <c r="AW133" s="348">
        <f>VLOOKUP(BW133,hr.个税累计数据!C:DV,124,0)</f>
        <v>310.52</v>
      </c>
      <c r="AX133" s="348"/>
      <c r="AY133" s="349">
        <f>IF(ROUND(MAX(AV133*{0.03,0.1,0.2,0.25,0.3,0.35,0.45}-{0,210,1410,2660,4410,7160,15160}*12)-AW133,2)&lt;=0,0,ROUND(MAX(AV133*{0.03,0.1,0.2,0.25,0.3,0.35,0.45}-{0,210,1410,2660,4410,7160,15160}*12)-AW133,2))</f>
        <v>79.68</v>
      </c>
      <c r="AZ133" s="348">
        <f t="shared" si="69"/>
        <v>-155.8</v>
      </c>
      <c r="BA133" s="348"/>
      <c r="BB133" s="348">
        <f t="shared" si="70"/>
        <v>7420.32</v>
      </c>
      <c r="BC133" s="353"/>
      <c r="BD133" s="349">
        <f t="shared" si="71"/>
        <v>7420.32</v>
      </c>
      <c r="BE133" s="356">
        <f>VLOOKUP($BW133,'HR|社保明细'!C:T,11,0)</f>
        <v>0</v>
      </c>
      <c r="BF133" s="348">
        <f>VLOOKUP($BW133,'HR|社保明细'!$C:U,12,0)</f>
        <v>0</v>
      </c>
      <c r="BG133" s="348">
        <f>VLOOKUP($BW133,'HR|社保明细'!$C:V,13,0)</f>
        <v>0</v>
      </c>
      <c r="BH133" s="348">
        <f>VLOOKUP($BW133,'HR|社保明细'!$C:W,14,0)</f>
        <v>0</v>
      </c>
      <c r="BI133" s="348">
        <f>VLOOKUP($BW133,'HR|社保明细'!$C:X,15,0)</f>
        <v>0</v>
      </c>
      <c r="BJ133" s="348">
        <f>VLOOKUP($BW133,'HR|社保明细'!$C:Y,16,0)</f>
        <v>0</v>
      </c>
      <c r="BK133" s="353">
        <f>VLOOKUP($BW133,'HR|社保明细'!$C:Z,17,0)</f>
        <v>0</v>
      </c>
      <c r="BL133" s="349">
        <f t="shared" si="72"/>
        <v>0</v>
      </c>
      <c r="BM133" s="354"/>
      <c r="BN133" s="350"/>
      <c r="BO133" s="350"/>
      <c r="BP133" s="350"/>
      <c r="BQ133" s="350"/>
      <c r="BR133" s="349">
        <f t="shared" si="73"/>
        <v>0</v>
      </c>
      <c r="BS133" s="349">
        <f t="shared" si="74"/>
        <v>300</v>
      </c>
      <c r="BT133" s="357">
        <v>1250</v>
      </c>
      <c r="BU133" s="357"/>
      <c r="BV133" s="358"/>
      <c r="BW133" s="359" t="str">
        <f t="shared" si="75"/>
        <v>弈工分信息宣国英</v>
      </c>
      <c r="BX133" s="360" t="s">
        <v>258</v>
      </c>
      <c r="BY133" s="360" t="s">
        <v>273</v>
      </c>
      <c r="BZ133" s="360" t="s">
        <v>48</v>
      </c>
      <c r="CA133" s="360" t="str">
        <f>VLOOKUP(A133,hr.个税累计数据!C:C,1,0)</f>
        <v>弈工分信息宣国英</v>
      </c>
      <c r="CB133" s="360" t="s">
        <v>539</v>
      </c>
      <c r="CC133" s="360" t="s">
        <v>273</v>
      </c>
      <c r="CD133" s="243" t="b">
        <f t="shared" si="76"/>
        <v>1</v>
      </c>
    </row>
    <row r="134" s="243" customFormat="1" ht="23" hidden="1" customHeight="1" spans="1:82">
      <c r="A134" s="343" t="str">
        <f t="shared" si="62"/>
        <v>弈工分信息方有保</v>
      </c>
      <c r="B134" s="343" t="s">
        <v>50</v>
      </c>
      <c r="C134" s="343" t="s">
        <v>72</v>
      </c>
      <c r="D134" s="343" t="s">
        <v>252</v>
      </c>
      <c r="E134" s="344" t="s">
        <v>50</v>
      </c>
      <c r="F134" s="343" t="s">
        <v>383</v>
      </c>
      <c r="G134" s="343" t="s">
        <v>540</v>
      </c>
      <c r="H134" s="343" t="s">
        <v>345</v>
      </c>
      <c r="I134" s="343" t="s">
        <v>345</v>
      </c>
      <c r="J134" s="343" t="s">
        <v>348</v>
      </c>
      <c r="K134" s="345">
        <f t="shared" si="63"/>
        <v>19996.9</v>
      </c>
      <c r="L134" s="346">
        <f t="shared" si="64"/>
        <v>14658.07</v>
      </c>
      <c r="M134" s="362"/>
      <c r="N134" s="347">
        <v>6</v>
      </c>
      <c r="O134" s="361">
        <v>11500</v>
      </c>
      <c r="P134" s="348"/>
      <c r="Q134" s="348">
        <f>VLOOKUP(I134,考勤调整记录!I:W,15,0)</f>
        <v>0</v>
      </c>
      <c r="R134" s="348"/>
      <c r="S134" s="348">
        <v>155.8</v>
      </c>
      <c r="T134" s="348"/>
      <c r="U134" s="349">
        <f t="shared" si="65"/>
        <v>11655.8</v>
      </c>
      <c r="V134" s="350"/>
      <c r="W134" s="350"/>
      <c r="X134" s="350"/>
      <c r="Y134" s="350">
        <v>300</v>
      </c>
      <c r="Z134" s="350">
        <v>5000</v>
      </c>
      <c r="AA134" s="350"/>
      <c r="AB134" s="350"/>
      <c r="AC134" s="349">
        <f t="shared" si="66"/>
        <v>16955.8</v>
      </c>
      <c r="AD134" s="351"/>
      <c r="AE134" s="352">
        <v>202606</v>
      </c>
      <c r="AF134" s="348">
        <f>VLOOKUP(BW134,'HR|社保明细'!C:F,4,0)</f>
        <v>9300</v>
      </c>
      <c r="AG134" s="348">
        <f>VLOOKUP($BW134,'HR|社保明细'!$C:G,5,0)</f>
        <v>9300</v>
      </c>
      <c r="AH134" s="348">
        <f>VLOOKUP($BW134,'HR|社保明细'!$C:H,6,0)</f>
        <v>744</v>
      </c>
      <c r="AI134" s="348">
        <f>VLOOKUP($BW134,'HR|社保明细'!$C:I,7,0)</f>
        <v>186</v>
      </c>
      <c r="AJ134" s="348">
        <f>VLOOKUP($BW134,'HR|社保明细'!$C:J,8,0)</f>
        <v>46.5</v>
      </c>
      <c r="AK134" s="348">
        <f>VLOOKUP($BW134,'HR|社保明细'!$C:K,9,0)</f>
        <v>651</v>
      </c>
      <c r="AL134" s="353">
        <f>VLOOKUP($BW134,'HR|社保明细'!$C:L,10,0)</f>
        <v>0</v>
      </c>
      <c r="AM134" s="349">
        <f t="shared" si="67"/>
        <v>1627.5</v>
      </c>
      <c r="AN134" s="348"/>
      <c r="AO134" s="348"/>
      <c r="AP134" s="348">
        <v>1500</v>
      </c>
      <c r="AQ134" s="348">
        <v>1500</v>
      </c>
      <c r="AR134" s="348"/>
      <c r="AS134" s="348">
        <f t="shared" si="68"/>
        <v>12328.3</v>
      </c>
      <c r="AT134" s="354"/>
      <c r="AU134" s="355">
        <f>VLOOKUP(BW134,hr.个税累计数据!C:DS,121,0)</f>
        <v>97973.25</v>
      </c>
      <c r="AV134" s="348">
        <f>IF(AU134-5000*N134-VLOOKUP(A134,hr.个税累计数据!C:DT,122,0)-VLOOKUP(A134,hr.个税累计数据!C:DU,123,0)&gt;0,AU134-5000*N134-VLOOKUP(A134,hr.个税累计数据!C:DT,122,0)-VLOOKUP(A134,hr.个税累计数据!C:DU,123,0),0)</f>
        <v>40208.25</v>
      </c>
      <c r="AW134" s="348">
        <f>VLOOKUP(BW134,hr.个税累计数据!C:DV,124,0)</f>
        <v>986.4</v>
      </c>
      <c r="AX134" s="348"/>
      <c r="AY134" s="349">
        <f>IF(ROUND(MAX(AV134*{0.03,0.1,0.2,0.25,0.3,0.35,0.45}-{0,210,1410,2660,4410,7160,15160}*12)-AW134,2)&lt;=0,0,ROUND(MAX(AV134*{0.03,0.1,0.2,0.25,0.3,0.35,0.45}-{0,210,1410,2660,4410,7160,15160}*12)-AW134,2))</f>
        <v>514.43</v>
      </c>
      <c r="AZ134" s="348">
        <f t="shared" si="69"/>
        <v>-155.8</v>
      </c>
      <c r="BA134" s="348"/>
      <c r="BB134" s="348">
        <f t="shared" si="70"/>
        <v>14658.07</v>
      </c>
      <c r="BC134" s="353"/>
      <c r="BD134" s="349">
        <f t="shared" si="71"/>
        <v>14658.07</v>
      </c>
      <c r="BE134" s="356">
        <f>VLOOKUP($BW134,'HR|社保明细'!C:T,11,0)</f>
        <v>1488</v>
      </c>
      <c r="BF134" s="348">
        <f>VLOOKUP($BW134,'HR|社保明细'!$C:U,12,0)</f>
        <v>744</v>
      </c>
      <c r="BG134" s="348">
        <f>VLOOKUP($BW134,'HR|社保明细'!$C:V,13,0)</f>
        <v>46.5</v>
      </c>
      <c r="BH134" s="348">
        <f>VLOOKUP($BW134,'HR|社保明细'!$C:W,14,0)</f>
        <v>18.6</v>
      </c>
      <c r="BI134" s="348">
        <f>VLOOKUP($BW134,'HR|社保明细'!$C:X,15,0)</f>
        <v>93</v>
      </c>
      <c r="BJ134" s="348">
        <f>VLOOKUP($BW134,'HR|社保明细'!$C:Y,16,0)</f>
        <v>651</v>
      </c>
      <c r="BK134" s="353">
        <f>VLOOKUP($BW134,'HR|社保明细'!$C:Z,17,0)</f>
        <v>0</v>
      </c>
      <c r="BL134" s="349">
        <f t="shared" si="72"/>
        <v>3041.1</v>
      </c>
      <c r="BM134" s="354"/>
      <c r="BN134" s="350"/>
      <c r="BO134" s="350"/>
      <c r="BP134" s="350"/>
      <c r="BQ134" s="350"/>
      <c r="BR134" s="349">
        <f t="shared" si="73"/>
        <v>0</v>
      </c>
      <c r="BS134" s="349">
        <f t="shared" si="74"/>
        <v>5300</v>
      </c>
      <c r="BT134" s="357">
        <v>1250</v>
      </c>
      <c r="BU134" s="357"/>
      <c r="BV134" s="358"/>
      <c r="BW134" s="359" t="str">
        <f t="shared" si="75"/>
        <v>弈工分信息方有保</v>
      </c>
      <c r="BX134" s="360"/>
      <c r="BY134" s="360" t="s">
        <v>273</v>
      </c>
      <c r="BZ134" s="360" t="s">
        <v>48</v>
      </c>
      <c r="CA134" s="360" t="str">
        <f>VLOOKUP(A134,hr.个税累计数据!C:C,1,0)</f>
        <v>弈工分信息方有保</v>
      </c>
      <c r="CB134" s="360" t="s">
        <v>541</v>
      </c>
      <c r="CC134" s="360" t="s">
        <v>273</v>
      </c>
      <c r="CD134" s="243" t="b">
        <f t="shared" si="76"/>
        <v>1</v>
      </c>
    </row>
    <row r="135" s="243" customFormat="1" ht="23" hidden="1" customHeight="1" spans="1:82">
      <c r="A135" s="343" t="str">
        <f t="shared" si="62"/>
        <v>弈工分信息吴立军</v>
      </c>
      <c r="B135" s="343" t="s">
        <v>39</v>
      </c>
      <c r="C135" s="343" t="s">
        <v>72</v>
      </c>
      <c r="D135" s="343" t="s">
        <v>252</v>
      </c>
      <c r="E135" s="344" t="s">
        <v>522</v>
      </c>
      <c r="F135" s="343" t="s">
        <v>270</v>
      </c>
      <c r="G135" s="343" t="s">
        <v>527</v>
      </c>
      <c r="H135" s="343" t="s">
        <v>542</v>
      </c>
      <c r="I135" s="343" t="s">
        <v>542</v>
      </c>
      <c r="J135" s="343" t="s">
        <v>257</v>
      </c>
      <c r="K135" s="345">
        <f t="shared" si="63"/>
        <v>7977.13</v>
      </c>
      <c r="L135" s="346">
        <f t="shared" si="64"/>
        <v>4086.81</v>
      </c>
      <c r="M135" s="362"/>
      <c r="N135" s="347">
        <v>6</v>
      </c>
      <c r="O135" s="361">
        <v>5500</v>
      </c>
      <c r="P135" s="348"/>
      <c r="Q135" s="348">
        <f>VLOOKUP(I135,考勤调整记录!I:W,15,0)</f>
        <v>0</v>
      </c>
      <c r="R135" s="348"/>
      <c r="S135" s="348">
        <v>155.8</v>
      </c>
      <c r="T135" s="348"/>
      <c r="U135" s="349">
        <f t="shared" si="65"/>
        <v>5655.8</v>
      </c>
      <c r="V135" s="350"/>
      <c r="W135" s="350">
        <v>-112.89</v>
      </c>
      <c r="X135" s="350"/>
      <c r="Y135" s="350"/>
      <c r="Z135" s="350"/>
      <c r="AA135" s="350"/>
      <c r="AB135" s="350"/>
      <c r="AC135" s="349">
        <f t="shared" si="66"/>
        <v>5542.91</v>
      </c>
      <c r="AD135" s="351"/>
      <c r="AE135" s="352">
        <v>202606</v>
      </c>
      <c r="AF135" s="348">
        <f>VLOOKUP(BW135,'HR|社保明细'!C:F,4,0)</f>
        <v>7460</v>
      </c>
      <c r="AG135" s="348">
        <f>VLOOKUP($BW135,'HR|社保明细'!$C:G,5,0)</f>
        <v>7384</v>
      </c>
      <c r="AH135" s="348">
        <f>VLOOKUP($BW135,'HR|社保明细'!$C:H,6,0)</f>
        <v>596.8</v>
      </c>
      <c r="AI135" s="348">
        <f>VLOOKUP($BW135,'HR|社保明细'!$C:I,7,0)</f>
        <v>149.2</v>
      </c>
      <c r="AJ135" s="348">
        <f>VLOOKUP($BW135,'HR|社保明细'!$C:J,8,0)</f>
        <v>37.3</v>
      </c>
      <c r="AK135" s="348">
        <f>VLOOKUP($BW135,'HR|社保明细'!$C:K,9,0)</f>
        <v>517</v>
      </c>
      <c r="AL135" s="353">
        <f>VLOOKUP($BW135,'HR|社保明细'!$C:L,10,0)</f>
        <v>0</v>
      </c>
      <c r="AM135" s="349">
        <f t="shared" si="67"/>
        <v>1300.3</v>
      </c>
      <c r="AN135" s="348"/>
      <c r="AO135" s="348"/>
      <c r="AP135" s="348"/>
      <c r="AQ135" s="348"/>
      <c r="AR135" s="348"/>
      <c r="AS135" s="348">
        <f t="shared" si="68"/>
        <v>4242.61</v>
      </c>
      <c r="AT135" s="354"/>
      <c r="AU135" s="355">
        <f>VLOOKUP(BW135,hr.个税累计数据!C:DS,121,0)</f>
        <v>62813.49</v>
      </c>
      <c r="AV135" s="348">
        <f>IF(AU135-5000*N135-VLOOKUP(A135,hr.个税累计数据!C:DT,122,0)-VLOOKUP(A135,hr.个税累计数据!C:DU,123,0)&gt;0,AU135-5000*N135-VLOOKUP(A135,hr.个税累计数据!C:DT,122,0)-VLOOKUP(A135,hr.个税累计数据!C:DU,123,0),0)</f>
        <v>25011.69</v>
      </c>
      <c r="AW135" s="348">
        <f>VLOOKUP(BW135,hr.个税累计数据!C:DV,124,0)</f>
        <v>773.07</v>
      </c>
      <c r="AX135" s="348"/>
      <c r="AY135" s="349">
        <f>IF(ROUND(MAX(AV135*{0.03,0.1,0.2,0.25,0.3,0.35,0.45}-{0,210,1410,2660,4410,7160,15160}*12)-AW135,2)&lt;=0,0,ROUND(MAX(AV135*{0.03,0.1,0.2,0.25,0.3,0.35,0.45}-{0,210,1410,2660,4410,7160,15160}*12)-AW135,2))</f>
        <v>0</v>
      </c>
      <c r="AZ135" s="348">
        <f t="shared" si="69"/>
        <v>-155.8</v>
      </c>
      <c r="BA135" s="348"/>
      <c r="BB135" s="348">
        <f t="shared" si="70"/>
        <v>4086.81</v>
      </c>
      <c r="BC135" s="353"/>
      <c r="BD135" s="349">
        <f t="shared" si="71"/>
        <v>4086.81</v>
      </c>
      <c r="BE135" s="356">
        <f>VLOOKUP($BW135,'HR|社保明细'!C:T,11,0)</f>
        <v>1193.6</v>
      </c>
      <c r="BF135" s="348">
        <f>VLOOKUP($BW135,'HR|社保明细'!$C:U,12,0)</f>
        <v>596.8</v>
      </c>
      <c r="BG135" s="348">
        <f>VLOOKUP($BW135,'HR|社保明细'!$C:V,13,0)</f>
        <v>37.3</v>
      </c>
      <c r="BH135" s="348">
        <f>VLOOKUP($BW135,'HR|社保明细'!$C:W,14,0)</f>
        <v>14.92</v>
      </c>
      <c r="BI135" s="348">
        <f>VLOOKUP($BW135,'HR|社保明细'!$C:X,15,0)</f>
        <v>74.6</v>
      </c>
      <c r="BJ135" s="348">
        <f>VLOOKUP($BW135,'HR|社保明细'!$C:Y,16,0)</f>
        <v>517</v>
      </c>
      <c r="BK135" s="353">
        <f>VLOOKUP($BW135,'HR|社保明细'!$C:Z,17,0)</f>
        <v>0</v>
      </c>
      <c r="BL135" s="349">
        <f t="shared" si="72"/>
        <v>2434.22</v>
      </c>
      <c r="BM135" s="354"/>
      <c r="BN135" s="350"/>
      <c r="BO135" s="350"/>
      <c r="BP135" s="350"/>
      <c r="BQ135" s="350"/>
      <c r="BR135" s="349">
        <f t="shared" si="73"/>
        <v>0</v>
      </c>
      <c r="BS135" s="349">
        <f t="shared" si="74"/>
        <v>-112.89</v>
      </c>
      <c r="BT135" s="357">
        <v>1250</v>
      </c>
      <c r="BU135" s="357"/>
      <c r="BV135" s="358"/>
      <c r="BW135" s="359" t="str">
        <f t="shared" si="75"/>
        <v>弈工分信息吴立军</v>
      </c>
      <c r="BX135" s="360"/>
      <c r="BY135" s="360" t="s">
        <v>273</v>
      </c>
      <c r="BZ135" s="360" t="s">
        <v>38</v>
      </c>
      <c r="CA135" s="360" t="str">
        <f>VLOOKUP(A135,hr.个税累计数据!C:C,1,0)</f>
        <v>弈工分信息吴立军</v>
      </c>
      <c r="CB135" s="360" t="s">
        <v>543</v>
      </c>
      <c r="CC135" s="360" t="s">
        <v>273</v>
      </c>
      <c r="CD135" s="243" t="b">
        <f t="shared" si="76"/>
        <v>1</v>
      </c>
    </row>
    <row r="136" s="243" customFormat="1" ht="23" hidden="1" customHeight="1" spans="1:82">
      <c r="A136" s="343" t="str">
        <f t="shared" si="62"/>
        <v>弈工分信息董宾宾</v>
      </c>
      <c r="B136" s="343" t="s">
        <v>39</v>
      </c>
      <c r="C136" s="343" t="s">
        <v>72</v>
      </c>
      <c r="D136" s="343" t="s">
        <v>252</v>
      </c>
      <c r="E136" s="344" t="s">
        <v>522</v>
      </c>
      <c r="F136" s="343" t="s">
        <v>270</v>
      </c>
      <c r="G136" s="343" t="s">
        <v>544</v>
      </c>
      <c r="H136" s="343" t="s">
        <v>545</v>
      </c>
      <c r="I136" s="343" t="s">
        <v>545</v>
      </c>
      <c r="J136" s="343" t="s">
        <v>257</v>
      </c>
      <c r="K136" s="345">
        <f t="shared" si="63"/>
        <v>11079.67</v>
      </c>
      <c r="L136" s="346">
        <f t="shared" si="64"/>
        <v>7119</v>
      </c>
      <c r="M136" s="362"/>
      <c r="N136" s="347">
        <v>6</v>
      </c>
      <c r="O136" s="361">
        <v>7500</v>
      </c>
      <c r="P136" s="348"/>
      <c r="Q136" s="348">
        <f>VLOOKUP(I136,考勤调整记录!I:W,15,0)</f>
        <v>689.65</v>
      </c>
      <c r="R136" s="348"/>
      <c r="S136" s="348">
        <v>155.8</v>
      </c>
      <c r="T136" s="348"/>
      <c r="U136" s="349">
        <f t="shared" si="65"/>
        <v>8345.45</v>
      </c>
      <c r="V136" s="350"/>
      <c r="W136" s="350"/>
      <c r="X136" s="350"/>
      <c r="Y136" s="350">
        <v>300</v>
      </c>
      <c r="Z136" s="350"/>
      <c r="AA136" s="350"/>
      <c r="AB136" s="350"/>
      <c r="AC136" s="349">
        <f t="shared" si="66"/>
        <v>8645.45</v>
      </c>
      <c r="AD136" s="351"/>
      <c r="AE136" s="352">
        <v>202606</v>
      </c>
      <c r="AF136" s="348">
        <f>VLOOKUP(BW136,'HR|社保明细'!C:F,4,0)</f>
        <v>7460</v>
      </c>
      <c r="AG136" s="348">
        <f>VLOOKUP($BW136,'HR|社保明细'!$C:G,5,0)</f>
        <v>7384</v>
      </c>
      <c r="AH136" s="348">
        <f>VLOOKUP($BW136,'HR|社保明细'!$C:H,6,0)</f>
        <v>596.8</v>
      </c>
      <c r="AI136" s="348">
        <f>VLOOKUP($BW136,'HR|社保明细'!$C:I,7,0)</f>
        <v>149.2</v>
      </c>
      <c r="AJ136" s="348">
        <f>VLOOKUP($BW136,'HR|社保明细'!$C:J,8,0)</f>
        <v>37.3</v>
      </c>
      <c r="AK136" s="348">
        <f>VLOOKUP($BW136,'HR|社保明细'!$C:K,9,0)</f>
        <v>517</v>
      </c>
      <c r="AL136" s="353">
        <f>VLOOKUP($BW136,'HR|社保明细'!$C:L,10,0)</f>
        <v>0</v>
      </c>
      <c r="AM136" s="349">
        <f t="shared" si="67"/>
        <v>1300.3</v>
      </c>
      <c r="AN136" s="348"/>
      <c r="AO136" s="348"/>
      <c r="AP136" s="348"/>
      <c r="AQ136" s="348"/>
      <c r="AR136" s="348"/>
      <c r="AS136" s="348">
        <f t="shared" si="68"/>
        <v>7345.15</v>
      </c>
      <c r="AT136" s="354"/>
      <c r="AU136" s="355">
        <f>VLOOKUP(BW136,hr.个税累计数据!C:DS,121,0)</f>
        <v>54482.6</v>
      </c>
      <c r="AV136" s="348">
        <f>IF(AU136-5000*N136-VLOOKUP(A136,hr.个税累计数据!C:DT,122,0)-VLOOKUP(A136,hr.个税累计数据!C:DU,123,0)&gt;0,AU136-5000*N136-VLOOKUP(A136,hr.个税累计数据!C:DT,122,0)-VLOOKUP(A136,hr.个税累计数据!C:DU,123,0),0)</f>
        <v>16680.8</v>
      </c>
      <c r="AW136" s="348">
        <f>VLOOKUP(BW136,hr.个税累计数据!C:DV,124,0)</f>
        <v>430.07</v>
      </c>
      <c r="AX136" s="348"/>
      <c r="AY136" s="349">
        <f>IF(ROUND(MAX(AV136*{0.03,0.1,0.2,0.25,0.3,0.35,0.45}-{0,210,1410,2660,4410,7160,15160}*12)-AW136,2)&lt;=0,0,ROUND(MAX(AV136*{0.03,0.1,0.2,0.25,0.3,0.35,0.45}-{0,210,1410,2660,4410,7160,15160}*12)-AW136,2))</f>
        <v>70.35</v>
      </c>
      <c r="AZ136" s="348">
        <f t="shared" si="69"/>
        <v>-155.8</v>
      </c>
      <c r="BA136" s="348"/>
      <c r="BB136" s="348">
        <f t="shared" si="70"/>
        <v>7119</v>
      </c>
      <c r="BC136" s="353"/>
      <c r="BD136" s="349">
        <f t="shared" si="71"/>
        <v>7119</v>
      </c>
      <c r="BE136" s="356">
        <f>VLOOKUP($BW136,'HR|社保明细'!C:T,11,0)</f>
        <v>1193.6</v>
      </c>
      <c r="BF136" s="348">
        <f>VLOOKUP($BW136,'HR|社保明细'!$C:U,12,0)</f>
        <v>596.8</v>
      </c>
      <c r="BG136" s="348">
        <f>VLOOKUP($BW136,'HR|社保明细'!$C:V,13,0)</f>
        <v>37.3</v>
      </c>
      <c r="BH136" s="348">
        <f>VLOOKUP($BW136,'HR|社保明细'!$C:W,14,0)</f>
        <v>14.92</v>
      </c>
      <c r="BI136" s="348">
        <f>VLOOKUP($BW136,'HR|社保明细'!$C:X,15,0)</f>
        <v>74.6</v>
      </c>
      <c r="BJ136" s="348">
        <f>VLOOKUP($BW136,'HR|社保明细'!$C:Y,16,0)</f>
        <v>517</v>
      </c>
      <c r="BK136" s="353">
        <f>VLOOKUP($BW136,'HR|社保明细'!$C:Z,17,0)</f>
        <v>0</v>
      </c>
      <c r="BL136" s="349">
        <f t="shared" si="72"/>
        <v>2434.22</v>
      </c>
      <c r="BM136" s="354"/>
      <c r="BN136" s="350"/>
      <c r="BO136" s="350"/>
      <c r="BP136" s="350"/>
      <c r="BQ136" s="350"/>
      <c r="BR136" s="349">
        <f t="shared" si="73"/>
        <v>0</v>
      </c>
      <c r="BS136" s="349">
        <f t="shared" si="74"/>
        <v>300</v>
      </c>
      <c r="BT136" s="357">
        <v>1250</v>
      </c>
      <c r="BU136" s="357"/>
      <c r="BV136" s="358"/>
      <c r="BW136" s="359" t="str">
        <f t="shared" si="75"/>
        <v>弈工分信息董宾宾</v>
      </c>
      <c r="BX136" s="360"/>
      <c r="BY136" s="360" t="s">
        <v>273</v>
      </c>
      <c r="BZ136" s="360" t="s">
        <v>38</v>
      </c>
      <c r="CA136" s="360" t="str">
        <f>VLOOKUP(A136,hr.个税累计数据!C:C,1,0)</f>
        <v>弈工分信息董宾宾</v>
      </c>
      <c r="CB136" s="360" t="s">
        <v>546</v>
      </c>
      <c r="CC136" s="360" t="s">
        <v>273</v>
      </c>
      <c r="CD136" s="243" t="b">
        <f t="shared" si="76"/>
        <v>1</v>
      </c>
    </row>
    <row r="137" s="243" customFormat="1" ht="23" hidden="1" customHeight="1" spans="1:82">
      <c r="A137" s="343" t="str">
        <f t="shared" si="62"/>
        <v>弈工分信息吕相坠</v>
      </c>
      <c r="B137" s="343" t="s">
        <v>39</v>
      </c>
      <c r="C137" s="343" t="s">
        <v>72</v>
      </c>
      <c r="D137" s="343" t="s">
        <v>252</v>
      </c>
      <c r="E137" s="344" t="s">
        <v>522</v>
      </c>
      <c r="F137" s="343" t="s">
        <v>270</v>
      </c>
      <c r="G137" s="343" t="s">
        <v>544</v>
      </c>
      <c r="H137" s="343" t="s">
        <v>547</v>
      </c>
      <c r="I137" s="343" t="s">
        <v>547</v>
      </c>
      <c r="J137" s="343" t="s">
        <v>257</v>
      </c>
      <c r="K137" s="345">
        <f t="shared" si="63"/>
        <v>11796.92</v>
      </c>
      <c r="L137" s="346">
        <f t="shared" si="64"/>
        <v>7859.73</v>
      </c>
      <c r="M137" s="362"/>
      <c r="N137" s="347">
        <v>6</v>
      </c>
      <c r="O137" s="361">
        <v>6300</v>
      </c>
      <c r="P137" s="348"/>
      <c r="Q137" s="348">
        <f>VLOOKUP(I137,考勤调整记录!I:W,15,0)</f>
        <v>2606.9</v>
      </c>
      <c r="R137" s="348"/>
      <c r="S137" s="348">
        <v>155.8</v>
      </c>
      <c r="T137" s="348"/>
      <c r="U137" s="349">
        <f t="shared" si="65"/>
        <v>9062.7</v>
      </c>
      <c r="V137" s="350"/>
      <c r="W137" s="350"/>
      <c r="X137" s="350"/>
      <c r="Y137" s="350">
        <v>300</v>
      </c>
      <c r="Z137" s="350"/>
      <c r="AA137" s="350"/>
      <c r="AB137" s="350"/>
      <c r="AC137" s="349">
        <f t="shared" si="66"/>
        <v>9362.7</v>
      </c>
      <c r="AD137" s="351"/>
      <c r="AE137" s="352">
        <v>202606</v>
      </c>
      <c r="AF137" s="348">
        <f>VLOOKUP(BW137,'HR|社保明细'!C:F,4,0)</f>
        <v>7460</v>
      </c>
      <c r="AG137" s="348">
        <f>VLOOKUP($BW137,'HR|社保明细'!$C:G,5,0)</f>
        <v>7384</v>
      </c>
      <c r="AH137" s="348">
        <f>VLOOKUP($BW137,'HR|社保明细'!$C:H,6,0)</f>
        <v>596.8</v>
      </c>
      <c r="AI137" s="348">
        <f>VLOOKUP($BW137,'HR|社保明细'!$C:I,7,0)</f>
        <v>149.2</v>
      </c>
      <c r="AJ137" s="348">
        <f>VLOOKUP($BW137,'HR|社保明细'!$C:J,8,0)</f>
        <v>37.3</v>
      </c>
      <c r="AK137" s="348">
        <f>VLOOKUP($BW137,'HR|社保明细'!$C:K,9,0)</f>
        <v>517</v>
      </c>
      <c r="AL137" s="353">
        <f>VLOOKUP($BW137,'HR|社保明细'!$C:L,10,0)</f>
        <v>0</v>
      </c>
      <c r="AM137" s="349">
        <f t="shared" si="67"/>
        <v>1300.3</v>
      </c>
      <c r="AN137" s="348"/>
      <c r="AO137" s="348"/>
      <c r="AP137" s="348"/>
      <c r="AQ137" s="348">
        <v>1500</v>
      </c>
      <c r="AR137" s="348"/>
      <c r="AS137" s="348">
        <f t="shared" si="68"/>
        <v>6562.4</v>
      </c>
      <c r="AT137" s="354"/>
      <c r="AU137" s="355">
        <f>VLOOKUP(BW137,hr.个税累计数据!C:DS,121,0)</f>
        <v>57312.53</v>
      </c>
      <c r="AV137" s="348">
        <f>IF(AU137-5000*N137-VLOOKUP(A137,hr.个税累计数据!C:DT,122,0)-VLOOKUP(A137,hr.个税累计数据!C:DU,123,0)&gt;0,AU137-5000*N137-VLOOKUP(A137,hr.个税累计数据!C:DT,122,0)-VLOOKUP(A137,hr.个税累计数据!C:DU,123,0),0)</f>
        <v>10510.73</v>
      </c>
      <c r="AW137" s="348">
        <f>VLOOKUP(BW137,hr.个税累计数据!C:DV,124,0)</f>
        <v>268.45</v>
      </c>
      <c r="AX137" s="348"/>
      <c r="AY137" s="349">
        <f>IF(ROUND(MAX(AV137*{0.03,0.1,0.2,0.25,0.3,0.35,0.45}-{0,210,1410,2660,4410,7160,15160}*12)-AW137,2)&lt;=0,0,ROUND(MAX(AV137*{0.03,0.1,0.2,0.25,0.3,0.35,0.45}-{0,210,1410,2660,4410,7160,15160}*12)-AW137,2))</f>
        <v>46.87</v>
      </c>
      <c r="AZ137" s="348">
        <f t="shared" si="69"/>
        <v>-155.8</v>
      </c>
      <c r="BA137" s="348"/>
      <c r="BB137" s="348">
        <f t="shared" si="70"/>
        <v>7859.73</v>
      </c>
      <c r="BC137" s="353"/>
      <c r="BD137" s="349">
        <f t="shared" si="71"/>
        <v>7859.73</v>
      </c>
      <c r="BE137" s="356">
        <f>VLOOKUP($BW137,'HR|社保明细'!C:T,11,0)</f>
        <v>1193.6</v>
      </c>
      <c r="BF137" s="348">
        <f>VLOOKUP($BW137,'HR|社保明细'!$C:U,12,0)</f>
        <v>596.8</v>
      </c>
      <c r="BG137" s="348">
        <f>VLOOKUP($BW137,'HR|社保明细'!$C:V,13,0)</f>
        <v>37.3</v>
      </c>
      <c r="BH137" s="348">
        <f>VLOOKUP($BW137,'HR|社保明细'!$C:W,14,0)</f>
        <v>14.92</v>
      </c>
      <c r="BI137" s="348">
        <f>VLOOKUP($BW137,'HR|社保明细'!$C:X,15,0)</f>
        <v>74.6</v>
      </c>
      <c r="BJ137" s="348">
        <f>VLOOKUP($BW137,'HR|社保明细'!$C:Y,16,0)</f>
        <v>517</v>
      </c>
      <c r="BK137" s="353">
        <f>VLOOKUP($BW137,'HR|社保明细'!$C:Z,17,0)</f>
        <v>0</v>
      </c>
      <c r="BL137" s="349">
        <f t="shared" si="72"/>
        <v>2434.22</v>
      </c>
      <c r="BM137" s="354"/>
      <c r="BN137" s="350"/>
      <c r="BO137" s="350"/>
      <c r="BP137" s="350"/>
      <c r="BQ137" s="350"/>
      <c r="BR137" s="349">
        <f t="shared" si="73"/>
        <v>0</v>
      </c>
      <c r="BS137" s="349">
        <f t="shared" si="74"/>
        <v>300</v>
      </c>
      <c r="BT137" s="357">
        <v>1250</v>
      </c>
      <c r="BU137" s="357"/>
      <c r="BV137" s="358"/>
      <c r="BW137" s="359" t="str">
        <f t="shared" si="75"/>
        <v>弈工分信息吕相坠</v>
      </c>
      <c r="BX137" s="360"/>
      <c r="BY137" s="360" t="s">
        <v>273</v>
      </c>
      <c r="BZ137" s="360" t="s">
        <v>38</v>
      </c>
      <c r="CA137" s="360" t="str">
        <f>VLOOKUP(A137,hr.个税累计数据!C:C,1,0)</f>
        <v>弈工分信息吕相坠</v>
      </c>
      <c r="CB137" s="360" t="s">
        <v>548</v>
      </c>
      <c r="CC137" s="360" t="s">
        <v>273</v>
      </c>
      <c r="CD137" s="243" t="b">
        <f t="shared" si="76"/>
        <v>1</v>
      </c>
    </row>
    <row r="138" s="243" customFormat="1" ht="23" hidden="1" customHeight="1" spans="1:82">
      <c r="A138" s="343" t="str">
        <f t="shared" ref="A138:A150" si="77">C138&amp;I138</f>
        <v>弈工分信息朱鑫沛</v>
      </c>
      <c r="B138" s="343" t="s">
        <v>51</v>
      </c>
      <c r="C138" s="343" t="s">
        <v>72</v>
      </c>
      <c r="D138" s="343" t="s">
        <v>267</v>
      </c>
      <c r="E138" s="344" t="s">
        <v>51</v>
      </c>
      <c r="F138" s="343" t="s">
        <v>436</v>
      </c>
      <c r="G138" s="343" t="s">
        <v>437</v>
      </c>
      <c r="H138" s="343" t="s">
        <v>549</v>
      </c>
      <c r="I138" s="343" t="s">
        <v>549</v>
      </c>
      <c r="J138" s="343" t="s">
        <v>271</v>
      </c>
      <c r="K138" s="345">
        <f t="shared" ref="K138:K150" si="78">AC138+BL138</f>
        <v>6900</v>
      </c>
      <c r="L138" s="346">
        <f t="shared" ref="L138:L150" si="79">AC138-AM138-AX138-AY138+SUM(AZ138:BA138)</f>
        <v>5796</v>
      </c>
      <c r="M138" s="362"/>
      <c r="N138" s="347">
        <v>6</v>
      </c>
      <c r="O138" s="361">
        <v>6600</v>
      </c>
      <c r="P138" s="348"/>
      <c r="Q138" s="348">
        <f>VLOOKUP(I138,考勤调整记录!I:W,15,0)</f>
        <v>0</v>
      </c>
      <c r="R138" s="348"/>
      <c r="S138" s="348"/>
      <c r="T138" s="348"/>
      <c r="U138" s="349">
        <f t="shared" si="65"/>
        <v>6600</v>
      </c>
      <c r="V138" s="350"/>
      <c r="W138" s="350"/>
      <c r="X138" s="350"/>
      <c r="Y138" s="350">
        <v>300</v>
      </c>
      <c r="Z138" s="350"/>
      <c r="AA138" s="350"/>
      <c r="AB138" s="350"/>
      <c r="AC138" s="349">
        <f t="shared" ref="AC138:AC150" si="80">SUM(O138:T138)+SUM(V138:AB138)</f>
        <v>6900</v>
      </c>
      <c r="AD138" s="351"/>
      <c r="AE138" s="352">
        <v>202606</v>
      </c>
      <c r="AF138" s="348">
        <f>VLOOKUP(BW138,'HR|社保明细'!C:F,4,0)</f>
        <v>0</v>
      </c>
      <c r="AG138" s="348">
        <f>VLOOKUP($BW138,'HR|社保明细'!$C:G,5,0)</f>
        <v>0</v>
      </c>
      <c r="AH138" s="348">
        <f>VLOOKUP($BW138,'HR|社保明细'!$C:H,6,0)</f>
        <v>0</v>
      </c>
      <c r="AI138" s="348">
        <f>VLOOKUP($BW138,'HR|社保明细'!$C:I,7,0)</f>
        <v>0</v>
      </c>
      <c r="AJ138" s="348">
        <f>VLOOKUP($BW138,'HR|社保明细'!$C:J,8,0)</f>
        <v>0</v>
      </c>
      <c r="AK138" s="348">
        <f>VLOOKUP($BW138,'HR|社保明细'!$C:K,9,0)</f>
        <v>0</v>
      </c>
      <c r="AL138" s="353">
        <f>VLOOKUP($BW138,'HR|社保明细'!$C:L,10,0)</f>
        <v>0</v>
      </c>
      <c r="AM138" s="349">
        <f t="shared" si="67"/>
        <v>0</v>
      </c>
      <c r="AN138" s="348"/>
      <c r="AO138" s="348"/>
      <c r="AP138" s="348"/>
      <c r="AQ138" s="348"/>
      <c r="AR138" s="348"/>
      <c r="AS138" s="348">
        <f t="shared" si="68"/>
        <v>6900</v>
      </c>
      <c r="AT138" s="354"/>
      <c r="AU138" s="355">
        <f>VLOOKUP(BW138,hr.个税累计数据!C:DS,121,0)</f>
        <v>40017.08</v>
      </c>
      <c r="AV138" s="348">
        <f>IF(AU138-5000*N138-VLOOKUP(A138,hr.个税累计数据!C:DT,122,0)-VLOOKUP(A138,hr.个税累计数据!C:DU,123,0)&gt;0,AU138-5000*N138-VLOOKUP(A138,hr.个税累计数据!C:DT,122,0)-VLOOKUP(A138,hr.个税累计数据!C:DU,123,0),0)</f>
        <v>10017.08</v>
      </c>
      <c r="AW138" s="348">
        <f>VLOOKUP(BW138,hr.个税累计数据!C:DV,124,0)</f>
        <v>5893.41</v>
      </c>
      <c r="AX138" s="348"/>
      <c r="AY138" s="349" cm="1">
        <f t="array" ref="AY138">IF(D138="国内不计税",0,IF(D138="正常计税",ROUND(MAX(AS138*{0.03,0.1,0.2,0.25,0.3,0.35,0.45}-{0,210,1410,2660,4410,7160,15160},0),2),IF(D138="外籍人",ROUND(MAX(AS138*{0.03,0.1,0.2,0.25,0.3,0.35,0.45}-{0,210,1410,2660,4410,7160,15160},0),2),ROUND(MAX((AS138-IF(AS138&lt;4000,800,AS138*0.2))*10%*{2,3,4}-1000*{0,2,7},0),2))))</f>
        <v>1104</v>
      </c>
      <c r="AZ138" s="348">
        <f t="shared" ref="AZ138:AZ150" si="81">-S138</f>
        <v>0</v>
      </c>
      <c r="BA138" s="348"/>
      <c r="BB138" s="348">
        <f t="shared" ref="BB138:BB150" si="82">AC138-AM138-AY138-AX138+SUM(AZ138:BA138)</f>
        <v>5796</v>
      </c>
      <c r="BC138" s="353"/>
      <c r="BD138" s="349">
        <f t="shared" ref="BD138:BD150" si="83">AC138-AM138-AX138-AY138+SUM(AZ138:BA138)</f>
        <v>5796</v>
      </c>
      <c r="BE138" s="356">
        <f>VLOOKUP($BW138,'HR|社保明细'!C:T,11,0)</f>
        <v>0</v>
      </c>
      <c r="BF138" s="348">
        <f>VLOOKUP($BW138,'HR|社保明细'!$C:U,12,0)</f>
        <v>0</v>
      </c>
      <c r="BG138" s="348">
        <f>VLOOKUP($BW138,'HR|社保明细'!$C:V,13,0)</f>
        <v>0</v>
      </c>
      <c r="BH138" s="348">
        <f>VLOOKUP($BW138,'HR|社保明细'!$C:W,14,0)</f>
        <v>0</v>
      </c>
      <c r="BI138" s="348">
        <f>VLOOKUP($BW138,'HR|社保明细'!$C:X,15,0)</f>
        <v>0</v>
      </c>
      <c r="BJ138" s="348">
        <f>VLOOKUP($BW138,'HR|社保明细'!$C:Y,16,0)</f>
        <v>0</v>
      </c>
      <c r="BK138" s="353">
        <f>VLOOKUP($BW138,'HR|社保明细'!$C:Z,17,0)</f>
        <v>0</v>
      </c>
      <c r="BL138" s="349">
        <f t="shared" ref="BL138:BL150" si="84">SUM(BE138:BK138)</f>
        <v>0</v>
      </c>
      <c r="BM138" s="354"/>
      <c r="BN138" s="350"/>
      <c r="BO138" s="350"/>
      <c r="BP138" s="350"/>
      <c r="BQ138" s="350"/>
      <c r="BR138" s="349">
        <f t="shared" si="73"/>
        <v>0</v>
      </c>
      <c r="BS138" s="349">
        <f t="shared" ref="BS138:BS150" si="85">SUM(V138:AB138)</f>
        <v>300</v>
      </c>
      <c r="BT138" s="357">
        <v>1250</v>
      </c>
      <c r="BU138" s="357"/>
      <c r="BV138" s="358"/>
      <c r="BW138" s="359" t="str">
        <f t="shared" ref="BW138:BW150" si="86">C138&amp;I138</f>
        <v>弈工分信息朱鑫沛</v>
      </c>
      <c r="BX138" s="360"/>
      <c r="BY138" s="360" t="s">
        <v>273</v>
      </c>
      <c r="BZ138" s="360" t="s">
        <v>48</v>
      </c>
      <c r="CA138" s="360" t="str">
        <f>VLOOKUP(A138,hr.个税累计数据!C:C,1,0)</f>
        <v>弈工分信息朱鑫沛</v>
      </c>
      <c r="CB138" s="360" t="s">
        <v>550</v>
      </c>
      <c r="CC138" s="360"/>
      <c r="CD138" s="243" t="b">
        <f t="shared" ref="CD138:CD150" si="87">H138=I138</f>
        <v>1</v>
      </c>
    </row>
    <row r="139" s="243" customFormat="1" ht="23" hidden="1" customHeight="1" spans="1:82">
      <c r="A139" s="343" t="str">
        <f t="shared" si="77"/>
        <v>弈工分信息汪顺</v>
      </c>
      <c r="B139" s="343" t="s">
        <v>49</v>
      </c>
      <c r="C139" s="343" t="s">
        <v>72</v>
      </c>
      <c r="D139" s="343" t="s">
        <v>252</v>
      </c>
      <c r="E139" s="344" t="s">
        <v>49</v>
      </c>
      <c r="F139" s="343" t="s">
        <v>134</v>
      </c>
      <c r="G139" s="343" t="s">
        <v>551</v>
      </c>
      <c r="H139" s="343" t="s">
        <v>383</v>
      </c>
      <c r="I139" s="343" t="s">
        <v>383</v>
      </c>
      <c r="J139" s="343" t="s">
        <v>257</v>
      </c>
      <c r="K139" s="345">
        <f t="shared" si="78"/>
        <v>28022.2</v>
      </c>
      <c r="L139" s="346">
        <f t="shared" si="79"/>
        <v>22503.11</v>
      </c>
      <c r="M139" s="362"/>
      <c r="N139" s="347">
        <v>6</v>
      </c>
      <c r="O139" s="361">
        <v>14000</v>
      </c>
      <c r="P139" s="348"/>
      <c r="Q139" s="348">
        <f>VLOOKUP(I139,考勤调整记录!I:W,15,0)</f>
        <v>0</v>
      </c>
      <c r="R139" s="348"/>
      <c r="S139" s="348">
        <v>155.8</v>
      </c>
      <c r="T139" s="348"/>
      <c r="U139" s="349">
        <f t="shared" si="65"/>
        <v>14155.8</v>
      </c>
      <c r="V139" s="350"/>
      <c r="W139" s="350">
        <v>1432.18</v>
      </c>
      <c r="X139" s="350"/>
      <c r="Y139" s="350"/>
      <c r="Z139" s="350">
        <v>10000</v>
      </c>
      <c r="AA139" s="350"/>
      <c r="AB139" s="350"/>
      <c r="AC139" s="349">
        <f t="shared" si="80"/>
        <v>25587.98</v>
      </c>
      <c r="AD139" s="351"/>
      <c r="AE139" s="352">
        <v>202606</v>
      </c>
      <c r="AF139" s="348">
        <f>VLOOKUP(BW139,'HR|社保明细'!C:F,4,0)</f>
        <v>7460</v>
      </c>
      <c r="AG139" s="348">
        <f>VLOOKUP($BW139,'HR|社保明细'!$C:G,5,0)</f>
        <v>7384</v>
      </c>
      <c r="AH139" s="348">
        <f>VLOOKUP($BW139,'HR|社保明细'!$C:H,6,0)</f>
        <v>596.8</v>
      </c>
      <c r="AI139" s="348">
        <f>VLOOKUP($BW139,'HR|社保明细'!$C:I,7,0)</f>
        <v>149.2</v>
      </c>
      <c r="AJ139" s="348">
        <f>VLOOKUP($BW139,'HR|社保明细'!$C:J,8,0)</f>
        <v>37.3</v>
      </c>
      <c r="AK139" s="348">
        <f>VLOOKUP($BW139,'HR|社保明细'!$C:K,9,0)</f>
        <v>517</v>
      </c>
      <c r="AL139" s="353">
        <f>VLOOKUP($BW139,'HR|社保明细'!$C:L,10,0)</f>
        <v>0</v>
      </c>
      <c r="AM139" s="349">
        <f t="shared" si="67"/>
        <v>1300.3</v>
      </c>
      <c r="AN139" s="348"/>
      <c r="AO139" s="348"/>
      <c r="AP139" s="348"/>
      <c r="AQ139" s="348">
        <v>3000</v>
      </c>
      <c r="AR139" s="348"/>
      <c r="AS139" s="348">
        <f t="shared" si="68"/>
        <v>21287.68</v>
      </c>
      <c r="AT139" s="354"/>
      <c r="AU139" s="355">
        <f>VLOOKUP(BW139,hr.个税累计数据!C:DS,121,0)</f>
        <v>140464.16</v>
      </c>
      <c r="AV139" s="348">
        <f>IF(AU139-5000*N139-VLOOKUP(A139,hr.个税累计数据!C:DT,122,0)-VLOOKUP(A139,hr.个税累计数据!C:DU,123,0)&gt;0,AU139-5000*N139-VLOOKUP(A139,hr.个税累计数据!C:DT,122,0)-VLOOKUP(A139,hr.个税累计数据!C:DU,123,0),0)</f>
        <v>84662.36</v>
      </c>
      <c r="AW139" s="348">
        <f>VLOOKUP(BW139,hr.个税累计数据!C:DV,124,0)</f>
        <v>4317.47</v>
      </c>
      <c r="AX139" s="348"/>
      <c r="AY139" s="349">
        <f>IF(ROUND(MAX(AV139*{0.03,0.1,0.2,0.25,0.3,0.35,0.45}-{0,210,1410,2660,4410,7160,15160}*12)-AW139,2)&lt;=0,0,ROUND(MAX(AV139*{0.03,0.1,0.2,0.25,0.3,0.35,0.45}-{0,210,1410,2660,4410,7160,15160}*12)-AW139,2))</f>
        <v>1628.77</v>
      </c>
      <c r="AZ139" s="348">
        <f t="shared" si="81"/>
        <v>-155.8</v>
      </c>
      <c r="BA139" s="348"/>
      <c r="BB139" s="348">
        <f t="shared" si="82"/>
        <v>22503.11</v>
      </c>
      <c r="BC139" s="353"/>
      <c r="BD139" s="349">
        <f t="shared" si="83"/>
        <v>22503.11</v>
      </c>
      <c r="BE139" s="356">
        <f>VLOOKUP($BW139,'HR|社保明细'!C:T,11,0)</f>
        <v>1193.6</v>
      </c>
      <c r="BF139" s="348">
        <f>VLOOKUP($BW139,'HR|社保明细'!$C:U,12,0)</f>
        <v>596.8</v>
      </c>
      <c r="BG139" s="348">
        <f>VLOOKUP($BW139,'HR|社保明细'!$C:V,13,0)</f>
        <v>37.3</v>
      </c>
      <c r="BH139" s="348">
        <f>VLOOKUP($BW139,'HR|社保明细'!$C:W,14,0)</f>
        <v>14.92</v>
      </c>
      <c r="BI139" s="348">
        <f>VLOOKUP($BW139,'HR|社保明细'!$C:X,15,0)</f>
        <v>74.6</v>
      </c>
      <c r="BJ139" s="348">
        <f>VLOOKUP($BW139,'HR|社保明细'!$C:Y,16,0)</f>
        <v>517</v>
      </c>
      <c r="BK139" s="353">
        <f>VLOOKUP($BW139,'HR|社保明细'!$C:Z,17,0)</f>
        <v>0</v>
      </c>
      <c r="BL139" s="349">
        <f t="shared" si="84"/>
        <v>2434.22</v>
      </c>
      <c r="BM139" s="354"/>
      <c r="BN139" s="350"/>
      <c r="BO139" s="350"/>
      <c r="BP139" s="350"/>
      <c r="BQ139" s="350"/>
      <c r="BR139" s="349">
        <f t="shared" si="73"/>
        <v>0</v>
      </c>
      <c r="BS139" s="349">
        <f t="shared" si="85"/>
        <v>11432.18</v>
      </c>
      <c r="BT139" s="357">
        <v>1250</v>
      </c>
      <c r="BU139" s="357"/>
      <c r="BV139" s="358"/>
      <c r="BW139" s="359" t="str">
        <f t="shared" si="86"/>
        <v>弈工分信息汪顺</v>
      </c>
      <c r="BX139" s="360"/>
      <c r="BY139" s="360" t="s">
        <v>273</v>
      </c>
      <c r="BZ139" s="360" t="s">
        <v>48</v>
      </c>
      <c r="CA139" s="360" t="str">
        <f>VLOOKUP(A139,hr.个税累计数据!C:C,1,0)</f>
        <v>弈工分信息汪顺</v>
      </c>
      <c r="CB139" s="360" t="s">
        <v>552</v>
      </c>
      <c r="CC139" s="360" t="s">
        <v>273</v>
      </c>
      <c r="CD139" s="243" t="b">
        <f t="shared" si="87"/>
        <v>1</v>
      </c>
    </row>
    <row r="140" s="243" customFormat="1" ht="23" hidden="1" customHeight="1" spans="1:82">
      <c r="A140" s="343" t="str">
        <f t="shared" si="77"/>
        <v>弈工分信息贾东升</v>
      </c>
      <c r="B140" s="343" t="s">
        <v>39</v>
      </c>
      <c r="C140" s="343" t="s">
        <v>72</v>
      </c>
      <c r="D140" s="343" t="s">
        <v>252</v>
      </c>
      <c r="E140" s="344" t="s">
        <v>522</v>
      </c>
      <c r="F140" s="343" t="s">
        <v>270</v>
      </c>
      <c r="G140" s="343" t="s">
        <v>527</v>
      </c>
      <c r="H140" s="343" t="s">
        <v>553</v>
      </c>
      <c r="I140" s="343" t="s">
        <v>553</v>
      </c>
      <c r="J140" s="343" t="s">
        <v>257</v>
      </c>
      <c r="K140" s="345">
        <f t="shared" si="78"/>
        <v>8945.55</v>
      </c>
      <c r="L140" s="346">
        <f t="shared" si="79"/>
        <v>5048.9</v>
      </c>
      <c r="M140" s="362"/>
      <c r="N140" s="347">
        <v>6</v>
      </c>
      <c r="O140" s="361">
        <v>5700</v>
      </c>
      <c r="P140" s="348"/>
      <c r="Q140" s="348">
        <f>VLOOKUP(I140,考勤调整记录!I:W,15,0)</f>
        <v>786.21</v>
      </c>
      <c r="R140" s="348"/>
      <c r="S140" s="348">
        <v>155.8</v>
      </c>
      <c r="T140" s="348"/>
      <c r="U140" s="349">
        <f t="shared" si="65"/>
        <v>6642.01</v>
      </c>
      <c r="V140" s="350"/>
      <c r="W140" s="350">
        <v>-130.68</v>
      </c>
      <c r="X140" s="350"/>
      <c r="Y140" s="350"/>
      <c r="Z140" s="350"/>
      <c r="AA140" s="350"/>
      <c r="AB140" s="350"/>
      <c r="AC140" s="349">
        <f t="shared" si="80"/>
        <v>6511.33</v>
      </c>
      <c r="AD140" s="351"/>
      <c r="AE140" s="352">
        <v>202606</v>
      </c>
      <c r="AF140" s="348">
        <f>VLOOKUP(BW140,'HR|社保明细'!C:F,4,0)</f>
        <v>7460</v>
      </c>
      <c r="AG140" s="348">
        <f>VLOOKUP($BW140,'HR|社保明细'!$C:G,5,0)</f>
        <v>7384</v>
      </c>
      <c r="AH140" s="348">
        <f>VLOOKUP($BW140,'HR|社保明细'!$C:H,6,0)</f>
        <v>596.8</v>
      </c>
      <c r="AI140" s="348">
        <f>VLOOKUP($BW140,'HR|社保明细'!$C:I,7,0)</f>
        <v>149.2</v>
      </c>
      <c r="AJ140" s="348">
        <f>VLOOKUP($BW140,'HR|社保明细'!$C:J,8,0)</f>
        <v>37.3</v>
      </c>
      <c r="AK140" s="348">
        <f>VLOOKUP($BW140,'HR|社保明细'!$C:K,9,0)</f>
        <v>517</v>
      </c>
      <c r="AL140" s="353">
        <f>VLOOKUP($BW140,'HR|社保明细'!$C:L,10,0)</f>
        <v>0</v>
      </c>
      <c r="AM140" s="349">
        <f t="shared" si="67"/>
        <v>1300.3</v>
      </c>
      <c r="AN140" s="348"/>
      <c r="AO140" s="348"/>
      <c r="AP140" s="348"/>
      <c r="AQ140" s="348"/>
      <c r="AR140" s="348"/>
      <c r="AS140" s="348">
        <f t="shared" si="68"/>
        <v>5211.03</v>
      </c>
      <c r="AT140" s="354"/>
      <c r="AU140" s="355">
        <f>VLOOKUP(BW140,hr.个税累计数据!C:DS,121,0)</f>
        <v>65054.4</v>
      </c>
      <c r="AV140" s="348">
        <f>IF(AU140-5000*N140-VLOOKUP(A140,hr.个税累计数据!C:DT,122,0)-VLOOKUP(A140,hr.个税累计数据!C:DU,123,0)&gt;0,AU140-5000*N140-VLOOKUP(A140,hr.个税累计数据!C:DT,122,0)-VLOOKUP(A140,hr.个税累计数据!C:DU,123,0),0)</f>
        <v>27252.6</v>
      </c>
      <c r="AW140" s="348">
        <f>VLOOKUP(BW140,hr.个税累计数据!C:DV,124,0)</f>
        <v>811.25</v>
      </c>
      <c r="AX140" s="348"/>
      <c r="AY140" s="349">
        <f>IF(ROUND(MAX(AV140*{0.03,0.1,0.2,0.25,0.3,0.35,0.45}-{0,210,1410,2660,4410,7160,15160}*12)-AW140,2)&lt;=0,0,ROUND(MAX(AV140*{0.03,0.1,0.2,0.25,0.3,0.35,0.45}-{0,210,1410,2660,4410,7160,15160}*12)-AW140,2))</f>
        <v>6.33</v>
      </c>
      <c r="AZ140" s="348">
        <f t="shared" si="81"/>
        <v>-155.8</v>
      </c>
      <c r="BA140" s="348"/>
      <c r="BB140" s="348">
        <f t="shared" si="82"/>
        <v>5048.9</v>
      </c>
      <c r="BC140" s="353"/>
      <c r="BD140" s="349">
        <f t="shared" si="83"/>
        <v>5048.9</v>
      </c>
      <c r="BE140" s="356">
        <f>VLOOKUP($BW140,'HR|社保明细'!C:T,11,0)</f>
        <v>1193.6</v>
      </c>
      <c r="BF140" s="348">
        <f>VLOOKUP($BW140,'HR|社保明细'!$C:U,12,0)</f>
        <v>596.8</v>
      </c>
      <c r="BG140" s="348">
        <f>VLOOKUP($BW140,'HR|社保明细'!$C:V,13,0)</f>
        <v>37.3</v>
      </c>
      <c r="BH140" s="348">
        <f>VLOOKUP($BW140,'HR|社保明细'!$C:W,14,0)</f>
        <v>14.92</v>
      </c>
      <c r="BI140" s="348">
        <f>VLOOKUP($BW140,'HR|社保明细'!$C:X,15,0)</f>
        <v>74.6</v>
      </c>
      <c r="BJ140" s="348">
        <f>VLOOKUP($BW140,'HR|社保明细'!$C:Y,16,0)</f>
        <v>517</v>
      </c>
      <c r="BK140" s="353">
        <f>VLOOKUP($BW140,'HR|社保明细'!$C:Z,17,0)</f>
        <v>0</v>
      </c>
      <c r="BL140" s="349">
        <f t="shared" si="84"/>
        <v>2434.22</v>
      </c>
      <c r="BM140" s="354"/>
      <c r="BN140" s="350"/>
      <c r="BO140" s="350"/>
      <c r="BP140" s="350"/>
      <c r="BQ140" s="350"/>
      <c r="BR140" s="349">
        <f t="shared" si="73"/>
        <v>0</v>
      </c>
      <c r="BS140" s="349">
        <f t="shared" si="85"/>
        <v>-130.68</v>
      </c>
      <c r="BT140" s="357">
        <v>1250</v>
      </c>
      <c r="BU140" s="357"/>
      <c r="BV140" s="358"/>
      <c r="BW140" s="359" t="str">
        <f t="shared" si="86"/>
        <v>弈工分信息贾东升</v>
      </c>
      <c r="BX140" s="360"/>
      <c r="BY140" s="360" t="s">
        <v>273</v>
      </c>
      <c r="BZ140" s="360" t="s">
        <v>38</v>
      </c>
      <c r="CA140" s="360" t="str">
        <f>VLOOKUP(A140,hr.个税累计数据!C:C,1,0)</f>
        <v>弈工分信息贾东升</v>
      </c>
      <c r="CB140" s="360" t="s">
        <v>554</v>
      </c>
      <c r="CC140" s="360" t="s">
        <v>273</v>
      </c>
      <c r="CD140" s="243" t="b">
        <f t="shared" si="87"/>
        <v>1</v>
      </c>
    </row>
    <row r="141" s="243" customFormat="1" ht="23" hidden="1" customHeight="1" spans="1:82">
      <c r="A141" s="343" t="str">
        <f t="shared" si="77"/>
        <v>弈工分信息宋卫东</v>
      </c>
      <c r="B141" s="343" t="s">
        <v>52</v>
      </c>
      <c r="C141" s="343" t="s">
        <v>72</v>
      </c>
      <c r="D141" s="343" t="s">
        <v>252</v>
      </c>
      <c r="E141" s="344" t="s">
        <v>52</v>
      </c>
      <c r="F141" s="343" t="s">
        <v>380</v>
      </c>
      <c r="G141" s="343" t="s">
        <v>366</v>
      </c>
      <c r="H141" s="343" t="s">
        <v>555</v>
      </c>
      <c r="I141" s="343" t="s">
        <v>555</v>
      </c>
      <c r="J141" s="343" t="s">
        <v>257</v>
      </c>
      <c r="K141" s="345">
        <f t="shared" si="78"/>
        <v>273.85</v>
      </c>
      <c r="L141" s="346">
        <f t="shared" si="79"/>
        <v>273.85</v>
      </c>
      <c r="M141" s="362"/>
      <c r="N141" s="347">
        <v>6</v>
      </c>
      <c r="O141" s="361">
        <v>4000</v>
      </c>
      <c r="P141" s="348"/>
      <c r="Q141" s="348">
        <f>VLOOKUP(I141,考勤调整记录!I:W,15,0)</f>
        <v>-3846.15</v>
      </c>
      <c r="R141" s="348"/>
      <c r="S141" s="348"/>
      <c r="T141" s="348"/>
      <c r="U141" s="349">
        <f t="shared" si="65"/>
        <v>153.85</v>
      </c>
      <c r="V141" s="350"/>
      <c r="W141" s="350"/>
      <c r="X141" s="350"/>
      <c r="Y141" s="350"/>
      <c r="Z141" s="350"/>
      <c r="AA141" s="350"/>
      <c r="AB141" s="350">
        <v>120</v>
      </c>
      <c r="AC141" s="349">
        <f t="shared" si="80"/>
        <v>273.85</v>
      </c>
      <c r="AD141" s="351"/>
      <c r="AE141" s="352">
        <v>202606</v>
      </c>
      <c r="AF141" s="348"/>
      <c r="AG141" s="348"/>
      <c r="AH141" s="348"/>
      <c r="AI141" s="348"/>
      <c r="AJ141" s="348"/>
      <c r="AK141" s="348"/>
      <c r="AL141" s="353"/>
      <c r="AM141" s="349"/>
      <c r="AN141" s="348"/>
      <c r="AO141" s="348"/>
      <c r="AP141" s="348"/>
      <c r="AQ141" s="348"/>
      <c r="AR141" s="348"/>
      <c r="AS141" s="348">
        <f t="shared" si="68"/>
        <v>273.85</v>
      </c>
      <c r="AT141" s="354"/>
      <c r="AU141" s="355">
        <f>VLOOKUP(BW141,hr.个税累计数据!C:DS,121,0)</f>
        <v>22466.55</v>
      </c>
      <c r="AV141" s="348">
        <f>IF(AU141-5000*N141-VLOOKUP(A141,hr.个税累计数据!C:DT,122,0)-VLOOKUP(A141,hr.个税累计数据!C:DU,123,0)&gt;0,AU141-5000*N141-VLOOKUP(A141,hr.个税累计数据!C:DT,122,0)-VLOOKUP(A141,hr.个税累计数据!C:DU,123,0),0)</f>
        <v>0</v>
      </c>
      <c r="AW141" s="348">
        <f>VLOOKUP(BW141,hr.个税累计数据!C:DV,124,0)</f>
        <v>0</v>
      </c>
      <c r="AX141" s="348"/>
      <c r="AY141" s="349">
        <f>IF(ROUND(MAX(AV141*{0.03,0.1,0.2,0.25,0.3,0.35,0.45}-{0,210,1410,2660,4410,7160,15160}*12)-AW141,2)&lt;=0,0,ROUND(MAX(AV141*{0.03,0.1,0.2,0.25,0.3,0.35,0.45}-{0,210,1410,2660,4410,7160,15160}*12)-AW141,2))</f>
        <v>0</v>
      </c>
      <c r="AZ141" s="348">
        <f t="shared" si="81"/>
        <v>0</v>
      </c>
      <c r="BA141" s="348"/>
      <c r="BB141" s="348">
        <f t="shared" si="82"/>
        <v>273.85</v>
      </c>
      <c r="BC141" s="353"/>
      <c r="BD141" s="349">
        <f t="shared" si="83"/>
        <v>273.85</v>
      </c>
      <c r="BE141" s="356"/>
      <c r="BF141" s="348"/>
      <c r="BG141" s="348"/>
      <c r="BH141" s="348"/>
      <c r="BI141" s="348"/>
      <c r="BJ141" s="348"/>
      <c r="BK141" s="353"/>
      <c r="BL141" s="349">
        <f t="shared" si="84"/>
        <v>0</v>
      </c>
      <c r="BM141" s="354"/>
      <c r="BN141" s="350"/>
      <c r="BO141" s="350"/>
      <c r="BP141" s="350"/>
      <c r="BQ141" s="350"/>
      <c r="BR141" s="349"/>
      <c r="BS141" s="349">
        <f t="shared" si="85"/>
        <v>120</v>
      </c>
      <c r="BT141" s="357">
        <v>1250</v>
      </c>
      <c r="BU141" s="357"/>
      <c r="BV141" s="358"/>
      <c r="BW141" s="359" t="str">
        <f t="shared" si="86"/>
        <v>弈工分信息宋卫东</v>
      </c>
      <c r="BX141" s="360" t="s">
        <v>258</v>
      </c>
      <c r="BY141" s="360" t="s">
        <v>366</v>
      </c>
      <c r="BZ141" s="360"/>
      <c r="CA141" s="360" t="str">
        <f>VLOOKUP(A141,hr.个税累计数据!C:C,1,0)</f>
        <v>弈工分信息宋卫东</v>
      </c>
      <c r="CB141" s="360" t="s">
        <v>556</v>
      </c>
      <c r="CC141" s="360" t="s">
        <v>466</v>
      </c>
      <c r="CD141" s="243" t="b">
        <f t="shared" si="87"/>
        <v>1</v>
      </c>
    </row>
    <row r="142" s="243" customFormat="1" ht="23" hidden="1" customHeight="1" spans="1:82">
      <c r="A142" s="343" t="str">
        <f t="shared" si="77"/>
        <v>弈工分信息苏坤</v>
      </c>
      <c r="B142" s="343" t="s">
        <v>41</v>
      </c>
      <c r="C142" s="343" t="s">
        <v>72</v>
      </c>
      <c r="D142" s="343" t="s">
        <v>252</v>
      </c>
      <c r="E142" s="344" t="s">
        <v>350</v>
      </c>
      <c r="F142" s="343" t="s">
        <v>352</v>
      </c>
      <c r="G142" s="343" t="s">
        <v>391</v>
      </c>
      <c r="H142" s="343" t="s">
        <v>557</v>
      </c>
      <c r="I142" s="343" t="s">
        <v>557</v>
      </c>
      <c r="J142" s="343" t="s">
        <v>257</v>
      </c>
      <c r="K142" s="345">
        <f t="shared" si="78"/>
        <v>28520.38</v>
      </c>
      <c r="L142" s="346">
        <f t="shared" si="79"/>
        <v>22536.71</v>
      </c>
      <c r="M142" s="362"/>
      <c r="N142" s="347">
        <v>6</v>
      </c>
      <c r="O142" s="361">
        <v>22100</v>
      </c>
      <c r="P142" s="348"/>
      <c r="Q142" s="348">
        <f>VLOOKUP(I142,考勤调整记录!I:W,15,0)</f>
        <v>0</v>
      </c>
      <c r="R142" s="348"/>
      <c r="S142" s="348">
        <v>155.8</v>
      </c>
      <c r="T142" s="348"/>
      <c r="U142" s="349">
        <f t="shared" si="65"/>
        <v>22255.8</v>
      </c>
      <c r="V142" s="350">
        <v>4443.37</v>
      </c>
      <c r="W142" s="350">
        <v>-1056.39</v>
      </c>
      <c r="X142" s="350"/>
      <c r="Y142" s="350"/>
      <c r="Z142" s="350"/>
      <c r="AA142" s="350"/>
      <c r="AB142" s="350"/>
      <c r="AC142" s="349">
        <f t="shared" si="80"/>
        <v>25642.78</v>
      </c>
      <c r="AD142" s="351"/>
      <c r="AE142" s="352">
        <v>202606</v>
      </c>
      <c r="AF142" s="348">
        <f>VLOOKUP(BW142,'HR|社保明细'!C:F,4,0)</f>
        <v>8800</v>
      </c>
      <c r="AG142" s="348">
        <f>VLOOKUP($BW142,'HR|社保明细'!$C:G,5,0)</f>
        <v>8800</v>
      </c>
      <c r="AH142" s="348">
        <f>VLOOKUP($BW142,'HR|社保明细'!$C:H,6,0)</f>
        <v>704</v>
      </c>
      <c r="AI142" s="348">
        <f>VLOOKUP($BW142,'HR|社保明细'!$C:I,7,0)</f>
        <v>176</v>
      </c>
      <c r="AJ142" s="348">
        <f>VLOOKUP($BW142,'HR|社保明细'!$C:J,8,0)</f>
        <v>44</v>
      </c>
      <c r="AK142" s="348">
        <f>VLOOKUP($BW142,'HR|社保明细'!$C:K,9,0)</f>
        <v>616</v>
      </c>
      <c r="AL142" s="353">
        <f>VLOOKUP($BW142,'HR|社保明细'!$C:L,10,0)</f>
        <v>0</v>
      </c>
      <c r="AM142" s="349">
        <f>SUM(AH142:AL142)</f>
        <v>1540</v>
      </c>
      <c r="AN142" s="348">
        <v>2000</v>
      </c>
      <c r="AO142" s="348"/>
      <c r="AP142" s="348">
        <v>1500</v>
      </c>
      <c r="AQ142" s="348">
        <v>1500</v>
      </c>
      <c r="AR142" s="348">
        <v>400</v>
      </c>
      <c r="AS142" s="348">
        <f t="shared" si="68"/>
        <v>18702.78</v>
      </c>
      <c r="AT142" s="354"/>
      <c r="AU142" s="355">
        <f>VLOOKUP(BW142,hr.个税累计数据!C:DS,121,0)</f>
        <v>138667.93</v>
      </c>
      <c r="AV142" s="348">
        <f>IF(AU142-5000*N142-VLOOKUP(A142,hr.个税累计数据!C:DT,122,0)-VLOOKUP(A142,hr.个税累计数据!C:DU,123,0)&gt;0,AU142-5000*N142-VLOOKUP(A142,hr.个税累计数据!C:DT,122,0)-VLOOKUP(A142,hr.个税累计数据!C:DU,123,0),0)</f>
        <v>69427.93</v>
      </c>
      <c r="AW142" s="348">
        <f>VLOOKUP(BW142,hr.个税累计数据!C:DV,124,0)</f>
        <v>3012.52</v>
      </c>
      <c r="AX142" s="348"/>
      <c r="AY142" s="349" cm="1">
        <f t="array" ref="AY142">IF(ROUND(MAX(AV142*{0.03,0.1,0.2,0.25,0.3,0.35,0.45}-{0,210,1410,2660,4410,7160,15160}*12)-AW142,2)&lt;=0,0,ROUND(MAX(AV142*{0.03,0.1,0.2,0.25,0.3,0.35,0.45}-{0,210,1410,2660,4410,7160,15160}*12)-AW142,2))</f>
        <v>1410.27</v>
      </c>
      <c r="AZ142" s="348">
        <f t="shared" si="81"/>
        <v>-155.8</v>
      </c>
      <c r="BA142" s="348"/>
      <c r="BB142" s="348">
        <f t="shared" si="82"/>
        <v>22536.71</v>
      </c>
      <c r="BC142" s="353"/>
      <c r="BD142" s="349">
        <f t="shared" si="83"/>
        <v>22536.71</v>
      </c>
      <c r="BE142" s="356">
        <f>VLOOKUP($BW142,'HR|社保明细'!C:T,11,0)</f>
        <v>1408</v>
      </c>
      <c r="BF142" s="348">
        <f>VLOOKUP($BW142,'HR|社保明细'!$C:U,12,0)</f>
        <v>704</v>
      </c>
      <c r="BG142" s="348">
        <f>VLOOKUP($BW142,'HR|社保明细'!$C:V,13,0)</f>
        <v>44</v>
      </c>
      <c r="BH142" s="348">
        <f>VLOOKUP($BW142,'HR|社保明细'!$C:W,14,0)</f>
        <v>17.6</v>
      </c>
      <c r="BI142" s="348">
        <f>VLOOKUP($BW142,'HR|社保明细'!$C:X,15,0)</f>
        <v>88</v>
      </c>
      <c r="BJ142" s="348">
        <f>VLOOKUP($BW142,'HR|社保明细'!$C:Y,16,0)</f>
        <v>616</v>
      </c>
      <c r="BK142" s="353">
        <f>VLOOKUP($BW142,'HR|社保明细'!$C:Z,17,0)</f>
        <v>0</v>
      </c>
      <c r="BL142" s="349">
        <f t="shared" si="84"/>
        <v>2877.6</v>
      </c>
      <c r="BM142" s="354"/>
      <c r="BN142" s="350"/>
      <c r="BO142" s="350"/>
      <c r="BP142" s="350"/>
      <c r="BQ142" s="350"/>
      <c r="BR142" s="349">
        <f>SUM(BN142:BQ142)</f>
        <v>0</v>
      </c>
      <c r="BS142" s="349">
        <f t="shared" si="85"/>
        <v>3386.98</v>
      </c>
      <c r="BT142" s="357">
        <v>1250</v>
      </c>
      <c r="BU142" s="357"/>
      <c r="BV142" s="358"/>
      <c r="BW142" s="359" t="str">
        <f t="shared" si="86"/>
        <v>弈工分信息苏坤</v>
      </c>
      <c r="BX142" s="360"/>
      <c r="BY142" s="360" t="s">
        <v>273</v>
      </c>
      <c r="BZ142" s="360" t="s">
        <v>353</v>
      </c>
      <c r="CA142" s="360" t="str">
        <f>VLOOKUP(A142,hr.个税累计数据!C:C,1,0)</f>
        <v>弈工分信息苏坤</v>
      </c>
      <c r="CB142" s="360" t="s">
        <v>558</v>
      </c>
      <c r="CC142" s="360" t="s">
        <v>273</v>
      </c>
      <c r="CD142" s="243" t="b">
        <f t="shared" si="87"/>
        <v>1</v>
      </c>
    </row>
    <row r="143" s="243" customFormat="1" ht="23" customHeight="1" spans="1:82">
      <c r="A143" s="343" t="str">
        <f t="shared" si="77"/>
        <v>弈工分信息陈圆</v>
      </c>
      <c r="B143" s="344" t="s">
        <v>27</v>
      </c>
      <c r="C143" s="343" t="s">
        <v>72</v>
      </c>
      <c r="D143" s="343" t="s">
        <v>252</v>
      </c>
      <c r="E143" s="344" t="s">
        <v>559</v>
      </c>
      <c r="F143" s="343" t="s">
        <v>400</v>
      </c>
      <c r="G143" s="343" t="s">
        <v>559</v>
      </c>
      <c r="H143" s="343" t="s">
        <v>560</v>
      </c>
      <c r="I143" s="343" t="s">
        <v>560</v>
      </c>
      <c r="J143" s="343" t="s">
        <v>257</v>
      </c>
      <c r="K143" s="345">
        <f t="shared" si="78"/>
        <v>12200</v>
      </c>
      <c r="L143" s="346">
        <f t="shared" si="79"/>
        <v>12136.58</v>
      </c>
      <c r="M143" s="362"/>
      <c r="N143" s="347">
        <v>2</v>
      </c>
      <c r="O143" s="361">
        <v>8000</v>
      </c>
      <c r="P143" s="348"/>
      <c r="Q143" s="348">
        <f>VLOOKUP(I143,考勤调整记录!I:W,15,0)</f>
        <v>4200</v>
      </c>
      <c r="R143" s="348"/>
      <c r="S143" s="348"/>
      <c r="T143" s="348"/>
      <c r="U143" s="349">
        <f t="shared" si="65"/>
        <v>12200</v>
      </c>
      <c r="V143" s="350"/>
      <c r="W143" s="350"/>
      <c r="X143" s="350"/>
      <c r="Y143" s="350"/>
      <c r="Z143" s="350"/>
      <c r="AA143" s="350"/>
      <c r="AB143" s="350"/>
      <c r="AC143" s="349">
        <f t="shared" si="80"/>
        <v>12200</v>
      </c>
      <c r="AD143" s="351"/>
      <c r="AE143" s="352">
        <v>202606</v>
      </c>
      <c r="AF143" s="348"/>
      <c r="AG143" s="348"/>
      <c r="AH143" s="348"/>
      <c r="AI143" s="348"/>
      <c r="AJ143" s="348"/>
      <c r="AK143" s="348"/>
      <c r="AL143" s="353"/>
      <c r="AM143" s="349"/>
      <c r="AN143" s="348"/>
      <c r="AO143" s="348"/>
      <c r="AP143" s="348"/>
      <c r="AQ143" s="348"/>
      <c r="AR143" s="348"/>
      <c r="AS143" s="348">
        <f t="shared" si="68"/>
        <v>12200</v>
      </c>
      <c r="AT143" s="354"/>
      <c r="AU143" s="355">
        <f>VLOOKUP(BW143,hr.个税累计数据!C:DS,121,0)</f>
        <v>15142.53</v>
      </c>
      <c r="AV143" s="348">
        <f>IF(AU143-5000*N143-VLOOKUP(A143,hr.个税累计数据!C:DT,122,0)-VLOOKUP(A143,hr.个税累计数据!C:DU,123,0)&gt;0,AU143-5000*N143-VLOOKUP(A143,hr.个税累计数据!C:DT,122,0)-VLOOKUP(A143,hr.个税累计数据!C:DU,123,0),0)</f>
        <v>5142.53</v>
      </c>
      <c r="AW143" s="348">
        <f>VLOOKUP(BW143,hr.个税累计数据!C:DV,124,0)</f>
        <v>0</v>
      </c>
      <c r="AX143" s="348"/>
      <c r="AY143" s="349">
        <v>63.42</v>
      </c>
      <c r="AZ143" s="348">
        <f t="shared" si="81"/>
        <v>0</v>
      </c>
      <c r="BA143" s="348"/>
      <c r="BB143" s="348">
        <f t="shared" si="82"/>
        <v>12136.58</v>
      </c>
      <c r="BC143" s="353"/>
      <c r="BD143" s="349">
        <f t="shared" si="83"/>
        <v>12136.58</v>
      </c>
      <c r="BE143" s="356"/>
      <c r="BF143" s="348"/>
      <c r="BG143" s="348"/>
      <c r="BH143" s="348"/>
      <c r="BI143" s="348"/>
      <c r="BJ143" s="348"/>
      <c r="BK143" s="353"/>
      <c r="BL143" s="349">
        <f t="shared" si="84"/>
        <v>0</v>
      </c>
      <c r="BM143" s="354"/>
      <c r="BN143" s="350"/>
      <c r="BO143" s="350"/>
      <c r="BP143" s="350"/>
      <c r="BQ143" s="350"/>
      <c r="BR143" s="349"/>
      <c r="BS143" s="349">
        <f t="shared" si="85"/>
        <v>0</v>
      </c>
      <c r="BT143" s="357">
        <v>1250</v>
      </c>
      <c r="BU143" s="357"/>
      <c r="BV143" s="358"/>
      <c r="BW143" s="359" t="str">
        <f t="shared" si="86"/>
        <v>弈工分信息陈圆</v>
      </c>
      <c r="BX143" s="360" t="s">
        <v>258</v>
      </c>
      <c r="BY143" s="360" t="s">
        <v>366</v>
      </c>
      <c r="BZ143" s="360"/>
      <c r="CA143" s="360" t="str">
        <f>VLOOKUP(A143,hr.个税累计数据!C:C,1,0)</f>
        <v>弈工分信息陈圆</v>
      </c>
      <c r="CB143" s="360" t="s">
        <v>561</v>
      </c>
      <c r="CC143" s="360" t="s">
        <v>466</v>
      </c>
      <c r="CD143" s="243" t="b">
        <f t="shared" si="87"/>
        <v>1</v>
      </c>
    </row>
    <row r="144" s="243" customFormat="1" ht="23" customHeight="1" spans="1:82">
      <c r="A144" s="343" t="str">
        <f t="shared" si="77"/>
        <v>弈工分信息安子玥</v>
      </c>
      <c r="B144" s="344" t="s">
        <v>27</v>
      </c>
      <c r="C144" s="343" t="s">
        <v>72</v>
      </c>
      <c r="D144" s="343" t="s">
        <v>252</v>
      </c>
      <c r="E144" s="344" t="s">
        <v>559</v>
      </c>
      <c r="F144" s="343" t="s">
        <v>400</v>
      </c>
      <c r="G144" s="343" t="s">
        <v>559</v>
      </c>
      <c r="H144" s="343" t="s">
        <v>562</v>
      </c>
      <c r="I144" s="343" t="s">
        <v>562</v>
      </c>
      <c r="J144" s="343" t="s">
        <v>257</v>
      </c>
      <c r="K144" s="345">
        <f t="shared" si="78"/>
        <v>7632.18</v>
      </c>
      <c r="L144" s="346">
        <f t="shared" si="79"/>
        <v>7599.01</v>
      </c>
      <c r="M144" s="362"/>
      <c r="N144" s="347">
        <v>1</v>
      </c>
      <c r="O144" s="361">
        <v>8000</v>
      </c>
      <c r="P144" s="348"/>
      <c r="Q144" s="348">
        <f>VLOOKUP(I144,考勤调整记录!I:W,15,0)</f>
        <v>-367.82</v>
      </c>
      <c r="R144" s="348"/>
      <c r="S144" s="348"/>
      <c r="T144" s="348"/>
      <c r="U144" s="349">
        <f t="shared" si="65"/>
        <v>7632.18</v>
      </c>
      <c r="V144" s="350"/>
      <c r="W144" s="350"/>
      <c r="X144" s="350"/>
      <c r="Y144" s="350"/>
      <c r="Z144" s="350"/>
      <c r="AA144" s="350"/>
      <c r="AB144" s="350"/>
      <c r="AC144" s="349">
        <f t="shared" si="80"/>
        <v>7632.18</v>
      </c>
      <c r="AD144" s="351"/>
      <c r="AE144" s="352">
        <v>202606</v>
      </c>
      <c r="AF144" s="348"/>
      <c r="AG144" s="348"/>
      <c r="AH144" s="348"/>
      <c r="AI144" s="348"/>
      <c r="AJ144" s="348"/>
      <c r="AK144" s="348"/>
      <c r="AL144" s="353"/>
      <c r="AM144" s="349"/>
      <c r="AN144" s="348"/>
      <c r="AO144" s="348"/>
      <c r="AP144" s="348"/>
      <c r="AQ144" s="348"/>
      <c r="AR144" s="348"/>
      <c r="AS144" s="348">
        <f t="shared" si="68"/>
        <v>7632.18</v>
      </c>
      <c r="AT144" s="354"/>
      <c r="AU144" s="355">
        <f>VLOOKUP(BW144,hr.个税累计数据!C:DS,121,0)</f>
        <v>7632.18</v>
      </c>
      <c r="AV144" s="348">
        <f>IF(AU144-5000*N144-VLOOKUP(A144,hr.个税累计数据!C:DT,122,0)-VLOOKUP(A144,hr.个税累计数据!C:DU,123,0)&gt;0,AU144-5000*N144-VLOOKUP(A144,hr.个税累计数据!C:DT,122,0)-VLOOKUP(A144,hr.个税累计数据!C:DU,123,0),0)</f>
        <v>2632.18</v>
      </c>
      <c r="AW144" s="348">
        <f>VLOOKUP(BW144,hr.个税累计数据!C:DV,124,0)</f>
        <v>0</v>
      </c>
      <c r="AX144" s="348"/>
      <c r="AY144" s="349">
        <v>33.17</v>
      </c>
      <c r="AZ144" s="348">
        <f t="shared" si="81"/>
        <v>0</v>
      </c>
      <c r="BA144" s="348"/>
      <c r="BB144" s="348">
        <f t="shared" si="82"/>
        <v>7599.01</v>
      </c>
      <c r="BC144" s="353"/>
      <c r="BD144" s="349">
        <f t="shared" si="83"/>
        <v>7599.01</v>
      </c>
      <c r="BE144" s="356"/>
      <c r="BF144" s="348"/>
      <c r="BG144" s="348"/>
      <c r="BH144" s="348"/>
      <c r="BI144" s="348"/>
      <c r="BJ144" s="348"/>
      <c r="BK144" s="353"/>
      <c r="BL144" s="349">
        <f t="shared" si="84"/>
        <v>0</v>
      </c>
      <c r="BM144" s="354"/>
      <c r="BN144" s="350"/>
      <c r="BO144" s="350"/>
      <c r="BP144" s="350"/>
      <c r="BQ144" s="350"/>
      <c r="BR144" s="349"/>
      <c r="BS144" s="349">
        <f t="shared" si="85"/>
        <v>0</v>
      </c>
      <c r="BT144" s="357">
        <v>1250</v>
      </c>
      <c r="BU144" s="357"/>
      <c r="BV144" s="358"/>
      <c r="BW144" s="359" t="str">
        <f t="shared" si="86"/>
        <v>弈工分信息安子玥</v>
      </c>
      <c r="BX144" s="360" t="s">
        <v>258</v>
      </c>
      <c r="BY144" s="360" t="s">
        <v>366</v>
      </c>
      <c r="BZ144" s="360"/>
      <c r="CA144" s="360" t="str">
        <f>VLOOKUP(A144,hr.个税累计数据!C:C,1,0)</f>
        <v>弈工分信息安子玥</v>
      </c>
      <c r="CB144" s="360" t="s">
        <v>561</v>
      </c>
      <c r="CC144" s="360" t="s">
        <v>466</v>
      </c>
      <c r="CD144" s="243" t="b">
        <f t="shared" si="87"/>
        <v>1</v>
      </c>
    </row>
    <row r="145" s="243" customFormat="1" ht="23" customHeight="1" spans="1:82">
      <c r="A145" s="343" t="str">
        <f t="shared" si="77"/>
        <v>弈工分信息陈双杰</v>
      </c>
      <c r="B145" s="344" t="s">
        <v>27</v>
      </c>
      <c r="C145" s="343" t="s">
        <v>72</v>
      </c>
      <c r="D145" s="343" t="s">
        <v>252</v>
      </c>
      <c r="E145" s="344" t="s">
        <v>559</v>
      </c>
      <c r="F145" s="343" t="s">
        <v>400</v>
      </c>
      <c r="G145" s="343" t="s">
        <v>559</v>
      </c>
      <c r="H145" s="343" t="s">
        <v>563</v>
      </c>
      <c r="I145" s="343" t="s">
        <v>563</v>
      </c>
      <c r="J145" s="343" t="s">
        <v>257</v>
      </c>
      <c r="K145" s="345">
        <f t="shared" si="78"/>
        <v>7632.18</v>
      </c>
      <c r="L145" s="346">
        <f t="shared" si="79"/>
        <v>7599.01</v>
      </c>
      <c r="M145" s="362"/>
      <c r="N145" s="347">
        <v>1</v>
      </c>
      <c r="O145" s="361">
        <v>8000</v>
      </c>
      <c r="P145" s="348"/>
      <c r="Q145" s="348">
        <f>VLOOKUP(I145,考勤调整记录!I:W,15,0)</f>
        <v>-367.82</v>
      </c>
      <c r="R145" s="348"/>
      <c r="S145" s="348"/>
      <c r="T145" s="348"/>
      <c r="U145" s="349">
        <f t="shared" si="65"/>
        <v>7632.18</v>
      </c>
      <c r="V145" s="350"/>
      <c r="W145" s="350"/>
      <c r="X145" s="350"/>
      <c r="Y145" s="350"/>
      <c r="Z145" s="350"/>
      <c r="AA145" s="350"/>
      <c r="AB145" s="350"/>
      <c r="AC145" s="349">
        <f t="shared" si="80"/>
        <v>7632.18</v>
      </c>
      <c r="AD145" s="351"/>
      <c r="AE145" s="352">
        <v>202606</v>
      </c>
      <c r="AF145" s="348"/>
      <c r="AG145" s="348"/>
      <c r="AH145" s="348"/>
      <c r="AI145" s="348"/>
      <c r="AJ145" s="348"/>
      <c r="AK145" s="348"/>
      <c r="AL145" s="353"/>
      <c r="AM145" s="349"/>
      <c r="AN145" s="348"/>
      <c r="AO145" s="348"/>
      <c r="AP145" s="348"/>
      <c r="AQ145" s="348"/>
      <c r="AR145" s="348"/>
      <c r="AS145" s="348">
        <f t="shared" si="68"/>
        <v>7632.18</v>
      </c>
      <c r="AT145" s="354"/>
      <c r="AU145" s="355">
        <f>VLOOKUP(BW145,hr.个税累计数据!C:DS,121,0)</f>
        <v>7632.18</v>
      </c>
      <c r="AV145" s="348">
        <f>IF(AU145-5000*N145-VLOOKUP(A145,hr.个税累计数据!C:DT,122,0)-VLOOKUP(A145,hr.个税累计数据!C:DU,123,0)&gt;0,AU145-5000*N145-VLOOKUP(A145,hr.个税累计数据!C:DT,122,0)-VLOOKUP(A145,hr.个税累计数据!C:DU,123,0),0)</f>
        <v>2632.18</v>
      </c>
      <c r="AW145" s="348">
        <f>VLOOKUP(BW145,hr.个税累计数据!C:DV,124,0)</f>
        <v>0</v>
      </c>
      <c r="AX145" s="348"/>
      <c r="AY145" s="349">
        <v>33.17</v>
      </c>
      <c r="AZ145" s="348">
        <f t="shared" si="81"/>
        <v>0</v>
      </c>
      <c r="BA145" s="348"/>
      <c r="BB145" s="348">
        <f t="shared" si="82"/>
        <v>7599.01</v>
      </c>
      <c r="BC145" s="353"/>
      <c r="BD145" s="349">
        <f t="shared" si="83"/>
        <v>7599.01</v>
      </c>
      <c r="BE145" s="356"/>
      <c r="BF145" s="348"/>
      <c r="BG145" s="348"/>
      <c r="BH145" s="348"/>
      <c r="BI145" s="348"/>
      <c r="BJ145" s="348"/>
      <c r="BK145" s="353"/>
      <c r="BL145" s="349">
        <f t="shared" si="84"/>
        <v>0</v>
      </c>
      <c r="BM145" s="354"/>
      <c r="BN145" s="350"/>
      <c r="BO145" s="350"/>
      <c r="BP145" s="350"/>
      <c r="BQ145" s="350"/>
      <c r="BR145" s="349"/>
      <c r="BS145" s="349">
        <f t="shared" si="85"/>
        <v>0</v>
      </c>
      <c r="BT145" s="357">
        <v>1250</v>
      </c>
      <c r="BU145" s="357"/>
      <c r="BV145" s="358"/>
      <c r="BW145" s="359" t="str">
        <f t="shared" si="86"/>
        <v>弈工分信息陈双杰</v>
      </c>
      <c r="BX145" s="360" t="s">
        <v>258</v>
      </c>
      <c r="BY145" s="360" t="s">
        <v>366</v>
      </c>
      <c r="BZ145" s="360"/>
      <c r="CA145" s="360" t="str">
        <f>VLOOKUP(A145,hr.个税累计数据!C:C,1,0)</f>
        <v>弈工分信息陈双杰</v>
      </c>
      <c r="CB145" s="360" t="s">
        <v>561</v>
      </c>
      <c r="CC145" s="360" t="s">
        <v>466</v>
      </c>
      <c r="CD145" s="243" t="b">
        <f t="shared" si="87"/>
        <v>1</v>
      </c>
    </row>
    <row r="146" s="243" customFormat="1" ht="23" customHeight="1" spans="1:82">
      <c r="A146" s="343" t="str">
        <f t="shared" si="77"/>
        <v>弈工分信息陈锦</v>
      </c>
      <c r="B146" s="344" t="s">
        <v>27</v>
      </c>
      <c r="C146" s="343" t="s">
        <v>72</v>
      </c>
      <c r="D146" s="343" t="s">
        <v>252</v>
      </c>
      <c r="E146" s="344" t="s">
        <v>559</v>
      </c>
      <c r="F146" s="343" t="s">
        <v>400</v>
      </c>
      <c r="G146" s="343" t="s">
        <v>559</v>
      </c>
      <c r="H146" s="343" t="s">
        <v>564</v>
      </c>
      <c r="I146" s="343" t="s">
        <v>564</v>
      </c>
      <c r="J146" s="343" t="s">
        <v>257</v>
      </c>
      <c r="K146" s="345">
        <f t="shared" si="78"/>
        <v>7264.37</v>
      </c>
      <c r="L146" s="346">
        <f t="shared" si="79"/>
        <v>7240.02</v>
      </c>
      <c r="M146" s="362"/>
      <c r="N146" s="347">
        <v>1</v>
      </c>
      <c r="O146" s="361">
        <v>8000</v>
      </c>
      <c r="P146" s="348"/>
      <c r="Q146" s="348">
        <f>VLOOKUP(I146,考勤调整记录!I:W,15,0)</f>
        <v>-735.63</v>
      </c>
      <c r="R146" s="348"/>
      <c r="S146" s="348"/>
      <c r="T146" s="348"/>
      <c r="U146" s="349">
        <f t="shared" si="65"/>
        <v>7264.37</v>
      </c>
      <c r="V146" s="350"/>
      <c r="W146" s="350"/>
      <c r="X146" s="350"/>
      <c r="Y146" s="350"/>
      <c r="Z146" s="350"/>
      <c r="AA146" s="350"/>
      <c r="AB146" s="350"/>
      <c r="AC146" s="349">
        <f t="shared" si="80"/>
        <v>7264.37</v>
      </c>
      <c r="AD146" s="351"/>
      <c r="AE146" s="352">
        <v>202606</v>
      </c>
      <c r="AF146" s="348"/>
      <c r="AG146" s="348"/>
      <c r="AH146" s="348"/>
      <c r="AI146" s="348"/>
      <c r="AJ146" s="348"/>
      <c r="AK146" s="348"/>
      <c r="AL146" s="353"/>
      <c r="AM146" s="349"/>
      <c r="AN146" s="348"/>
      <c r="AO146" s="348"/>
      <c r="AP146" s="348"/>
      <c r="AQ146" s="348"/>
      <c r="AR146" s="348"/>
      <c r="AS146" s="348">
        <f t="shared" si="68"/>
        <v>7264.37</v>
      </c>
      <c r="AT146" s="354"/>
      <c r="AU146" s="355">
        <f>VLOOKUP(BW146,hr.个税累计数据!C:DS,121,0)</f>
        <v>7264.37</v>
      </c>
      <c r="AV146" s="348">
        <f>IF(AU146-5000*N146-VLOOKUP(A146,hr.个税累计数据!C:DT,122,0)-VLOOKUP(A146,hr.个税累计数据!C:DU,123,0)&gt;0,AU146-5000*N146-VLOOKUP(A146,hr.个税累计数据!C:DT,122,0)-VLOOKUP(A146,hr.个税累计数据!C:DU,123,0),0)</f>
        <v>2264.37</v>
      </c>
      <c r="AW146" s="348">
        <f>VLOOKUP(BW146,hr.个税累计数据!C:DV,124,0)</f>
        <v>0</v>
      </c>
      <c r="AX146" s="348"/>
      <c r="AY146" s="349">
        <v>24.35</v>
      </c>
      <c r="AZ146" s="348">
        <f t="shared" si="81"/>
        <v>0</v>
      </c>
      <c r="BA146" s="348"/>
      <c r="BB146" s="348">
        <f t="shared" si="82"/>
        <v>7240.02</v>
      </c>
      <c r="BC146" s="353"/>
      <c r="BD146" s="349">
        <f t="shared" si="83"/>
        <v>7240.02</v>
      </c>
      <c r="BE146" s="356"/>
      <c r="BF146" s="348"/>
      <c r="BG146" s="348"/>
      <c r="BH146" s="348"/>
      <c r="BI146" s="348"/>
      <c r="BJ146" s="348"/>
      <c r="BK146" s="353"/>
      <c r="BL146" s="349">
        <f t="shared" si="84"/>
        <v>0</v>
      </c>
      <c r="BM146" s="354"/>
      <c r="BN146" s="350"/>
      <c r="BO146" s="350"/>
      <c r="BP146" s="350"/>
      <c r="BQ146" s="350"/>
      <c r="BR146" s="349"/>
      <c r="BS146" s="349">
        <f t="shared" si="85"/>
        <v>0</v>
      </c>
      <c r="BT146" s="357">
        <v>1250</v>
      </c>
      <c r="BU146" s="357"/>
      <c r="BV146" s="358"/>
      <c r="BW146" s="359" t="str">
        <f t="shared" si="86"/>
        <v>弈工分信息陈锦</v>
      </c>
      <c r="BX146" s="360" t="s">
        <v>258</v>
      </c>
      <c r="BY146" s="360" t="s">
        <v>366</v>
      </c>
      <c r="BZ146" s="360"/>
      <c r="CA146" s="360" t="str">
        <f>VLOOKUP(A146,hr.个税累计数据!C:C,1,0)</f>
        <v>弈工分信息陈锦</v>
      </c>
      <c r="CB146" s="360" t="s">
        <v>561</v>
      </c>
      <c r="CC146" s="360" t="s">
        <v>466</v>
      </c>
      <c r="CD146" s="243" t="b">
        <f t="shared" si="87"/>
        <v>1</v>
      </c>
    </row>
    <row r="147" s="243" customFormat="1" ht="23" customHeight="1" spans="1:82">
      <c r="A147" s="343" t="str">
        <f t="shared" si="77"/>
        <v>开弈中国-美元任梦超</v>
      </c>
      <c r="B147" s="344" t="s">
        <v>27</v>
      </c>
      <c r="C147" s="343" t="s">
        <v>59</v>
      </c>
      <c r="D147" s="343" t="s">
        <v>252</v>
      </c>
      <c r="E147" s="344" t="s">
        <v>559</v>
      </c>
      <c r="F147" s="343" t="s">
        <v>400</v>
      </c>
      <c r="G147" s="343" t="s">
        <v>559</v>
      </c>
      <c r="H147" s="343" t="s">
        <v>565</v>
      </c>
      <c r="I147" s="343" t="s">
        <v>565</v>
      </c>
      <c r="J147" s="343" t="s">
        <v>257</v>
      </c>
      <c r="K147" s="345">
        <f t="shared" si="78"/>
        <v>2200</v>
      </c>
      <c r="L147" s="346">
        <f t="shared" si="79"/>
        <v>2200</v>
      </c>
      <c r="M147" s="362"/>
      <c r="N147" s="347">
        <v>1</v>
      </c>
      <c r="O147" s="361"/>
      <c r="P147" s="348"/>
      <c r="Q147" s="348">
        <f>VLOOKUP(I147,考勤调整记录!I:W,15,0)</f>
        <v>2200</v>
      </c>
      <c r="R147" s="348"/>
      <c r="S147" s="348"/>
      <c r="T147" s="348"/>
      <c r="U147" s="349">
        <f t="shared" si="65"/>
        <v>2200</v>
      </c>
      <c r="V147" s="350"/>
      <c r="W147" s="350"/>
      <c r="X147" s="350"/>
      <c r="Y147" s="350"/>
      <c r="Z147" s="350"/>
      <c r="AA147" s="350"/>
      <c r="AB147" s="350"/>
      <c r="AC147" s="349">
        <f t="shared" si="80"/>
        <v>2200</v>
      </c>
      <c r="AD147" s="351"/>
      <c r="AE147" s="352">
        <v>202606</v>
      </c>
      <c r="AF147" s="348"/>
      <c r="AG147" s="348"/>
      <c r="AH147" s="348"/>
      <c r="AI147" s="348"/>
      <c r="AJ147" s="348"/>
      <c r="AK147" s="348"/>
      <c r="AL147" s="353"/>
      <c r="AM147" s="349"/>
      <c r="AN147" s="348"/>
      <c r="AO147" s="348"/>
      <c r="AP147" s="348"/>
      <c r="AQ147" s="348"/>
      <c r="AR147" s="348"/>
      <c r="AS147" s="348">
        <f t="shared" si="68"/>
        <v>2200</v>
      </c>
      <c r="AT147" s="354"/>
      <c r="AU147" s="355">
        <f>VLOOKUP(BW147,hr.个税累计数据!C:DS,121,0)</f>
        <v>2200</v>
      </c>
      <c r="AV147" s="348">
        <f>IF(AU147-5000*N147-VLOOKUP(A147,hr.个税累计数据!C:DT,122,0)-VLOOKUP(A147,hr.个税累计数据!C:DU,123,0)&gt;0,AU147-5000*N147-VLOOKUP(A147,hr.个税累计数据!C:DT,122,0)-VLOOKUP(A147,hr.个税累计数据!C:DU,123,0),0)</f>
        <v>0</v>
      </c>
      <c r="AW147" s="348">
        <f>VLOOKUP(BW147,hr.个税累计数据!C:DV,124,0)</f>
        <v>0</v>
      </c>
      <c r="AX147" s="348"/>
      <c r="AY147" s="349"/>
      <c r="AZ147" s="348">
        <f t="shared" si="81"/>
        <v>0</v>
      </c>
      <c r="BA147" s="348"/>
      <c r="BB147" s="348">
        <f t="shared" si="82"/>
        <v>2200</v>
      </c>
      <c r="BC147" s="353"/>
      <c r="BD147" s="349">
        <f t="shared" si="83"/>
        <v>2200</v>
      </c>
      <c r="BE147" s="356"/>
      <c r="BF147" s="348"/>
      <c r="BG147" s="348"/>
      <c r="BH147" s="348"/>
      <c r="BI147" s="348"/>
      <c r="BJ147" s="348"/>
      <c r="BK147" s="353"/>
      <c r="BL147" s="349">
        <f t="shared" si="84"/>
        <v>0</v>
      </c>
      <c r="BM147" s="354"/>
      <c r="BN147" s="350"/>
      <c r="BO147" s="350"/>
      <c r="BP147" s="350"/>
      <c r="BQ147" s="350"/>
      <c r="BR147" s="349"/>
      <c r="BS147" s="349">
        <f t="shared" si="85"/>
        <v>0</v>
      </c>
      <c r="BT147" s="357"/>
      <c r="BU147" s="357"/>
      <c r="BV147" s="358"/>
      <c r="BW147" s="359" t="str">
        <f t="shared" si="86"/>
        <v>开弈中国-美元任梦超</v>
      </c>
      <c r="BX147" s="360" t="s">
        <v>258</v>
      </c>
      <c r="BY147" s="360" t="s">
        <v>366</v>
      </c>
      <c r="BZ147" s="360"/>
      <c r="CA147" s="360" t="str">
        <f>VLOOKUP(A147,hr.个税累计数据!C:C,1,0)</f>
        <v>开弈中国-美元任梦超</v>
      </c>
      <c r="CB147" s="360" t="s">
        <v>561</v>
      </c>
      <c r="CC147" s="360" t="s">
        <v>466</v>
      </c>
      <c r="CD147" s="243" t="b">
        <f t="shared" si="87"/>
        <v>1</v>
      </c>
    </row>
    <row r="148" s="243" customFormat="1" ht="23" hidden="1" customHeight="1" spans="1:82">
      <c r="A148" s="343" t="str">
        <f t="shared" si="77"/>
        <v>弈工分健康高光付</v>
      </c>
      <c r="B148" s="343" t="s">
        <v>52</v>
      </c>
      <c r="C148" s="343" t="s">
        <v>73</v>
      </c>
      <c r="D148" s="343" t="s">
        <v>252</v>
      </c>
      <c r="E148" s="344" t="s">
        <v>52</v>
      </c>
      <c r="F148" s="343" t="s">
        <v>380</v>
      </c>
      <c r="G148" s="343" t="s">
        <v>366</v>
      </c>
      <c r="H148" s="343" t="s">
        <v>566</v>
      </c>
      <c r="I148" s="343" t="s">
        <v>566</v>
      </c>
      <c r="J148" s="343" t="s">
        <v>257</v>
      </c>
      <c r="K148" s="345">
        <f t="shared" si="78"/>
        <v>2615.38</v>
      </c>
      <c r="L148" s="346">
        <f t="shared" si="79"/>
        <v>2615.38</v>
      </c>
      <c r="M148" s="362"/>
      <c r="N148" s="347">
        <v>1</v>
      </c>
      <c r="O148" s="361">
        <v>4000</v>
      </c>
      <c r="P148" s="348"/>
      <c r="Q148" s="348">
        <f>VLOOKUP(I148,考勤调整记录!I:W,15,0)</f>
        <v>-1384.62</v>
      </c>
      <c r="R148" s="348"/>
      <c r="S148" s="348"/>
      <c r="T148" s="348"/>
      <c r="U148" s="349">
        <f t="shared" si="65"/>
        <v>2615.38</v>
      </c>
      <c r="V148" s="350"/>
      <c r="W148" s="350"/>
      <c r="X148" s="350"/>
      <c r="Y148" s="350"/>
      <c r="Z148" s="350"/>
      <c r="AA148" s="350"/>
      <c r="AB148" s="350"/>
      <c r="AC148" s="349">
        <f t="shared" si="80"/>
        <v>2615.38</v>
      </c>
      <c r="AD148" s="351"/>
      <c r="AE148" s="352">
        <v>202606</v>
      </c>
      <c r="AF148" s="348"/>
      <c r="AG148" s="348"/>
      <c r="AH148" s="348"/>
      <c r="AI148" s="348"/>
      <c r="AJ148" s="348"/>
      <c r="AK148" s="348"/>
      <c r="AL148" s="353"/>
      <c r="AM148" s="349"/>
      <c r="AN148" s="348"/>
      <c r="AO148" s="348"/>
      <c r="AP148" s="348"/>
      <c r="AQ148" s="348"/>
      <c r="AR148" s="348"/>
      <c r="AS148" s="348">
        <f t="shared" si="68"/>
        <v>2615.38</v>
      </c>
      <c r="AT148" s="354"/>
      <c r="AU148" s="355">
        <f>VLOOKUP(BW148,hr.个税累计数据!C:DS,121,0)</f>
        <v>2615.38</v>
      </c>
      <c r="AV148" s="348">
        <f>IF(AU148-5000*N148-VLOOKUP(A148,hr.个税累计数据!C:DT,122,0)-VLOOKUP(A148,hr.个税累计数据!C:DU,123,0)&gt;0,AU148-5000*N148-VLOOKUP(A148,hr.个税累计数据!C:DT,122,0)-VLOOKUP(A148,hr.个税累计数据!C:DU,123,0),0)</f>
        <v>0</v>
      </c>
      <c r="AW148" s="348">
        <f>VLOOKUP(BW148,hr.个税累计数据!C:DV,124,0)</f>
        <v>0</v>
      </c>
      <c r="AX148" s="348"/>
      <c r="AY148" s="349">
        <f>IF(ROUND(MAX(AV148*{0.03,0.1,0.2,0.25,0.3,0.35,0.45}-{0,210,1410,2660,4410,7160,15160}*12)-AW148,2)&lt;=0,0,ROUND(MAX(AV148*{0.03,0.1,0.2,0.25,0.3,0.35,0.45}-{0,210,1410,2660,4410,7160,15160}*12)-AW148,2))</f>
        <v>0</v>
      </c>
      <c r="AZ148" s="348">
        <f t="shared" si="81"/>
        <v>0</v>
      </c>
      <c r="BA148" s="348"/>
      <c r="BB148" s="348">
        <f t="shared" si="82"/>
        <v>2615.38</v>
      </c>
      <c r="BC148" s="353"/>
      <c r="BD148" s="349">
        <f t="shared" si="83"/>
        <v>2615.38</v>
      </c>
      <c r="BE148" s="356"/>
      <c r="BF148" s="348"/>
      <c r="BG148" s="348"/>
      <c r="BH148" s="348"/>
      <c r="BI148" s="348"/>
      <c r="BJ148" s="348"/>
      <c r="BK148" s="353"/>
      <c r="BL148" s="349">
        <f t="shared" si="84"/>
        <v>0</v>
      </c>
      <c r="BM148" s="354"/>
      <c r="BN148" s="350"/>
      <c r="BO148" s="350"/>
      <c r="BP148" s="350"/>
      <c r="BQ148" s="350"/>
      <c r="BR148" s="349"/>
      <c r="BS148" s="349">
        <f t="shared" si="85"/>
        <v>0</v>
      </c>
      <c r="BT148" s="357">
        <v>1250</v>
      </c>
      <c r="BU148" s="357"/>
      <c r="BV148" s="358"/>
      <c r="BW148" s="359" t="str">
        <f t="shared" si="86"/>
        <v>弈工分健康高光付</v>
      </c>
      <c r="BX148" s="360" t="s">
        <v>258</v>
      </c>
      <c r="BY148" s="360" t="s">
        <v>366</v>
      </c>
      <c r="BZ148" s="360"/>
      <c r="CA148" s="360" t="str">
        <f>VLOOKUP(A148,hr.个税累计数据!C:C,1,0)</f>
        <v>弈工分健康高光付</v>
      </c>
      <c r="CB148" s="360" t="s">
        <v>561</v>
      </c>
      <c r="CC148" s="360" t="s">
        <v>466</v>
      </c>
      <c r="CD148" s="243" t="b">
        <f t="shared" si="87"/>
        <v>1</v>
      </c>
    </row>
    <row r="149" s="243" customFormat="1" ht="23" hidden="1" customHeight="1" spans="1:82">
      <c r="A149" s="343" t="str">
        <f t="shared" si="77"/>
        <v>弈工分健康肖德云</v>
      </c>
      <c r="B149" s="343" t="s">
        <v>52</v>
      </c>
      <c r="C149" s="343" t="s">
        <v>73</v>
      </c>
      <c r="D149" s="343" t="s">
        <v>252</v>
      </c>
      <c r="E149" s="344" t="s">
        <v>52</v>
      </c>
      <c r="F149" s="343" t="s">
        <v>380</v>
      </c>
      <c r="G149" s="343" t="s">
        <v>366</v>
      </c>
      <c r="H149" s="343" t="s">
        <v>567</v>
      </c>
      <c r="I149" s="343" t="s">
        <v>567</v>
      </c>
      <c r="J149" s="343" t="s">
        <v>257</v>
      </c>
      <c r="K149" s="345">
        <f t="shared" si="78"/>
        <v>1384.62</v>
      </c>
      <c r="L149" s="346">
        <f t="shared" si="79"/>
        <v>1384.62</v>
      </c>
      <c r="M149" s="362"/>
      <c r="N149" s="347">
        <v>1</v>
      </c>
      <c r="O149" s="361">
        <v>4000</v>
      </c>
      <c r="P149" s="348"/>
      <c r="Q149" s="348">
        <f>VLOOKUP(I149,考勤调整记录!I:W,15,0)</f>
        <v>-2615.38</v>
      </c>
      <c r="R149" s="348"/>
      <c r="S149" s="348"/>
      <c r="T149" s="348"/>
      <c r="U149" s="349">
        <f t="shared" si="65"/>
        <v>1384.62</v>
      </c>
      <c r="V149" s="350"/>
      <c r="W149" s="350"/>
      <c r="X149" s="350"/>
      <c r="Y149" s="350"/>
      <c r="Z149" s="350"/>
      <c r="AA149" s="350"/>
      <c r="AB149" s="350"/>
      <c r="AC149" s="349">
        <f t="shared" si="80"/>
        <v>1384.62</v>
      </c>
      <c r="AD149" s="351"/>
      <c r="AE149" s="352">
        <v>202606</v>
      </c>
      <c r="AF149" s="348"/>
      <c r="AG149" s="348"/>
      <c r="AH149" s="348"/>
      <c r="AI149" s="348"/>
      <c r="AJ149" s="348"/>
      <c r="AK149" s="348"/>
      <c r="AL149" s="353"/>
      <c r="AM149" s="349"/>
      <c r="AN149" s="348"/>
      <c r="AO149" s="348"/>
      <c r="AP149" s="348"/>
      <c r="AQ149" s="348"/>
      <c r="AR149" s="348"/>
      <c r="AS149" s="348">
        <f t="shared" si="68"/>
        <v>1384.62</v>
      </c>
      <c r="AT149" s="354"/>
      <c r="AU149" s="355">
        <f>VLOOKUP(BW149,hr.个税累计数据!C:DS,121,0)</f>
        <v>1384.62</v>
      </c>
      <c r="AV149" s="348">
        <f>IF(AU149-5000*N149-VLOOKUP(A149,hr.个税累计数据!C:DT,122,0)-VLOOKUP(A149,hr.个税累计数据!C:DU,123,0)&gt;0,AU149-5000*N149-VLOOKUP(A149,hr.个税累计数据!C:DT,122,0)-VLOOKUP(A149,hr.个税累计数据!C:DU,123,0),0)</f>
        <v>0</v>
      </c>
      <c r="AW149" s="348">
        <f>VLOOKUP(BW149,hr.个税累计数据!C:DV,124,0)</f>
        <v>0</v>
      </c>
      <c r="AX149" s="348"/>
      <c r="AY149" s="349">
        <f>IF(ROUND(MAX(AV149*{0.03,0.1,0.2,0.25,0.3,0.35,0.45}-{0,210,1410,2660,4410,7160,15160}*12)-AW149,2)&lt;=0,0,ROUND(MAX(AV149*{0.03,0.1,0.2,0.25,0.3,0.35,0.45}-{0,210,1410,2660,4410,7160,15160}*12)-AW149,2))</f>
        <v>0</v>
      </c>
      <c r="AZ149" s="348">
        <f t="shared" si="81"/>
        <v>0</v>
      </c>
      <c r="BA149" s="348"/>
      <c r="BB149" s="348">
        <f t="shared" si="82"/>
        <v>1384.62</v>
      </c>
      <c r="BC149" s="353"/>
      <c r="BD149" s="349">
        <f t="shared" si="83"/>
        <v>1384.62</v>
      </c>
      <c r="BE149" s="356"/>
      <c r="BF149" s="348"/>
      <c r="BG149" s="348"/>
      <c r="BH149" s="348"/>
      <c r="BI149" s="348"/>
      <c r="BJ149" s="348"/>
      <c r="BK149" s="353"/>
      <c r="BL149" s="349">
        <f t="shared" si="84"/>
        <v>0</v>
      </c>
      <c r="BM149" s="354"/>
      <c r="BN149" s="350"/>
      <c r="BO149" s="350"/>
      <c r="BP149" s="350"/>
      <c r="BQ149" s="350"/>
      <c r="BR149" s="349"/>
      <c r="BS149" s="349">
        <f t="shared" si="85"/>
        <v>0</v>
      </c>
      <c r="BT149" s="357">
        <v>1250</v>
      </c>
      <c r="BU149" s="357"/>
      <c r="BV149" s="358"/>
      <c r="BW149" s="359" t="str">
        <f t="shared" si="86"/>
        <v>弈工分健康肖德云</v>
      </c>
      <c r="BX149" s="360" t="s">
        <v>258</v>
      </c>
      <c r="BY149" s="360" t="s">
        <v>366</v>
      </c>
      <c r="BZ149" s="360"/>
      <c r="CA149" s="360" t="str">
        <f>VLOOKUP(A149,hr.个税累计数据!C:C,1,0)</f>
        <v>弈工分健康肖德云</v>
      </c>
      <c r="CB149" s="360" t="s">
        <v>561</v>
      </c>
      <c r="CC149" s="360" t="s">
        <v>466</v>
      </c>
      <c r="CD149" s="243" t="b">
        <f t="shared" si="87"/>
        <v>1</v>
      </c>
    </row>
    <row r="150" s="243" customFormat="1" ht="23" hidden="1" customHeight="1" spans="1:82">
      <c r="A150" s="343" t="str">
        <f t="shared" si="77"/>
        <v>弈工分健康韦兆斌</v>
      </c>
      <c r="B150" s="343" t="s">
        <v>52</v>
      </c>
      <c r="C150" s="343" t="s">
        <v>73</v>
      </c>
      <c r="D150" s="343" t="s">
        <v>267</v>
      </c>
      <c r="E150" s="344" t="s">
        <v>52</v>
      </c>
      <c r="F150" s="343" t="s">
        <v>380</v>
      </c>
      <c r="G150" s="343" t="s">
        <v>366</v>
      </c>
      <c r="H150" s="343" t="s">
        <v>568</v>
      </c>
      <c r="I150" s="343" t="s">
        <v>568</v>
      </c>
      <c r="J150" s="343" t="s">
        <v>257</v>
      </c>
      <c r="K150" s="345">
        <f t="shared" si="78"/>
        <v>923.08</v>
      </c>
      <c r="L150" s="346">
        <f t="shared" si="79"/>
        <v>898.46</v>
      </c>
      <c r="M150" s="362"/>
      <c r="N150" s="347">
        <v>1</v>
      </c>
      <c r="O150" s="361">
        <v>4000</v>
      </c>
      <c r="P150" s="348"/>
      <c r="Q150" s="348">
        <f>VLOOKUP(I150,考勤调整记录!I:W,15,0)</f>
        <v>-3076.92</v>
      </c>
      <c r="R150" s="348"/>
      <c r="S150" s="348"/>
      <c r="T150" s="348"/>
      <c r="U150" s="349">
        <f t="shared" si="65"/>
        <v>923.08</v>
      </c>
      <c r="V150" s="350"/>
      <c r="W150" s="350"/>
      <c r="X150" s="350"/>
      <c r="Y150" s="350"/>
      <c r="Z150" s="350"/>
      <c r="AA150" s="350"/>
      <c r="AB150" s="350"/>
      <c r="AC150" s="349">
        <f t="shared" si="80"/>
        <v>923.08</v>
      </c>
      <c r="AD150" s="351"/>
      <c r="AE150" s="352">
        <v>202606</v>
      </c>
      <c r="AF150" s="348"/>
      <c r="AG150" s="348"/>
      <c r="AH150" s="348"/>
      <c r="AI150" s="348"/>
      <c r="AJ150" s="348"/>
      <c r="AK150" s="348"/>
      <c r="AL150" s="353"/>
      <c r="AM150" s="349"/>
      <c r="AN150" s="348"/>
      <c r="AO150" s="348"/>
      <c r="AP150" s="348"/>
      <c r="AQ150" s="348"/>
      <c r="AR150" s="348"/>
      <c r="AS150" s="348">
        <f t="shared" si="68"/>
        <v>923.08</v>
      </c>
      <c r="AT150" s="354"/>
      <c r="AU150" s="355">
        <f>VLOOKUP(BW150,hr.个税累计数据!C:DS,121,0)</f>
        <v>923.08</v>
      </c>
      <c r="AV150" s="348">
        <f>IF(AU150-5000*N150-VLOOKUP(A150,hr.个税累计数据!C:DT,122,0)-VLOOKUP(A150,hr.个税累计数据!C:DU,123,0)&gt;0,AU150-5000*N150-VLOOKUP(A150,hr.个税累计数据!C:DT,122,0)-VLOOKUP(A150,hr.个税累计数据!C:DU,123,0),0)</f>
        <v>0</v>
      </c>
      <c r="AW150" s="348">
        <f>VLOOKUP(BW150,hr.个税累计数据!C:DV,124,0)</f>
        <v>0</v>
      </c>
      <c r="AX150" s="348"/>
      <c r="AY150" s="349" cm="1">
        <f t="array" ref="AY150">IF(D150="国内不计税",0,IF(D150="正常计税",ROUND(MAX(AS150*{0.03,0.1,0.2,0.25,0.3,0.35,0.45}-{0,210,1410,2660,4410,7160,15160},0),2),IF(D150="外籍人",ROUND(MAX(AS150*{0.03,0.1,0.2,0.25,0.3,0.35,0.45}-{0,210,1410,2660,4410,7160,15160},0),2),ROUND(MAX((AS150-IF(AS150&lt;4000,800,AS150*0.2))*10%*{2,3,4}-1000*{0,2,7},0),2))))</f>
        <v>24.62</v>
      </c>
      <c r="AZ150" s="348">
        <f t="shared" si="81"/>
        <v>0</v>
      </c>
      <c r="BA150" s="348"/>
      <c r="BB150" s="348">
        <f t="shared" si="82"/>
        <v>898.46</v>
      </c>
      <c r="BC150" s="353"/>
      <c r="BD150" s="349">
        <f t="shared" si="83"/>
        <v>898.46</v>
      </c>
      <c r="BE150" s="356"/>
      <c r="BF150" s="348"/>
      <c r="BG150" s="348"/>
      <c r="BH150" s="348"/>
      <c r="BI150" s="348"/>
      <c r="BJ150" s="348"/>
      <c r="BK150" s="353"/>
      <c r="BL150" s="349">
        <f t="shared" si="84"/>
        <v>0</v>
      </c>
      <c r="BM150" s="354"/>
      <c r="BN150" s="350"/>
      <c r="BO150" s="350"/>
      <c r="BP150" s="350"/>
      <c r="BQ150" s="350"/>
      <c r="BR150" s="349"/>
      <c r="BS150" s="349">
        <f t="shared" si="85"/>
        <v>0</v>
      </c>
      <c r="BT150" s="357"/>
      <c r="BU150" s="357"/>
      <c r="BV150" s="358"/>
      <c r="BW150" s="359" t="str">
        <f t="shared" si="86"/>
        <v>弈工分健康韦兆斌</v>
      </c>
      <c r="BX150" s="360" t="s">
        <v>258</v>
      </c>
      <c r="BY150" s="360" t="s">
        <v>366</v>
      </c>
      <c r="BZ150" s="360"/>
      <c r="CA150" s="360" t="str">
        <f>VLOOKUP(A150,hr.个税累计数据!C:C,1,0)</f>
        <v>弈工分健康韦兆斌</v>
      </c>
      <c r="CB150" s="360" t="s">
        <v>561</v>
      </c>
      <c r="CC150" s="360" t="s">
        <v>466</v>
      </c>
      <c r="CD150" s="243" t="b">
        <f t="shared" si="87"/>
        <v>1</v>
      </c>
    </row>
    <row r="151" s="243" customFormat="1" ht="23" hidden="1" customHeight="1" spans="1:82">
      <c r="A151" s="343" t="str">
        <f t="shared" ref="A151:A159" si="88">C151&amp;I151</f>
        <v>弈工分信息王力</v>
      </c>
      <c r="B151" s="343" t="s">
        <v>49</v>
      </c>
      <c r="C151" s="343" t="s">
        <v>72</v>
      </c>
      <c r="D151" s="343" t="s">
        <v>252</v>
      </c>
      <c r="E151" s="344" t="s">
        <v>49</v>
      </c>
      <c r="F151" s="343" t="s">
        <v>383</v>
      </c>
      <c r="G151" s="343" t="s">
        <v>384</v>
      </c>
      <c r="H151" s="343" t="s">
        <v>569</v>
      </c>
      <c r="I151" s="343" t="s">
        <v>569</v>
      </c>
      <c r="J151" s="343" t="s">
        <v>257</v>
      </c>
      <c r="K151" s="345">
        <f t="shared" ref="K151:K159" si="89">AC151+BL151</f>
        <v>16380.75</v>
      </c>
      <c r="L151" s="346">
        <f t="shared" ref="L151:L159" si="90">AC151-AM151-AX151-AY151+SUM(AZ151:BA151)</f>
        <v>11914.21</v>
      </c>
      <c r="M151" s="362"/>
      <c r="N151" s="347">
        <v>6</v>
      </c>
      <c r="O151" s="361">
        <v>13310</v>
      </c>
      <c r="P151" s="348"/>
      <c r="Q151" s="348">
        <f>VLOOKUP(I151,考勤调整记录!I:W,15,0)</f>
        <v>-1193.31</v>
      </c>
      <c r="R151" s="348"/>
      <c r="S151" s="348">
        <v>267.4</v>
      </c>
      <c r="T151" s="348"/>
      <c r="U151" s="349">
        <f t="shared" si="65"/>
        <v>12384.09</v>
      </c>
      <c r="V151" s="350"/>
      <c r="W151" s="350">
        <v>487.44</v>
      </c>
      <c r="X151" s="350"/>
      <c r="Y151" s="350">
        <f>300/4</f>
        <v>75</v>
      </c>
      <c r="Z151" s="350">
        <v>1000</v>
      </c>
      <c r="AA151" s="350"/>
      <c r="AB151" s="350"/>
      <c r="AC151" s="349">
        <f t="shared" ref="AC151:AC159" si="91">SUM(O151:T151)+SUM(V151:AB151)</f>
        <v>13946.53</v>
      </c>
      <c r="AD151" s="351"/>
      <c r="AE151" s="352">
        <v>202606</v>
      </c>
      <c r="AF151" s="348">
        <f>VLOOKUP(BW151,'HR|社保明细'!C:F,4,0)</f>
        <v>7460</v>
      </c>
      <c r="AG151" s="348">
        <f>VLOOKUP($BW151,'HR|社保明细'!$C:G,5,0)</f>
        <v>7384</v>
      </c>
      <c r="AH151" s="348">
        <f>VLOOKUP($BW151,'HR|社保明细'!$C:H,6,0)</f>
        <v>596.8</v>
      </c>
      <c r="AI151" s="348">
        <f>VLOOKUP($BW151,'HR|社保明细'!$C:I,7,0)</f>
        <v>149.2</v>
      </c>
      <c r="AJ151" s="348">
        <f>VLOOKUP($BW151,'HR|社保明细'!$C:J,8,0)</f>
        <v>37.3</v>
      </c>
      <c r="AK151" s="348">
        <f>VLOOKUP($BW151,'HR|社保明细'!$C:K,9,0)</f>
        <v>517</v>
      </c>
      <c r="AL151" s="353">
        <f>VLOOKUP($BW151,'HR|社保明细'!$C:L,10,0)</f>
        <v>0</v>
      </c>
      <c r="AM151" s="349">
        <f>SUM(AH151:AL151)</f>
        <v>1300.3</v>
      </c>
      <c r="AN151" s="348"/>
      <c r="AO151" s="348"/>
      <c r="AP151" s="348"/>
      <c r="AQ151" s="348">
        <v>3000</v>
      </c>
      <c r="AR151" s="348"/>
      <c r="AS151" s="348">
        <f t="shared" si="68"/>
        <v>9646.23</v>
      </c>
      <c r="AT151" s="354"/>
      <c r="AU151" s="355">
        <f>VLOOKUP(BW151,hr.个税累计数据!C:DS,121,0)</f>
        <v>100195.82</v>
      </c>
      <c r="AV151" s="348">
        <f>IF(AU151-5000*N151-VLOOKUP(A151,hr.个税累计数据!C:DT,122,0)-VLOOKUP(A151,hr.个税累计数据!C:DU,123,0)&gt;0,AU151-5000*N151-VLOOKUP(A151,hr.个税累计数据!C:DT,122,0)-VLOOKUP(A151,hr.个税累计数据!C:DU,123,0),0)</f>
        <v>44394.02</v>
      </c>
      <c r="AW151" s="348">
        <f>VLOOKUP(BW151,hr.个税累计数据!C:DV,124,0)</f>
        <v>1454.78</v>
      </c>
      <c r="AX151" s="348"/>
      <c r="AY151" s="349">
        <f>IF(ROUND(MAX(AV151*{0.03,0.1,0.2,0.25,0.3,0.35,0.45}-{0,210,1410,2660,4410,7160,15160}*12)-AW151,2)&lt;=0,0,ROUND(MAX(AV151*{0.03,0.1,0.2,0.25,0.3,0.35,0.45}-{0,210,1410,2660,4410,7160,15160}*12)-AW151,2))</f>
        <v>464.62</v>
      </c>
      <c r="AZ151" s="348">
        <f t="shared" ref="AZ151:AZ159" si="92">-S151</f>
        <v>-267.4</v>
      </c>
      <c r="BA151" s="348"/>
      <c r="BB151" s="348">
        <f t="shared" ref="BB151:BB159" si="93">AC151-AM151-AY151-AX151+SUM(AZ151:BA151)</f>
        <v>11914.21</v>
      </c>
      <c r="BC151" s="353"/>
      <c r="BD151" s="349">
        <f t="shared" ref="BD151:BD159" si="94">AC151-AM151-AX151-AY151+SUM(AZ151:BA151)</f>
        <v>11914.21</v>
      </c>
      <c r="BE151" s="356">
        <f>VLOOKUP($BW151,'HR|社保明细'!C:T,11,0)</f>
        <v>1193.6</v>
      </c>
      <c r="BF151" s="348">
        <f>VLOOKUP($BW151,'HR|社保明细'!$C:U,12,0)</f>
        <v>596.8</v>
      </c>
      <c r="BG151" s="348">
        <f>VLOOKUP($BW151,'HR|社保明细'!$C:V,13,0)</f>
        <v>37.3</v>
      </c>
      <c r="BH151" s="348">
        <f>VLOOKUP($BW151,'HR|社保明细'!$C:W,14,0)</f>
        <v>14.92</v>
      </c>
      <c r="BI151" s="348">
        <f>VLOOKUP($BW151,'HR|社保明细'!$C:X,15,0)</f>
        <v>74.6</v>
      </c>
      <c r="BJ151" s="348">
        <f>VLOOKUP($BW151,'HR|社保明细'!$C:Y,16,0)</f>
        <v>517</v>
      </c>
      <c r="BK151" s="353">
        <f>VLOOKUP($BW151,'HR|社保明细'!$C:Z,17,0)</f>
        <v>0</v>
      </c>
      <c r="BL151" s="349">
        <f t="shared" ref="BL151:BL159" si="95">SUM(BE151:BK151)</f>
        <v>2434.22</v>
      </c>
      <c r="BM151" s="354"/>
      <c r="BN151" s="350"/>
      <c r="BO151" s="350"/>
      <c r="BP151" s="350"/>
      <c r="BQ151" s="350"/>
      <c r="BR151" s="349">
        <f>SUM(BN151:BQ151)</f>
        <v>0</v>
      </c>
      <c r="BS151" s="349">
        <f t="shared" ref="BS151:BS159" si="96">SUM(V151:AB151)</f>
        <v>1562.44</v>
      </c>
      <c r="BT151" s="357">
        <v>1250</v>
      </c>
      <c r="BU151" s="357"/>
      <c r="BV151" s="358"/>
      <c r="BW151" s="359" t="str">
        <f t="shared" ref="BW151:BW159" si="97">C151&amp;I151</f>
        <v>弈工分信息王力</v>
      </c>
      <c r="BX151" s="360"/>
      <c r="BY151" s="360" t="s">
        <v>273</v>
      </c>
      <c r="BZ151" s="360" t="s">
        <v>48</v>
      </c>
      <c r="CA151" s="360" t="str">
        <f>VLOOKUP(A151,hr.个税累计数据!C:C,1,0)</f>
        <v>弈工分信息王力</v>
      </c>
      <c r="CB151" s="360" t="s">
        <v>570</v>
      </c>
      <c r="CC151" s="360" t="s">
        <v>273</v>
      </c>
      <c r="CD151" s="243" t="b">
        <f t="shared" ref="CD151:CD159" si="98">H151=I151</f>
        <v>1</v>
      </c>
    </row>
    <row r="152" s="243" customFormat="1" ht="23" hidden="1" customHeight="1" spans="1:82">
      <c r="A152" s="343" t="str">
        <f t="shared" si="88"/>
        <v>弈工分信息翟建设</v>
      </c>
      <c r="B152" s="343" t="s">
        <v>52</v>
      </c>
      <c r="C152" s="343" t="s">
        <v>72</v>
      </c>
      <c r="D152" s="343" t="s">
        <v>252</v>
      </c>
      <c r="E152" s="344" t="s">
        <v>52</v>
      </c>
      <c r="F152" s="343" t="s">
        <v>380</v>
      </c>
      <c r="G152" s="343" t="s">
        <v>366</v>
      </c>
      <c r="H152" s="343" t="s">
        <v>571</v>
      </c>
      <c r="I152" s="343" t="s">
        <v>571</v>
      </c>
      <c r="J152" s="343" t="s">
        <v>257</v>
      </c>
      <c r="K152" s="345">
        <f t="shared" si="89"/>
        <v>4300</v>
      </c>
      <c r="L152" s="346">
        <f t="shared" si="90"/>
        <v>4300</v>
      </c>
      <c r="M152" s="362"/>
      <c r="N152" s="347">
        <v>6</v>
      </c>
      <c r="O152" s="361">
        <v>4000</v>
      </c>
      <c r="P152" s="348"/>
      <c r="Q152" s="348">
        <f>VLOOKUP(I152,考勤调整记录!I:W,15,0)</f>
        <v>0</v>
      </c>
      <c r="R152" s="348"/>
      <c r="S152" s="348"/>
      <c r="T152" s="348"/>
      <c r="U152" s="349">
        <f t="shared" si="65"/>
        <v>4000</v>
      </c>
      <c r="V152" s="350"/>
      <c r="W152" s="350"/>
      <c r="X152" s="350"/>
      <c r="Y152" s="350">
        <v>300</v>
      </c>
      <c r="Z152" s="350"/>
      <c r="AA152" s="350"/>
      <c r="AB152" s="350"/>
      <c r="AC152" s="349">
        <f t="shared" si="91"/>
        <v>4300</v>
      </c>
      <c r="AD152" s="351"/>
      <c r="AE152" s="352">
        <v>202606</v>
      </c>
      <c r="AF152" s="348"/>
      <c r="AG152" s="348"/>
      <c r="AH152" s="348"/>
      <c r="AI152" s="348"/>
      <c r="AJ152" s="348"/>
      <c r="AK152" s="348"/>
      <c r="AL152" s="353"/>
      <c r="AM152" s="349"/>
      <c r="AN152" s="348"/>
      <c r="AO152" s="348"/>
      <c r="AP152" s="348"/>
      <c r="AQ152" s="348"/>
      <c r="AR152" s="348"/>
      <c r="AS152" s="348">
        <f t="shared" si="68"/>
        <v>4300</v>
      </c>
      <c r="AT152" s="354"/>
      <c r="AU152" s="355">
        <f>VLOOKUP(BW152,hr.个税累计数据!C:DS,121,0)</f>
        <v>25861.55</v>
      </c>
      <c r="AV152" s="348"/>
      <c r="AW152" s="348"/>
      <c r="AX152" s="348"/>
      <c r="AY152" s="349"/>
      <c r="AZ152" s="348">
        <f t="shared" si="92"/>
        <v>0</v>
      </c>
      <c r="BA152" s="348"/>
      <c r="BB152" s="348">
        <f t="shared" si="93"/>
        <v>4300</v>
      </c>
      <c r="BC152" s="353"/>
      <c r="BD152" s="349">
        <f t="shared" si="94"/>
        <v>4300</v>
      </c>
      <c r="BE152" s="356"/>
      <c r="BF152" s="348"/>
      <c r="BG152" s="348"/>
      <c r="BH152" s="348"/>
      <c r="BI152" s="348"/>
      <c r="BJ152" s="348"/>
      <c r="BK152" s="353"/>
      <c r="BL152" s="349">
        <f t="shared" si="95"/>
        <v>0</v>
      </c>
      <c r="BM152" s="354"/>
      <c r="BN152" s="350"/>
      <c r="BO152" s="350"/>
      <c r="BP152" s="350"/>
      <c r="BQ152" s="350"/>
      <c r="BR152" s="349"/>
      <c r="BS152" s="349">
        <f t="shared" si="96"/>
        <v>300</v>
      </c>
      <c r="BT152" s="357">
        <v>1250</v>
      </c>
      <c r="BU152" s="357"/>
      <c r="BV152" s="358"/>
      <c r="BW152" s="359" t="str">
        <f t="shared" si="97"/>
        <v>弈工分信息翟建设</v>
      </c>
      <c r="BX152" s="360" t="s">
        <v>258</v>
      </c>
      <c r="BY152" s="360" t="s">
        <v>366</v>
      </c>
      <c r="BZ152" s="360"/>
      <c r="CA152" s="360" t="str">
        <f>VLOOKUP(A152,hr.个税累计数据!C:C,1,0)</f>
        <v>弈工分信息翟建设</v>
      </c>
      <c r="CB152" s="360" t="s">
        <v>572</v>
      </c>
      <c r="CC152" s="360" t="s">
        <v>466</v>
      </c>
      <c r="CD152" s="243" t="b">
        <f t="shared" si="98"/>
        <v>1</v>
      </c>
    </row>
    <row r="153" s="243" customFormat="1" ht="23" hidden="1" customHeight="1" spans="1:82">
      <c r="A153" s="343" t="str">
        <f t="shared" si="88"/>
        <v>弈工分信息徐培珍</v>
      </c>
      <c r="B153" s="343" t="s">
        <v>52</v>
      </c>
      <c r="C153" s="343" t="s">
        <v>72</v>
      </c>
      <c r="D153" s="343" t="s">
        <v>252</v>
      </c>
      <c r="E153" s="344" t="s">
        <v>52</v>
      </c>
      <c r="F153" s="343" t="s">
        <v>380</v>
      </c>
      <c r="G153" s="343" t="s">
        <v>366</v>
      </c>
      <c r="H153" s="343" t="s">
        <v>573</v>
      </c>
      <c r="I153" s="343" t="s">
        <v>573</v>
      </c>
      <c r="J153" s="343" t="s">
        <v>257</v>
      </c>
      <c r="K153" s="345">
        <f t="shared" si="89"/>
        <v>4200</v>
      </c>
      <c r="L153" s="346">
        <f t="shared" si="90"/>
        <v>4200</v>
      </c>
      <c r="M153" s="362"/>
      <c r="N153" s="347">
        <v>6</v>
      </c>
      <c r="O153" s="361">
        <v>4000</v>
      </c>
      <c r="P153" s="348"/>
      <c r="Q153" s="348">
        <f>VLOOKUP(I153,考勤调整记录!I:W,15,0)</f>
        <v>200</v>
      </c>
      <c r="R153" s="348"/>
      <c r="S153" s="348"/>
      <c r="T153" s="348"/>
      <c r="U153" s="349">
        <f t="shared" si="65"/>
        <v>4200</v>
      </c>
      <c r="V153" s="350"/>
      <c r="W153" s="350"/>
      <c r="X153" s="350"/>
      <c r="Y153" s="350"/>
      <c r="Z153" s="350"/>
      <c r="AA153" s="350"/>
      <c r="AB153" s="350"/>
      <c r="AC153" s="349">
        <f t="shared" si="91"/>
        <v>4200</v>
      </c>
      <c r="AD153" s="351"/>
      <c r="AE153" s="352">
        <v>202606</v>
      </c>
      <c r="AF153" s="348"/>
      <c r="AG153" s="348"/>
      <c r="AH153" s="348"/>
      <c r="AI153" s="348"/>
      <c r="AJ153" s="348"/>
      <c r="AK153" s="348"/>
      <c r="AL153" s="353"/>
      <c r="AM153" s="349"/>
      <c r="AN153" s="348"/>
      <c r="AO153" s="348"/>
      <c r="AP153" s="348"/>
      <c r="AQ153" s="348"/>
      <c r="AR153" s="348"/>
      <c r="AS153" s="348">
        <f t="shared" si="68"/>
        <v>4200</v>
      </c>
      <c r="AT153" s="354"/>
      <c r="AU153" s="355">
        <f>VLOOKUP(BW153,hr.个税累计数据!C:DS,121,0)</f>
        <v>24800</v>
      </c>
      <c r="AV153" s="348"/>
      <c r="AW153" s="348"/>
      <c r="AX153" s="348"/>
      <c r="AY153" s="349"/>
      <c r="AZ153" s="348">
        <f t="shared" si="92"/>
        <v>0</v>
      </c>
      <c r="BA153" s="348"/>
      <c r="BB153" s="348">
        <f t="shared" si="93"/>
        <v>4200</v>
      </c>
      <c r="BC153" s="353"/>
      <c r="BD153" s="349">
        <f t="shared" si="94"/>
        <v>4200</v>
      </c>
      <c r="BE153" s="356"/>
      <c r="BF153" s="348"/>
      <c r="BG153" s="348"/>
      <c r="BH153" s="348"/>
      <c r="BI153" s="348"/>
      <c r="BJ153" s="348"/>
      <c r="BK153" s="353"/>
      <c r="BL153" s="349">
        <f t="shared" si="95"/>
        <v>0</v>
      </c>
      <c r="BM153" s="354"/>
      <c r="BN153" s="350"/>
      <c r="BO153" s="350"/>
      <c r="BP153" s="350"/>
      <c r="BQ153" s="350"/>
      <c r="BR153" s="349"/>
      <c r="BS153" s="349">
        <f t="shared" si="96"/>
        <v>0</v>
      </c>
      <c r="BT153" s="357">
        <v>1250</v>
      </c>
      <c r="BU153" s="357"/>
      <c r="BV153" s="358"/>
      <c r="BW153" s="359" t="str">
        <f t="shared" si="97"/>
        <v>弈工分信息徐培珍</v>
      </c>
      <c r="BX153" s="360" t="s">
        <v>258</v>
      </c>
      <c r="BY153" s="360" t="s">
        <v>366</v>
      </c>
      <c r="BZ153" s="360"/>
      <c r="CA153" s="360" t="str">
        <f>VLOOKUP(A153,hr.个税累计数据!C:C,1,0)</f>
        <v>弈工分信息徐培珍</v>
      </c>
      <c r="CB153" s="360" t="s">
        <v>574</v>
      </c>
      <c r="CC153" s="360" t="s">
        <v>466</v>
      </c>
      <c r="CD153" s="243" t="b">
        <f t="shared" si="98"/>
        <v>1</v>
      </c>
    </row>
    <row r="154" s="243" customFormat="1" ht="23" hidden="1" customHeight="1" spans="1:82">
      <c r="A154" s="343" t="str">
        <f t="shared" si="88"/>
        <v>弈工分健康施玉芹</v>
      </c>
      <c r="B154" s="343" t="s">
        <v>52</v>
      </c>
      <c r="C154" s="343" t="s">
        <v>73</v>
      </c>
      <c r="D154" s="343" t="s">
        <v>252</v>
      </c>
      <c r="E154" s="344" t="s">
        <v>52</v>
      </c>
      <c r="F154" s="343" t="s">
        <v>380</v>
      </c>
      <c r="G154" s="343" t="s">
        <v>366</v>
      </c>
      <c r="H154" s="343" t="s">
        <v>575</v>
      </c>
      <c r="I154" s="343" t="s">
        <v>575</v>
      </c>
      <c r="J154" s="343" t="s">
        <v>257</v>
      </c>
      <c r="K154" s="345">
        <f t="shared" si="89"/>
        <v>5306.54</v>
      </c>
      <c r="L154" s="346">
        <f t="shared" si="90"/>
        <v>5306.54</v>
      </c>
      <c r="M154" s="362"/>
      <c r="N154" s="347">
        <v>6</v>
      </c>
      <c r="O154" s="361">
        <v>4000</v>
      </c>
      <c r="P154" s="348"/>
      <c r="Q154" s="348">
        <f>VLOOKUP(I154,考勤调整记录!I:W,15,0)</f>
        <v>661.54</v>
      </c>
      <c r="R154" s="348"/>
      <c r="S154" s="348"/>
      <c r="T154" s="348"/>
      <c r="U154" s="349">
        <f t="shared" si="65"/>
        <v>4661.54</v>
      </c>
      <c r="V154" s="350"/>
      <c r="W154" s="350"/>
      <c r="X154" s="350"/>
      <c r="Y154" s="350"/>
      <c r="Z154" s="350"/>
      <c r="AA154" s="350"/>
      <c r="AB154" s="350">
        <v>645</v>
      </c>
      <c r="AC154" s="349">
        <f t="shared" si="91"/>
        <v>5306.54</v>
      </c>
      <c r="AD154" s="351"/>
      <c r="AE154" s="352">
        <v>202606</v>
      </c>
      <c r="AF154" s="348"/>
      <c r="AG154" s="348"/>
      <c r="AH154" s="348"/>
      <c r="AI154" s="348"/>
      <c r="AJ154" s="348"/>
      <c r="AK154" s="348"/>
      <c r="AL154" s="353"/>
      <c r="AM154" s="349"/>
      <c r="AN154" s="348"/>
      <c r="AO154" s="348"/>
      <c r="AP154" s="348"/>
      <c r="AQ154" s="348"/>
      <c r="AR154" s="348"/>
      <c r="AS154" s="348">
        <f t="shared" si="68"/>
        <v>5306.54</v>
      </c>
      <c r="AT154" s="354"/>
      <c r="AU154" s="355">
        <f>VLOOKUP(BW154,hr.个税累计数据!C:DS,121,0)</f>
        <v>25760.01</v>
      </c>
      <c r="AV154" s="348">
        <f>IF(AU154-5000*N154-VLOOKUP(A154,hr.个税累计数据!C:DT,122,0)-VLOOKUP(A154,hr.个税累计数据!C:DU,123,0)&gt;0,AU154-5000*N154-VLOOKUP(A154,hr.个税累计数据!C:DT,122,0)-VLOOKUP(A154,hr.个税累计数据!C:DU,123,0),0)</f>
        <v>0</v>
      </c>
      <c r="AW154" s="348">
        <f>VLOOKUP(BW154,hr.个税累计数据!C:DV,124,0)</f>
        <v>0</v>
      </c>
      <c r="AX154" s="348"/>
      <c r="AY154" s="349">
        <f>IF(ROUND(MAX(AV154*{0.03,0.1,0.2,0.25,0.3,0.35,0.45}-{0,210,1410,2660,4410,7160,15160}*12)-AW154,2)&lt;=0,0,ROUND(MAX(AV154*{0.03,0.1,0.2,0.25,0.3,0.35,0.45}-{0,210,1410,2660,4410,7160,15160}*12)-AW154,2))</f>
        <v>0</v>
      </c>
      <c r="AZ154" s="348">
        <f t="shared" si="92"/>
        <v>0</v>
      </c>
      <c r="BA154" s="348"/>
      <c r="BB154" s="348">
        <f t="shared" si="93"/>
        <v>5306.54</v>
      </c>
      <c r="BC154" s="353"/>
      <c r="BD154" s="349">
        <f t="shared" si="94"/>
        <v>5306.54</v>
      </c>
      <c r="BE154" s="356"/>
      <c r="BF154" s="348"/>
      <c r="BG154" s="348"/>
      <c r="BH154" s="348"/>
      <c r="BI154" s="348"/>
      <c r="BJ154" s="348"/>
      <c r="BK154" s="353"/>
      <c r="BL154" s="349">
        <f t="shared" si="95"/>
        <v>0</v>
      </c>
      <c r="BM154" s="354"/>
      <c r="BN154" s="350"/>
      <c r="BO154" s="350"/>
      <c r="BP154" s="350"/>
      <c r="BQ154" s="350"/>
      <c r="BR154" s="349"/>
      <c r="BS154" s="349">
        <f t="shared" si="96"/>
        <v>645</v>
      </c>
      <c r="BT154" s="357">
        <v>1250</v>
      </c>
      <c r="BU154" s="357"/>
      <c r="BV154" s="358"/>
      <c r="BW154" s="359" t="str">
        <f t="shared" si="97"/>
        <v>弈工分健康施玉芹</v>
      </c>
      <c r="BX154" s="360" t="s">
        <v>258</v>
      </c>
      <c r="BY154" s="360" t="s">
        <v>366</v>
      </c>
      <c r="BZ154" s="360"/>
      <c r="CA154" s="360" t="str">
        <f>VLOOKUP(A154,hr.个税累计数据!C:C,1,0)</f>
        <v>弈工分健康施玉芹</v>
      </c>
      <c r="CB154" s="360" t="s">
        <v>561</v>
      </c>
      <c r="CC154" s="360" t="s">
        <v>466</v>
      </c>
      <c r="CD154" s="243" t="b">
        <f t="shared" si="98"/>
        <v>1</v>
      </c>
    </row>
    <row r="155" s="243" customFormat="1" ht="23" hidden="1" customHeight="1" spans="1:82">
      <c r="A155" s="343" t="str">
        <f t="shared" si="88"/>
        <v>弈工分健康刘顺兰</v>
      </c>
      <c r="B155" s="343" t="s">
        <v>43</v>
      </c>
      <c r="C155" s="343" t="s">
        <v>73</v>
      </c>
      <c r="D155" s="343" t="s">
        <v>252</v>
      </c>
      <c r="E155" s="344" t="s">
        <v>359</v>
      </c>
      <c r="F155" s="343" t="s">
        <v>380</v>
      </c>
      <c r="G155" s="343" t="s">
        <v>366</v>
      </c>
      <c r="H155" s="343" t="s">
        <v>576</v>
      </c>
      <c r="I155" s="343" t="s">
        <v>576</v>
      </c>
      <c r="J155" s="343" t="s">
        <v>257</v>
      </c>
      <c r="K155" s="345">
        <f t="shared" si="89"/>
        <v>4000</v>
      </c>
      <c r="L155" s="346">
        <f t="shared" si="90"/>
        <v>4000</v>
      </c>
      <c r="M155" s="362"/>
      <c r="N155" s="347">
        <v>2</v>
      </c>
      <c r="O155" s="361">
        <v>4000</v>
      </c>
      <c r="P155" s="348"/>
      <c r="Q155" s="348">
        <f>VLOOKUP(I155,考勤调整记录!I:W,15,0)</f>
        <v>0</v>
      </c>
      <c r="R155" s="348"/>
      <c r="S155" s="348"/>
      <c r="T155" s="348"/>
      <c r="U155" s="349">
        <f t="shared" si="65"/>
        <v>4000</v>
      </c>
      <c r="V155" s="350"/>
      <c r="W155" s="350"/>
      <c r="X155" s="350"/>
      <c r="Y155" s="350"/>
      <c r="Z155" s="350"/>
      <c r="AA155" s="350"/>
      <c r="AB155" s="350"/>
      <c r="AC155" s="349">
        <f t="shared" si="91"/>
        <v>4000</v>
      </c>
      <c r="AD155" s="351"/>
      <c r="AE155" s="352">
        <v>202606</v>
      </c>
      <c r="AF155" s="348"/>
      <c r="AG155" s="348"/>
      <c r="AH155" s="348"/>
      <c r="AI155" s="348"/>
      <c r="AJ155" s="348"/>
      <c r="AK155" s="348"/>
      <c r="AL155" s="353"/>
      <c r="AM155" s="349"/>
      <c r="AN155" s="348"/>
      <c r="AO155" s="348"/>
      <c r="AP155" s="348"/>
      <c r="AQ155" s="348"/>
      <c r="AR155" s="348"/>
      <c r="AS155" s="348">
        <f t="shared" si="68"/>
        <v>4000</v>
      </c>
      <c r="AT155" s="354"/>
      <c r="AU155" s="355">
        <f>VLOOKUP(BW155,hr.个税累计数据!C:DS,121,0)</f>
        <v>7384.62</v>
      </c>
      <c r="AV155" s="348"/>
      <c r="AW155" s="348"/>
      <c r="AX155" s="348"/>
      <c r="AY155" s="349"/>
      <c r="AZ155" s="348">
        <f t="shared" si="92"/>
        <v>0</v>
      </c>
      <c r="BA155" s="348"/>
      <c r="BB155" s="348">
        <f t="shared" si="93"/>
        <v>4000</v>
      </c>
      <c r="BC155" s="353"/>
      <c r="BD155" s="349">
        <f t="shared" si="94"/>
        <v>4000</v>
      </c>
      <c r="BE155" s="356"/>
      <c r="BF155" s="348"/>
      <c r="BG155" s="348"/>
      <c r="BH155" s="348"/>
      <c r="BI155" s="348"/>
      <c r="BJ155" s="348"/>
      <c r="BK155" s="353"/>
      <c r="BL155" s="349">
        <f t="shared" si="95"/>
        <v>0</v>
      </c>
      <c r="BM155" s="354"/>
      <c r="BN155" s="350"/>
      <c r="BO155" s="350"/>
      <c r="BP155" s="350"/>
      <c r="BQ155" s="350"/>
      <c r="BR155" s="349"/>
      <c r="BS155" s="349">
        <f t="shared" si="96"/>
        <v>0</v>
      </c>
      <c r="BT155" s="357">
        <v>1250</v>
      </c>
      <c r="BU155" s="357"/>
      <c r="BV155" s="358"/>
      <c r="BW155" s="359" t="str">
        <f t="shared" si="97"/>
        <v>弈工分健康刘顺兰</v>
      </c>
      <c r="BX155" s="360" t="s">
        <v>258</v>
      </c>
      <c r="BY155" s="360" t="s">
        <v>366</v>
      </c>
      <c r="BZ155" s="360"/>
      <c r="CA155" s="360" t="str">
        <f>VLOOKUP(A155,hr.个税累计数据!C:C,1,0)</f>
        <v>弈工分健康刘顺兰</v>
      </c>
      <c r="CB155" s="360" t="s">
        <v>561</v>
      </c>
      <c r="CC155" s="360" t="s">
        <v>466</v>
      </c>
      <c r="CD155" s="243" t="b">
        <f t="shared" si="98"/>
        <v>1</v>
      </c>
    </row>
    <row r="156" s="243" customFormat="1" ht="23" hidden="1" customHeight="1" spans="1:82">
      <c r="A156" s="343" t="str">
        <f t="shared" si="88"/>
        <v>弈工分信息于爱丽</v>
      </c>
      <c r="B156" s="343" t="s">
        <v>52</v>
      </c>
      <c r="C156" s="343" t="s">
        <v>72</v>
      </c>
      <c r="D156" s="343" t="s">
        <v>252</v>
      </c>
      <c r="E156" s="344" t="s">
        <v>52</v>
      </c>
      <c r="F156" s="343" t="s">
        <v>380</v>
      </c>
      <c r="G156" s="343" t="s">
        <v>366</v>
      </c>
      <c r="H156" s="343" t="s">
        <v>577</v>
      </c>
      <c r="I156" s="343" t="s">
        <v>577</v>
      </c>
      <c r="J156" s="343" t="s">
        <v>257</v>
      </c>
      <c r="K156" s="345">
        <f t="shared" si="89"/>
        <v>1538.46</v>
      </c>
      <c r="L156" s="346">
        <f t="shared" si="90"/>
        <v>1538.46</v>
      </c>
      <c r="M156" s="362"/>
      <c r="N156" s="347">
        <v>6</v>
      </c>
      <c r="O156" s="361">
        <v>4000</v>
      </c>
      <c r="P156" s="348"/>
      <c r="Q156" s="348">
        <f>VLOOKUP(I156,考勤调整记录!I:W,15,0)</f>
        <v>-2461.54</v>
      </c>
      <c r="R156" s="348"/>
      <c r="S156" s="348"/>
      <c r="T156" s="348"/>
      <c r="U156" s="349">
        <f t="shared" si="65"/>
        <v>1538.46</v>
      </c>
      <c r="V156" s="350"/>
      <c r="W156" s="350"/>
      <c r="X156" s="350"/>
      <c r="Y156" s="350"/>
      <c r="Z156" s="350"/>
      <c r="AA156" s="350"/>
      <c r="AB156" s="350"/>
      <c r="AC156" s="349">
        <f t="shared" si="91"/>
        <v>1538.46</v>
      </c>
      <c r="AD156" s="351"/>
      <c r="AE156" s="352">
        <v>202606</v>
      </c>
      <c r="AF156" s="348"/>
      <c r="AG156" s="348"/>
      <c r="AH156" s="348"/>
      <c r="AI156" s="348"/>
      <c r="AJ156" s="348"/>
      <c r="AK156" s="348"/>
      <c r="AL156" s="353"/>
      <c r="AM156" s="349"/>
      <c r="AN156" s="348"/>
      <c r="AO156" s="348"/>
      <c r="AP156" s="348"/>
      <c r="AQ156" s="348"/>
      <c r="AR156" s="348"/>
      <c r="AS156" s="348">
        <f t="shared" si="68"/>
        <v>1538.46</v>
      </c>
      <c r="AT156" s="354"/>
      <c r="AU156" s="355">
        <f>VLOOKUP(BW156,hr.个税累计数据!C:DS,121,0)</f>
        <v>22846.16</v>
      </c>
      <c r="AV156" s="348"/>
      <c r="AW156" s="348"/>
      <c r="AX156" s="348"/>
      <c r="AY156" s="349">
        <f>IF(ROUND(MAX(AV156*{0.03,0.1,0.2,0.25,0.3,0.35,0.45}-{0,210,1410,2660,4410,7160,15160}*12)-AW156,2)&lt;=0,0,ROUND(MAX(AV156*{0.03,0.1,0.2,0.25,0.3,0.35,0.45}-{0,210,1410,2660,4410,7160,15160}*12)-AW156,2))</f>
        <v>0</v>
      </c>
      <c r="AZ156" s="348">
        <f t="shared" si="92"/>
        <v>0</v>
      </c>
      <c r="BA156" s="348"/>
      <c r="BB156" s="348">
        <f t="shared" si="93"/>
        <v>1538.46</v>
      </c>
      <c r="BC156" s="353"/>
      <c r="BD156" s="349">
        <f t="shared" si="94"/>
        <v>1538.46</v>
      </c>
      <c r="BE156" s="356"/>
      <c r="BF156" s="348"/>
      <c r="BG156" s="348"/>
      <c r="BH156" s="348"/>
      <c r="BI156" s="348"/>
      <c r="BJ156" s="348"/>
      <c r="BK156" s="353"/>
      <c r="BL156" s="349">
        <f t="shared" si="95"/>
        <v>0</v>
      </c>
      <c r="BM156" s="354"/>
      <c r="BN156" s="350"/>
      <c r="BO156" s="350"/>
      <c r="BP156" s="350"/>
      <c r="BQ156" s="350"/>
      <c r="BR156" s="349"/>
      <c r="BS156" s="349">
        <f t="shared" si="96"/>
        <v>0</v>
      </c>
      <c r="BT156" s="357">
        <v>1250</v>
      </c>
      <c r="BU156" s="357"/>
      <c r="BV156" s="358"/>
      <c r="BW156" s="359" t="str">
        <f t="shared" si="97"/>
        <v>弈工分信息于爱丽</v>
      </c>
      <c r="BX156" s="360" t="s">
        <v>258</v>
      </c>
      <c r="BY156" s="360" t="s">
        <v>366</v>
      </c>
      <c r="BZ156" s="360"/>
      <c r="CA156" s="360" t="str">
        <f>VLOOKUP(A156,hr.个税累计数据!C:C,1,0)</f>
        <v>弈工分信息于爱丽</v>
      </c>
      <c r="CB156" s="360" t="s">
        <v>578</v>
      </c>
      <c r="CC156" s="360" t="s">
        <v>466</v>
      </c>
      <c r="CD156" s="243" t="b">
        <f t="shared" si="98"/>
        <v>1</v>
      </c>
    </row>
    <row r="157" s="243" customFormat="1" ht="23" hidden="1" customHeight="1" spans="1:82">
      <c r="A157" s="343" t="str">
        <f t="shared" si="88"/>
        <v>弈享天津杜宪</v>
      </c>
      <c r="B157" s="343" t="s">
        <v>31</v>
      </c>
      <c r="C157" s="343" t="s">
        <v>65</v>
      </c>
      <c r="D157" s="343" t="s">
        <v>267</v>
      </c>
      <c r="E157" s="344" t="s">
        <v>268</v>
      </c>
      <c r="F157" s="343" t="s">
        <v>134</v>
      </c>
      <c r="G157" s="343" t="s">
        <v>269</v>
      </c>
      <c r="H157" s="343" t="s">
        <v>392</v>
      </c>
      <c r="I157" s="343" t="s">
        <v>392</v>
      </c>
      <c r="J157" s="343" t="s">
        <v>271</v>
      </c>
      <c r="K157" s="345">
        <f t="shared" si="89"/>
        <v>1000</v>
      </c>
      <c r="L157" s="346">
        <f t="shared" si="90"/>
        <v>960</v>
      </c>
      <c r="M157" s="362"/>
      <c r="N157" s="347">
        <v>6</v>
      </c>
      <c r="O157" s="361">
        <v>1000</v>
      </c>
      <c r="P157" s="348"/>
      <c r="Q157" s="348"/>
      <c r="R157" s="348"/>
      <c r="S157" s="348"/>
      <c r="T157" s="348"/>
      <c r="U157" s="349">
        <f t="shared" si="65"/>
        <v>1000</v>
      </c>
      <c r="V157" s="350"/>
      <c r="W157" s="350"/>
      <c r="X157" s="350"/>
      <c r="Y157" s="350"/>
      <c r="Z157" s="350"/>
      <c r="AA157" s="350"/>
      <c r="AB157" s="350"/>
      <c r="AC157" s="349">
        <f t="shared" si="91"/>
        <v>1000</v>
      </c>
      <c r="AD157" s="351"/>
      <c r="AE157" s="352">
        <v>202606</v>
      </c>
      <c r="AF157" s="348">
        <f>VLOOKUP(BW157,'HR|社保明细'!C:F,4,0)</f>
        <v>0</v>
      </c>
      <c r="AG157" s="348">
        <f>VLOOKUP($BW157,'HR|社保明细'!$C:G,5,0)</f>
        <v>0</v>
      </c>
      <c r="AH157" s="348">
        <f>VLOOKUP($BW157,'HR|社保明细'!$C:H,6,0)</f>
        <v>0</v>
      </c>
      <c r="AI157" s="348">
        <f>VLOOKUP($BW157,'HR|社保明细'!$C:I,7,0)</f>
        <v>0</v>
      </c>
      <c r="AJ157" s="348">
        <f>VLOOKUP($BW157,'HR|社保明细'!$C:J,8,0)</f>
        <v>0</v>
      </c>
      <c r="AK157" s="348">
        <f>VLOOKUP($BW157,'HR|社保明细'!$C:K,9,0)</f>
        <v>0</v>
      </c>
      <c r="AL157" s="353">
        <f>VLOOKUP($BW157,'HR|社保明细'!$C:L,10,0)</f>
        <v>0</v>
      </c>
      <c r="AM157" s="349">
        <f>SUM(AH157:AL157)</f>
        <v>0</v>
      </c>
      <c r="AN157" s="348"/>
      <c r="AO157" s="348"/>
      <c r="AP157" s="348"/>
      <c r="AQ157" s="348"/>
      <c r="AR157" s="348"/>
      <c r="AS157" s="348">
        <f t="shared" si="68"/>
        <v>1000</v>
      </c>
      <c r="AT157" s="354"/>
      <c r="AU157" s="355"/>
      <c r="AV157" s="348"/>
      <c r="AW157" s="348">
        <f>VLOOKUP(BW157,hr.个税累计数据!C:DV,124,0)</f>
        <v>200</v>
      </c>
      <c r="AX157" s="348"/>
      <c r="AY157" s="349">
        <f>IF(D157="国内不计税",0,IF(D157="正常计税",ROUND(MAX(AS157*{0.03,0.1,0.2,0.25,0.3,0.35,0.45}-{0,210,1410,2660,4410,7160,15160},0),2),IF(D157="外籍人",ROUND(MAX(AS157*{0.03,0.1,0.2,0.25,0.3,0.35,0.45}-{0,210,1410,2660,4410,7160,15160},0),2),ROUND(MAX((AS157-IF(AS157&lt;4000,800,AS157*0.2))*10%*{2,3,4}-1000*{0,2,7},0),2))))</f>
        <v>40</v>
      </c>
      <c r="AZ157" s="348">
        <f t="shared" si="92"/>
        <v>0</v>
      </c>
      <c r="BA157" s="348"/>
      <c r="BB157" s="348">
        <f t="shared" si="93"/>
        <v>960</v>
      </c>
      <c r="BC157" s="353"/>
      <c r="BD157" s="349">
        <f t="shared" si="94"/>
        <v>960</v>
      </c>
      <c r="BE157" s="356">
        <f>VLOOKUP($BW157,'HR|社保明细'!C:T,11,0)</f>
        <v>0</v>
      </c>
      <c r="BF157" s="348">
        <f>VLOOKUP($BW157,'HR|社保明细'!$C:U,12,0)</f>
        <v>0</v>
      </c>
      <c r="BG157" s="348">
        <f>VLOOKUP($BW157,'HR|社保明细'!$C:V,13,0)</f>
        <v>0</v>
      </c>
      <c r="BH157" s="348">
        <f>VLOOKUP($BW157,'HR|社保明细'!$C:W,14,0)</f>
        <v>0</v>
      </c>
      <c r="BI157" s="348">
        <f>VLOOKUP($BW157,'HR|社保明细'!$C:X,15,0)</f>
        <v>0</v>
      </c>
      <c r="BJ157" s="348">
        <f>VLOOKUP($BW157,'HR|社保明细'!$C:Y,16,0)</f>
        <v>0</v>
      </c>
      <c r="BK157" s="353">
        <f>VLOOKUP($BW157,'HR|社保明细'!$C:Z,17,0)</f>
        <v>0</v>
      </c>
      <c r="BL157" s="349">
        <f t="shared" si="95"/>
        <v>0</v>
      </c>
      <c r="BM157" s="354"/>
      <c r="BN157" s="350"/>
      <c r="BO157" s="350"/>
      <c r="BP157" s="350"/>
      <c r="BQ157" s="350"/>
      <c r="BR157" s="349">
        <f>SUM(BN157:BQ157)</f>
        <v>0</v>
      </c>
      <c r="BS157" s="349">
        <f t="shared" si="96"/>
        <v>0</v>
      </c>
      <c r="BT157" s="357"/>
      <c r="BU157" s="357"/>
      <c r="BV157" s="358"/>
      <c r="BW157" s="359" t="str">
        <f t="shared" si="97"/>
        <v>弈享天津杜宪</v>
      </c>
      <c r="BX157" s="360" t="s">
        <v>258</v>
      </c>
      <c r="BY157" s="360" t="s">
        <v>259</v>
      </c>
      <c r="BZ157" s="360"/>
      <c r="CA157" s="360" t="str">
        <f>VLOOKUP(A157,hr.个税累计数据!C:C,1,0)</f>
        <v>弈享天津杜宪</v>
      </c>
      <c r="CB157" s="360" t="s">
        <v>579</v>
      </c>
      <c r="CC157" s="360"/>
      <c r="CD157" s="243" t="b">
        <f t="shared" si="98"/>
        <v>1</v>
      </c>
    </row>
    <row r="158" s="243" customFormat="1" ht="23" hidden="1" customHeight="1" spans="1:82">
      <c r="A158" s="343" t="str">
        <f t="shared" si="88"/>
        <v>弈享天津周梓荣</v>
      </c>
      <c r="B158" s="343" t="s">
        <v>34</v>
      </c>
      <c r="C158" s="343" t="s">
        <v>65</v>
      </c>
      <c r="D158" s="343" t="s">
        <v>267</v>
      </c>
      <c r="E158" s="344" t="s">
        <v>445</v>
      </c>
      <c r="F158" s="343" t="s">
        <v>446</v>
      </c>
      <c r="G158" s="343" t="s">
        <v>255</v>
      </c>
      <c r="H158" s="343" t="s">
        <v>453</v>
      </c>
      <c r="I158" s="343" t="s">
        <v>453</v>
      </c>
      <c r="J158" s="343" t="s">
        <v>271</v>
      </c>
      <c r="K158" s="345">
        <f t="shared" si="89"/>
        <v>1000</v>
      </c>
      <c r="L158" s="346">
        <f t="shared" si="90"/>
        <v>960</v>
      </c>
      <c r="M158" s="362"/>
      <c r="N158" s="347">
        <v>6</v>
      </c>
      <c r="O158" s="361">
        <v>1000</v>
      </c>
      <c r="P158" s="348"/>
      <c r="Q158" s="348">
        <f>VLOOKUP(I158,考勤调整记录!I:W,15,0)</f>
        <v>0</v>
      </c>
      <c r="R158" s="348"/>
      <c r="S158" s="348"/>
      <c r="T158" s="348"/>
      <c r="U158" s="349">
        <f t="shared" si="65"/>
        <v>1000</v>
      </c>
      <c r="V158" s="350"/>
      <c r="W158" s="350"/>
      <c r="X158" s="350"/>
      <c r="Y158" s="350"/>
      <c r="Z158" s="350"/>
      <c r="AA158" s="350"/>
      <c r="AB158" s="350"/>
      <c r="AC158" s="349">
        <f t="shared" si="91"/>
        <v>1000</v>
      </c>
      <c r="AD158" s="351"/>
      <c r="AE158" s="352">
        <v>202606</v>
      </c>
      <c r="AF158" s="348">
        <f>VLOOKUP(BW158,'HR|社保明细'!C:F,4,0)</f>
        <v>0</v>
      </c>
      <c r="AG158" s="348">
        <f>VLOOKUP($BW158,'HR|社保明细'!$C:G,5,0)</f>
        <v>0</v>
      </c>
      <c r="AH158" s="348">
        <f>VLOOKUP($BW158,'HR|社保明细'!$C:H,6,0)</f>
        <v>0</v>
      </c>
      <c r="AI158" s="348">
        <f>VLOOKUP($BW158,'HR|社保明细'!$C:I,7,0)</f>
        <v>0</v>
      </c>
      <c r="AJ158" s="348">
        <f>VLOOKUP($BW158,'HR|社保明细'!$C:J,8,0)</f>
        <v>0</v>
      </c>
      <c r="AK158" s="348">
        <f>VLOOKUP($BW158,'HR|社保明细'!$C:K,9,0)</f>
        <v>0</v>
      </c>
      <c r="AL158" s="353">
        <f>VLOOKUP($BW158,'HR|社保明细'!$C:L,10,0)</f>
        <v>0</v>
      </c>
      <c r="AM158" s="349">
        <f>SUM(AH158:AL158)</f>
        <v>0</v>
      </c>
      <c r="AN158" s="348"/>
      <c r="AO158" s="348"/>
      <c r="AP158" s="348"/>
      <c r="AQ158" s="348"/>
      <c r="AR158" s="348"/>
      <c r="AS158" s="348">
        <f t="shared" si="68"/>
        <v>1000</v>
      </c>
      <c r="AT158" s="354"/>
      <c r="AU158" s="355">
        <f>VLOOKUP(BW158,hr.个税累计数据!C:DS,121,0)</f>
        <v>5917.8</v>
      </c>
      <c r="AV158" s="348">
        <f>IF(AU158-5000*N158-VLOOKUP(A158,hr.个税累计数据!C:DT,122,0)-VLOOKUP(A158,hr.个税累计数据!C:DU,123,0)&gt;0,AU158-5000*N158-VLOOKUP(A158,hr.个税累计数据!C:DT,122,0)-VLOOKUP(A158,hr.个税累计数据!C:DU,123,0),0)</f>
        <v>0</v>
      </c>
      <c r="AW158" s="348">
        <f>VLOOKUP(BW158,hr.个税累计数据!C:DV,124,0)</f>
        <v>183.56</v>
      </c>
      <c r="AX158" s="348"/>
      <c r="AY158" s="349">
        <f>IF(D158="国内不计税",0,IF(D158="正常计税",ROUND(MAX(AS158*{0.03,0.1,0.2,0.25,0.3,0.35,0.45}-{0,210,1410,2660,4410,7160,15160},0),2),IF(D158="外籍人",ROUND(MAX(AS158*{0.03,0.1,0.2,0.25,0.3,0.35,0.45}-{0,210,1410,2660,4410,7160,15160},0),2),ROUND(MAX((AS158-IF(AS158&lt;4000,800,AS158*0.2))*10%*{2,3,4}-1000*{0,2,7},0),2))))</f>
        <v>40</v>
      </c>
      <c r="AZ158" s="348">
        <f t="shared" si="92"/>
        <v>0</v>
      </c>
      <c r="BA158" s="348"/>
      <c r="BB158" s="348">
        <f t="shared" si="93"/>
        <v>960</v>
      </c>
      <c r="BC158" s="353"/>
      <c r="BD158" s="349">
        <f t="shared" si="94"/>
        <v>960</v>
      </c>
      <c r="BE158" s="356">
        <f>VLOOKUP($BW158,'HR|社保明细'!C:T,11,0)</f>
        <v>0</v>
      </c>
      <c r="BF158" s="348">
        <f>VLOOKUP($BW158,'HR|社保明细'!$C:U,12,0)</f>
        <v>0</v>
      </c>
      <c r="BG158" s="348">
        <f>VLOOKUP($BW158,'HR|社保明细'!$C:V,13,0)</f>
        <v>0</v>
      </c>
      <c r="BH158" s="348">
        <f>VLOOKUP($BW158,'HR|社保明细'!$C:W,14,0)</f>
        <v>0</v>
      </c>
      <c r="BI158" s="348">
        <f>VLOOKUP($BW158,'HR|社保明细'!$C:X,15,0)</f>
        <v>0</v>
      </c>
      <c r="BJ158" s="348">
        <f>VLOOKUP($BW158,'HR|社保明细'!$C:Y,16,0)</f>
        <v>0</v>
      </c>
      <c r="BK158" s="353">
        <f>VLOOKUP($BW158,'HR|社保明细'!$C:Z,17,0)</f>
        <v>0</v>
      </c>
      <c r="BL158" s="349">
        <f t="shared" si="95"/>
        <v>0</v>
      </c>
      <c r="BM158" s="354"/>
      <c r="BN158" s="350"/>
      <c r="BO158" s="350"/>
      <c r="BP158" s="350"/>
      <c r="BQ158" s="350"/>
      <c r="BR158" s="349">
        <f>SUM(BN158:BQ158)</f>
        <v>0</v>
      </c>
      <c r="BS158" s="349">
        <f t="shared" si="96"/>
        <v>0</v>
      </c>
      <c r="BT158" s="357"/>
      <c r="BU158" s="357"/>
      <c r="BV158" s="358"/>
      <c r="BW158" s="359" t="str">
        <f t="shared" si="97"/>
        <v>弈享天津周梓荣</v>
      </c>
      <c r="BX158" s="360" t="s">
        <v>258</v>
      </c>
      <c r="BY158" s="360" t="s">
        <v>259</v>
      </c>
      <c r="BZ158" s="360" t="s">
        <v>274</v>
      </c>
      <c r="CA158" s="360" t="str">
        <f>VLOOKUP(A158,hr.个税累计数据!C:C,1,0)</f>
        <v>弈享天津周梓荣</v>
      </c>
      <c r="CB158" s="360" t="s">
        <v>580</v>
      </c>
      <c r="CC158" s="360"/>
      <c r="CD158" s="243" t="b">
        <f t="shared" si="98"/>
        <v>1</v>
      </c>
    </row>
    <row r="159" s="243" customFormat="1" ht="23" hidden="1" customHeight="1" spans="1:82">
      <c r="A159" s="343" t="str">
        <f t="shared" si="88"/>
        <v>智名信息张涛</v>
      </c>
      <c r="B159" s="343" t="s">
        <v>31</v>
      </c>
      <c r="C159" s="343" t="s">
        <v>68</v>
      </c>
      <c r="D159" s="343" t="s">
        <v>252</v>
      </c>
      <c r="E159" s="344" t="s">
        <v>581</v>
      </c>
      <c r="F159" s="343" t="s">
        <v>134</v>
      </c>
      <c r="G159" s="343" t="s">
        <v>269</v>
      </c>
      <c r="H159" s="343" t="s">
        <v>582</v>
      </c>
      <c r="I159" s="343" t="s">
        <v>582</v>
      </c>
      <c r="J159" s="343" t="s">
        <v>271</v>
      </c>
      <c r="K159" s="345">
        <f t="shared" si="89"/>
        <v>4890.32</v>
      </c>
      <c r="L159" s="346">
        <f t="shared" si="90"/>
        <v>1000</v>
      </c>
      <c r="M159" s="362"/>
      <c r="N159" s="347">
        <v>6</v>
      </c>
      <c r="O159" s="361">
        <f>2316.26-15.96</f>
        <v>2300.3</v>
      </c>
      <c r="P159" s="348"/>
      <c r="Q159" s="348"/>
      <c r="R159" s="348"/>
      <c r="S159" s="348">
        <v>155.8</v>
      </c>
      <c r="T159" s="348"/>
      <c r="U159" s="349">
        <f t="shared" si="65"/>
        <v>2456.1</v>
      </c>
      <c r="V159" s="350"/>
      <c r="W159" s="350"/>
      <c r="X159" s="350"/>
      <c r="Y159" s="350"/>
      <c r="Z159" s="350"/>
      <c r="AA159" s="350"/>
      <c r="AB159" s="350"/>
      <c r="AC159" s="349">
        <f t="shared" si="91"/>
        <v>2456.1</v>
      </c>
      <c r="AD159" s="351"/>
      <c r="AE159" s="352">
        <v>202606</v>
      </c>
      <c r="AF159" s="348">
        <f>VLOOKUP(BW159,'HR|社保明细'!C:F,4,0)</f>
        <v>7460</v>
      </c>
      <c r="AG159" s="348">
        <f>VLOOKUP($BW159,'HR|社保明细'!$C:G,5,0)</f>
        <v>7384</v>
      </c>
      <c r="AH159" s="348">
        <f>VLOOKUP($BW159,'HR|社保明细'!$C:H,6,0)</f>
        <v>596.8</v>
      </c>
      <c r="AI159" s="348">
        <f>VLOOKUP($BW159,'HR|社保明细'!$C:I,7,0)</f>
        <v>149.2</v>
      </c>
      <c r="AJ159" s="348">
        <f>VLOOKUP($BW159,'HR|社保明细'!$C:J,8,0)</f>
        <v>37.3</v>
      </c>
      <c r="AK159" s="348">
        <f>VLOOKUP($BW159,'HR|社保明细'!$C:K,9,0)</f>
        <v>517</v>
      </c>
      <c r="AL159" s="353">
        <f>VLOOKUP($BW159,'HR|社保明细'!$C:L,10,0)</f>
        <v>0</v>
      </c>
      <c r="AM159" s="349">
        <f>SUM(AH159:AL159)</f>
        <v>1300.3</v>
      </c>
      <c r="AN159" s="348"/>
      <c r="AO159" s="348"/>
      <c r="AP159" s="348"/>
      <c r="AQ159" s="348"/>
      <c r="AR159" s="348"/>
      <c r="AS159" s="348">
        <f t="shared" si="68"/>
        <v>1155.8</v>
      </c>
      <c r="AT159" s="354"/>
      <c r="AU159" s="355">
        <f>VLOOKUP(BW159,hr.个税累计数据!C:DS,121,0)</f>
        <v>14703.75</v>
      </c>
      <c r="AV159" s="348">
        <f>IF(AU159-5000*N159-VLOOKUP(A159,hr.个税累计数据!C:DT,122,0)-VLOOKUP(A159,hr.个税累计数据!C:DU,123,0)&gt;0,AU159-5000*N159-VLOOKUP(A159,hr.个税累计数据!C:DT,122,0)-VLOOKUP(A159,hr.个税累计数据!C:DU,123,0),0)</f>
        <v>0</v>
      </c>
      <c r="AW159" s="348">
        <f>VLOOKUP(BW159,hr.个税累计数据!C:DV,124,0)</f>
        <v>0</v>
      </c>
      <c r="AX159" s="348"/>
      <c r="AY159" s="349">
        <f>IF(ROUND(MAX(AV159*{0.03,0.1,0.2,0.25,0.3,0.35,0.45}-{0,210,1410,2660,4410,7160,15160}*12)-AW159,2)&lt;=0,0,ROUND(MAX(AV159*{0.03,0.1,0.2,0.25,0.3,0.35,0.45}-{0,210,1410,2660,4410,7160,15160}*12)-AW159,2))</f>
        <v>0</v>
      </c>
      <c r="AZ159" s="348">
        <f t="shared" si="92"/>
        <v>-155.8</v>
      </c>
      <c r="BA159" s="348"/>
      <c r="BB159" s="348">
        <f t="shared" si="93"/>
        <v>1000</v>
      </c>
      <c r="BC159" s="353"/>
      <c r="BD159" s="349">
        <f t="shared" si="94"/>
        <v>1000</v>
      </c>
      <c r="BE159" s="356">
        <f>VLOOKUP($BW159,'HR|社保明细'!C:T,11,0)</f>
        <v>1193.6</v>
      </c>
      <c r="BF159" s="348">
        <f>VLOOKUP($BW159,'HR|社保明细'!$C:U,12,0)</f>
        <v>596.8</v>
      </c>
      <c r="BG159" s="348">
        <f>VLOOKUP($BW159,'HR|社保明细'!$C:V,13,0)</f>
        <v>37.3</v>
      </c>
      <c r="BH159" s="348">
        <f>VLOOKUP($BW159,'HR|社保明细'!$C:W,14,0)</f>
        <v>14.92</v>
      </c>
      <c r="BI159" s="348">
        <f>VLOOKUP($BW159,'HR|社保明细'!$C:X,15,0)</f>
        <v>74.6</v>
      </c>
      <c r="BJ159" s="348">
        <f>VLOOKUP($BW159,'HR|社保明细'!$C:Y,16,0)</f>
        <v>517</v>
      </c>
      <c r="BK159" s="353">
        <f>VLOOKUP($BW159,'HR|社保明细'!$C:Z,17,0)</f>
        <v>0</v>
      </c>
      <c r="BL159" s="349">
        <f t="shared" si="95"/>
        <v>2434.22</v>
      </c>
      <c r="BM159" s="354"/>
      <c r="BN159" s="350"/>
      <c r="BO159" s="350"/>
      <c r="BP159" s="350"/>
      <c r="BQ159" s="350"/>
      <c r="BR159" s="349">
        <f>SUM(BN159:BQ159)</f>
        <v>0</v>
      </c>
      <c r="BS159" s="349">
        <f t="shared" si="96"/>
        <v>0</v>
      </c>
      <c r="BT159" s="357"/>
      <c r="BU159" s="357"/>
      <c r="BV159" s="358"/>
      <c r="BW159" s="359" t="str">
        <f t="shared" si="97"/>
        <v>智名信息张涛</v>
      </c>
      <c r="BX159" s="360"/>
      <c r="BY159" s="360" t="s">
        <v>273</v>
      </c>
      <c r="BZ159" s="360"/>
      <c r="CA159" s="360" t="str">
        <f>VLOOKUP(A159,hr.个税累计数据!C:C,1,0)</f>
        <v>智名信息张涛</v>
      </c>
      <c r="CB159" s="360" t="s">
        <v>583</v>
      </c>
      <c r="CC159" s="360" t="s">
        <v>273</v>
      </c>
      <c r="CD159" s="243" t="b">
        <f t="shared" si="98"/>
        <v>1</v>
      </c>
    </row>
    <row r="160" s="240" customFormat="1" ht="10.25" customHeight="1" spans="1:82">
      <c r="A160" s="363"/>
      <c r="B160" s="363"/>
      <c r="C160" s="363"/>
      <c r="D160" s="363"/>
      <c r="E160" s="363"/>
      <c r="F160" s="363"/>
      <c r="G160" s="363"/>
      <c r="H160" s="363"/>
      <c r="I160" s="363"/>
      <c r="J160" s="363"/>
      <c r="K160" s="363"/>
      <c r="L160" s="363"/>
      <c r="M160"/>
      <c r="N160" s="363"/>
      <c r="O160" s="363"/>
      <c r="P160" s="363"/>
      <c r="Q160" s="363"/>
      <c r="R160" s="363"/>
      <c r="S160" s="363"/>
      <c r="T160" s="363"/>
      <c r="U160" s="363"/>
      <c r="V160" s="363"/>
      <c r="W160" s="363"/>
      <c r="X160" s="363"/>
      <c r="Y160" s="363"/>
      <c r="Z160" s="363"/>
      <c r="AA160" s="363"/>
      <c r="AB160" s="363"/>
      <c r="AC160" s="363"/>
      <c r="AD160" s="363"/>
      <c r="AE160" s="363"/>
      <c r="AF160" s="363"/>
      <c r="AG160" s="363"/>
      <c r="AH160" s="363"/>
      <c r="AI160" s="363"/>
      <c r="AJ160" s="363"/>
      <c r="AK160" s="363"/>
      <c r="AL160" s="363"/>
      <c r="AM160" s="363"/>
      <c r="AN160" s="363"/>
      <c r="AO160" s="363"/>
      <c r="AP160" s="363"/>
      <c r="AQ160" s="363"/>
      <c r="AR160" s="363"/>
      <c r="AS160" s="363"/>
      <c r="AT160" s="363"/>
      <c r="AU160" s="363"/>
      <c r="AV160" s="363"/>
      <c r="AW160" s="363"/>
      <c r="AX160" s="363"/>
      <c r="AY160" s="363"/>
      <c r="AZ160" s="363"/>
      <c r="BA160" s="363"/>
      <c r="BB160" s="363"/>
      <c r="BC160" s="363"/>
      <c r="BD160" s="363"/>
      <c r="BE160" s="363"/>
      <c r="BF160" s="363"/>
      <c r="BG160" s="363"/>
      <c r="BH160" s="363"/>
      <c r="BI160" s="363"/>
      <c r="BJ160" s="363"/>
      <c r="BK160" s="363"/>
      <c r="BL160" s="363"/>
      <c r="BM160" s="363"/>
      <c r="BN160" s="363"/>
      <c r="BO160" s="363"/>
      <c r="BP160" s="363"/>
      <c r="BQ160" s="363"/>
      <c r="BR160" s="363"/>
      <c r="BS160" s="363"/>
      <c r="BT160" s="363"/>
      <c r="BU160" s="363"/>
      <c r="BV160" s="363"/>
      <c r="BW160" s="359"/>
      <c r="BX160" s="360"/>
      <c r="BY160" s="360"/>
      <c r="BZ160" s="360"/>
      <c r="CA160" s="360"/>
      <c r="CB160" s="360"/>
      <c r="CC160" s="360"/>
    </row>
    <row r="161" s="244" customFormat="1" ht="38" customHeight="1" spans="1:81">
      <c r="A161" s="364" t="s">
        <v>584</v>
      </c>
      <c r="B161" s="364" t="s">
        <v>585</v>
      </c>
      <c r="C161" s="365"/>
      <c r="D161" s="365"/>
      <c r="E161" s="366"/>
      <c r="F161" s="365"/>
      <c r="G161" s="367"/>
      <c r="H161" s="367"/>
      <c r="I161" s="367"/>
      <c r="J161" s="367"/>
      <c r="K161" s="368">
        <f>SUM(K10:K159)</f>
        <v>1646505.89</v>
      </c>
      <c r="L161" s="368">
        <f>SUM(L10:L159)</f>
        <v>1276349.61</v>
      </c>
      <c r="M161"/>
      <c r="N161" s="368"/>
      <c r="O161" s="368">
        <f t="shared" ref="O161:AD161" si="99">SUM(O10:O159)</f>
        <v>1357493.94</v>
      </c>
      <c r="P161" s="368">
        <f t="shared" si="99"/>
        <v>2099</v>
      </c>
      <c r="Q161" s="368">
        <f t="shared" si="99"/>
        <v>-17927.45</v>
      </c>
      <c r="R161" s="368">
        <f t="shared" si="99"/>
        <v>14823.55</v>
      </c>
      <c r="S161" s="368">
        <f t="shared" si="99"/>
        <v>11596.06</v>
      </c>
      <c r="T161" s="368">
        <f t="shared" si="99"/>
        <v>24652</v>
      </c>
      <c r="U161" s="368">
        <f t="shared" si="99"/>
        <v>1392737.1</v>
      </c>
      <c r="V161" s="368">
        <f t="shared" si="99"/>
        <v>8993.31</v>
      </c>
      <c r="W161" s="368">
        <f t="shared" si="99"/>
        <v>-17609.61</v>
      </c>
      <c r="X161" s="368">
        <f t="shared" si="99"/>
        <v>0</v>
      </c>
      <c r="Y161" s="368">
        <f t="shared" si="99"/>
        <v>5877.8</v>
      </c>
      <c r="Z161" s="368">
        <f t="shared" si="99"/>
        <v>43000</v>
      </c>
      <c r="AA161" s="368">
        <f t="shared" si="99"/>
        <v>1000</v>
      </c>
      <c r="AB161" s="368">
        <f t="shared" si="99"/>
        <v>915</v>
      </c>
      <c r="AC161" s="368">
        <f t="shared" si="99"/>
        <v>1434913.6</v>
      </c>
      <c r="AD161" s="368">
        <f t="shared" si="99"/>
        <v>0</v>
      </c>
      <c r="AE161" s="368"/>
      <c r="AF161" s="368">
        <f t="shared" ref="AF161:AS161" si="100">SUM(AF10:AF159)</f>
        <v>652056</v>
      </c>
      <c r="AG161" s="368">
        <f t="shared" si="100"/>
        <v>536508</v>
      </c>
      <c r="AH161" s="368">
        <f t="shared" si="100"/>
        <v>52164.48</v>
      </c>
      <c r="AI161" s="368">
        <f t="shared" si="100"/>
        <v>13147.66</v>
      </c>
      <c r="AJ161" s="368">
        <f t="shared" si="100"/>
        <v>3245.28</v>
      </c>
      <c r="AK161" s="368">
        <f t="shared" si="100"/>
        <v>38551</v>
      </c>
      <c r="AL161" s="368">
        <f t="shared" si="100"/>
        <v>4463</v>
      </c>
      <c r="AM161" s="368">
        <f t="shared" si="100"/>
        <v>111571.42</v>
      </c>
      <c r="AN161" s="368">
        <f t="shared" si="100"/>
        <v>5000</v>
      </c>
      <c r="AO161" s="368">
        <f t="shared" si="100"/>
        <v>0</v>
      </c>
      <c r="AP161" s="368">
        <f t="shared" si="100"/>
        <v>15000</v>
      </c>
      <c r="AQ161" s="368">
        <f t="shared" si="100"/>
        <v>45000</v>
      </c>
      <c r="AR161" s="368">
        <f t="shared" si="100"/>
        <v>400</v>
      </c>
      <c r="AS161" s="368">
        <f t="shared" si="100"/>
        <v>811818.77</v>
      </c>
      <c r="AT161" s="368"/>
      <c r="AU161" s="368">
        <f t="shared" ref="AU161:BL161" si="101">SUM(AU10:AU159)</f>
        <v>6525838.62</v>
      </c>
      <c r="AV161" s="368">
        <f t="shared" si="101"/>
        <v>2299275.16</v>
      </c>
      <c r="AW161" s="368">
        <f t="shared" si="101"/>
        <v>156773.04</v>
      </c>
      <c r="AX161" s="368">
        <f t="shared" si="101"/>
        <v>0</v>
      </c>
      <c r="AY161" s="368">
        <f t="shared" si="101"/>
        <v>35396.51</v>
      </c>
      <c r="AZ161" s="368">
        <f t="shared" si="101"/>
        <v>-11596.06</v>
      </c>
      <c r="BA161" s="368">
        <f t="shared" si="101"/>
        <v>0</v>
      </c>
      <c r="BB161" s="368">
        <f t="shared" si="101"/>
        <v>1276349.61</v>
      </c>
      <c r="BC161" s="368">
        <f t="shared" si="101"/>
        <v>0</v>
      </c>
      <c r="BD161" s="368">
        <f t="shared" si="101"/>
        <v>1276349.61</v>
      </c>
      <c r="BE161" s="368">
        <f t="shared" si="101"/>
        <v>104378.96</v>
      </c>
      <c r="BF161" s="368">
        <f t="shared" si="101"/>
        <v>52618.7800000001</v>
      </c>
      <c r="BG161" s="368">
        <f t="shared" si="101"/>
        <v>3275.28</v>
      </c>
      <c r="BH161" s="368">
        <f t="shared" si="101"/>
        <v>1601.57</v>
      </c>
      <c r="BI161" s="368">
        <f t="shared" si="101"/>
        <v>6398.70000000001</v>
      </c>
      <c r="BJ161" s="368">
        <f t="shared" si="101"/>
        <v>38856</v>
      </c>
      <c r="BK161" s="368">
        <f t="shared" si="101"/>
        <v>4463</v>
      </c>
      <c r="BL161" s="368">
        <f t="shared" si="101"/>
        <v>211592.29</v>
      </c>
      <c r="BM161" s="368"/>
      <c r="BN161" s="368">
        <f t="shared" ref="BN161:BV161" si="102">SUM(BN10:BN159)</f>
        <v>0</v>
      </c>
      <c r="BO161" s="368">
        <f t="shared" si="102"/>
        <v>0</v>
      </c>
      <c r="BP161" s="368">
        <f t="shared" si="102"/>
        <v>0</v>
      </c>
      <c r="BQ161" s="368">
        <f t="shared" si="102"/>
        <v>0</v>
      </c>
      <c r="BR161" s="368">
        <f t="shared" si="102"/>
        <v>0</v>
      </c>
      <c r="BS161" s="368">
        <f t="shared" si="102"/>
        <v>42176.5</v>
      </c>
      <c r="BT161" s="368">
        <f t="shared" si="102"/>
        <v>123600</v>
      </c>
      <c r="BU161" s="368">
        <f t="shared" si="102"/>
        <v>0</v>
      </c>
      <c r="BV161" s="368">
        <f t="shared" si="102"/>
        <v>0</v>
      </c>
      <c r="BW161" s="369"/>
      <c r="BX161" s="370"/>
      <c r="BY161" s="370"/>
      <c r="BZ161" s="370"/>
      <c r="CA161" s="370"/>
      <c r="CB161" s="370" t="s">
        <v>584</v>
      </c>
      <c r="CC161" s="370"/>
    </row>
    <row r="162" ht="21" customHeight="1" spans="1:81">
      <c r="A162" s="371"/>
      <c r="B162" s="371"/>
      <c r="C162" s="372"/>
      <c r="D162" s="372"/>
      <c r="E162" s="372"/>
      <c r="F162" s="372"/>
      <c r="G162" s="372"/>
      <c r="H162" s="372"/>
      <c r="I162" s="372"/>
      <c r="J162" s="372"/>
      <c r="K162" s="373"/>
      <c r="L162" s="372"/>
      <c r="N162" s="372"/>
      <c r="O162" s="372"/>
      <c r="P162" s="372"/>
      <c r="Q162" s="372"/>
      <c r="R162" s="372"/>
      <c r="S162" s="372"/>
      <c r="T162" s="372"/>
      <c r="U162" s="372"/>
      <c r="V162" s="372"/>
      <c r="W162" s="372"/>
      <c r="X162" s="372"/>
      <c r="Y162" s="372"/>
      <c r="Z162" s="372"/>
      <c r="AA162" s="372"/>
      <c r="AB162" s="372"/>
      <c r="AC162" s="372"/>
      <c r="AE162" s="372"/>
      <c r="AF162" s="372"/>
      <c r="AG162" s="372"/>
      <c r="AH162" s="372"/>
      <c r="AI162" s="372"/>
      <c r="AJ162" s="372"/>
      <c r="AK162" s="372"/>
      <c r="AL162" s="372"/>
      <c r="AM162" s="372"/>
      <c r="AN162" s="372"/>
      <c r="AO162" s="372"/>
      <c r="AP162" s="372"/>
      <c r="AQ162" s="372"/>
      <c r="AR162" s="372"/>
      <c r="AS162" s="372"/>
      <c r="AU162" s="372"/>
      <c r="AV162" s="372"/>
      <c r="AW162" s="372"/>
      <c r="AX162" s="372"/>
      <c r="AY162" s="372"/>
      <c r="AZ162" s="372"/>
      <c r="BA162" s="372"/>
      <c r="BB162" s="372"/>
      <c r="BC162" s="372"/>
      <c r="BD162" s="372"/>
      <c r="BE162" s="372"/>
      <c r="BF162" s="372"/>
      <c r="BG162" s="372"/>
      <c r="BH162" s="372"/>
      <c r="BI162" s="372"/>
      <c r="BJ162" s="372"/>
      <c r="BK162" s="372"/>
      <c r="BL162" s="372"/>
      <c r="BN162" s="372"/>
      <c r="BO162" s="372"/>
      <c r="BP162" s="372"/>
      <c r="BQ162" s="372"/>
      <c r="BR162" s="372"/>
      <c r="BS162" s="372"/>
      <c r="BT162" s="372"/>
      <c r="BU162" s="372"/>
      <c r="BV162" s="372"/>
    </row>
    <row r="163" ht="29" customHeight="1" spans="1:81">
      <c r="A163" s="371"/>
      <c r="B163" s="371"/>
      <c r="C163" s="372"/>
      <c r="D163" s="372"/>
      <c r="E163" s="372"/>
      <c r="F163" s="372"/>
      <c r="G163" s="372"/>
      <c r="H163" s="372"/>
      <c r="I163" s="372" t="s">
        <v>586</v>
      </c>
      <c r="J163" s="372"/>
      <c r="K163" s="374">
        <f t="shared" ref="K163:AD163" si="103">SUM(K10:K159)</f>
        <v>1646505.89</v>
      </c>
      <c r="L163" s="374">
        <f t="shared" si="103"/>
        <v>1276349.61</v>
      </c>
      <c r="M163" s="374">
        <f t="shared" si="103"/>
        <v>0</v>
      </c>
      <c r="N163" s="374">
        <f t="shared" si="103"/>
        <v>799</v>
      </c>
      <c r="O163" s="374">
        <f t="shared" si="103"/>
        <v>1357493.94</v>
      </c>
      <c r="P163" s="374">
        <f t="shared" si="103"/>
        <v>2099</v>
      </c>
      <c r="Q163" s="374">
        <f t="shared" si="103"/>
        <v>-17927.45</v>
      </c>
      <c r="R163" s="374">
        <f t="shared" si="103"/>
        <v>14823.55</v>
      </c>
      <c r="S163" s="374">
        <f t="shared" si="103"/>
        <v>11596.06</v>
      </c>
      <c r="T163" s="374">
        <f t="shared" si="103"/>
        <v>24652</v>
      </c>
      <c r="U163" s="374">
        <f t="shared" si="103"/>
        <v>1392737.1</v>
      </c>
      <c r="V163" s="374">
        <f t="shared" si="103"/>
        <v>8993.31</v>
      </c>
      <c r="W163" s="374">
        <f t="shared" si="103"/>
        <v>-17609.61</v>
      </c>
      <c r="X163" s="374">
        <f t="shared" si="103"/>
        <v>0</v>
      </c>
      <c r="Y163" s="374">
        <f t="shared" si="103"/>
        <v>5877.8</v>
      </c>
      <c r="Z163" s="374">
        <f t="shared" si="103"/>
        <v>43000</v>
      </c>
      <c r="AA163" s="374">
        <f t="shared" si="103"/>
        <v>1000</v>
      </c>
      <c r="AB163" s="374">
        <f t="shared" si="103"/>
        <v>915</v>
      </c>
      <c r="AC163" s="374">
        <f t="shared" si="103"/>
        <v>1434913.6</v>
      </c>
      <c r="AD163" s="374">
        <f t="shared" si="103"/>
        <v>0</v>
      </c>
      <c r="AE163" s="374"/>
      <c r="AF163" s="374">
        <f t="shared" ref="AF163:BT163" si="104">SUM(AF10:AF159)</f>
        <v>652056</v>
      </c>
      <c r="AG163" s="374">
        <f t="shared" si="104"/>
        <v>536508</v>
      </c>
      <c r="AH163" s="374">
        <f t="shared" si="104"/>
        <v>52164.48</v>
      </c>
      <c r="AI163" s="374">
        <f t="shared" si="104"/>
        <v>13147.66</v>
      </c>
      <c r="AJ163" s="374">
        <f t="shared" si="104"/>
        <v>3245.28</v>
      </c>
      <c r="AK163" s="374">
        <f t="shared" si="104"/>
        <v>38551</v>
      </c>
      <c r="AL163" s="374">
        <f t="shared" si="104"/>
        <v>4463</v>
      </c>
      <c r="AM163" s="374">
        <f t="shared" si="104"/>
        <v>111571.42</v>
      </c>
      <c r="AN163" s="374">
        <f t="shared" si="104"/>
        <v>5000</v>
      </c>
      <c r="AO163" s="374">
        <f t="shared" si="104"/>
        <v>0</v>
      </c>
      <c r="AP163" s="374">
        <f t="shared" si="104"/>
        <v>15000</v>
      </c>
      <c r="AQ163" s="374">
        <f t="shared" si="104"/>
        <v>45000</v>
      </c>
      <c r="AR163" s="374">
        <f t="shared" si="104"/>
        <v>400</v>
      </c>
      <c r="AS163" s="374">
        <f t="shared" si="104"/>
        <v>811818.77</v>
      </c>
      <c r="AT163" s="374">
        <f t="shared" si="104"/>
        <v>0</v>
      </c>
      <c r="AU163" s="374">
        <f t="shared" si="104"/>
        <v>6525838.62</v>
      </c>
      <c r="AV163" s="374">
        <f t="shared" si="104"/>
        <v>2299275.16</v>
      </c>
      <c r="AW163" s="374">
        <f t="shared" si="104"/>
        <v>156773.04</v>
      </c>
      <c r="AX163" s="374">
        <f t="shared" si="104"/>
        <v>0</v>
      </c>
      <c r="AY163" s="374">
        <f t="shared" si="104"/>
        <v>35396.51</v>
      </c>
      <c r="AZ163" s="374">
        <f t="shared" si="104"/>
        <v>-11596.06</v>
      </c>
      <c r="BA163" s="374">
        <f t="shared" si="104"/>
        <v>0</v>
      </c>
      <c r="BB163" s="374">
        <f t="shared" si="104"/>
        <v>1276349.61</v>
      </c>
      <c r="BC163" s="374">
        <f t="shared" si="104"/>
        <v>0</v>
      </c>
      <c r="BD163" s="374">
        <f t="shared" si="104"/>
        <v>1276349.61</v>
      </c>
      <c r="BE163" s="374">
        <f t="shared" si="104"/>
        <v>104378.96</v>
      </c>
      <c r="BF163" s="374">
        <f t="shared" si="104"/>
        <v>52618.7800000001</v>
      </c>
      <c r="BG163" s="374">
        <f t="shared" si="104"/>
        <v>3275.28</v>
      </c>
      <c r="BH163" s="374">
        <f t="shared" si="104"/>
        <v>1601.57</v>
      </c>
      <c r="BI163" s="374">
        <f t="shared" si="104"/>
        <v>6398.70000000001</v>
      </c>
      <c r="BJ163" s="374">
        <f t="shared" si="104"/>
        <v>38856</v>
      </c>
      <c r="BK163" s="374">
        <f t="shared" si="104"/>
        <v>4463</v>
      </c>
      <c r="BL163" s="374">
        <f t="shared" si="104"/>
        <v>211592.29</v>
      </c>
      <c r="BM163" s="374">
        <f t="shared" si="104"/>
        <v>0</v>
      </c>
      <c r="BN163" s="374">
        <f t="shared" si="104"/>
        <v>0</v>
      </c>
      <c r="BO163" s="374">
        <f t="shared" si="104"/>
        <v>0</v>
      </c>
      <c r="BP163" s="374">
        <f t="shared" si="104"/>
        <v>0</v>
      </c>
      <c r="BQ163" s="374">
        <f t="shared" si="104"/>
        <v>0</v>
      </c>
      <c r="BR163" s="374">
        <f t="shared" si="104"/>
        <v>0</v>
      </c>
      <c r="BS163" s="374">
        <f t="shared" si="104"/>
        <v>42176.5</v>
      </c>
      <c r="BT163" s="374">
        <f t="shared" si="104"/>
        <v>123600</v>
      </c>
      <c r="BU163" s="374"/>
      <c r="BV163" s="374">
        <f>SUM(BV10:BV159)</f>
        <v>0</v>
      </c>
      <c r="BW163" s="373"/>
      <c r="BX163" s="375"/>
      <c r="BY163" s="375"/>
      <c r="BZ163" s="375"/>
      <c r="CA163" s="375"/>
      <c r="CB163" s="375"/>
      <c r="CC163" s="375"/>
    </row>
    <row r="164" ht="29" customHeight="1" spans="1:81">
      <c r="A164" s="371"/>
      <c r="B164"/>
      <c r="C164"/>
      <c r="D164"/>
      <c r="E164"/>
      <c r="F164"/>
      <c r="G164"/>
      <c r="H164"/>
      <c r="I164"/>
      <c r="J164" s="372"/>
      <c r="K164" s="373"/>
      <c r="L164" s="372"/>
      <c r="N164" s="372"/>
      <c r="O164" s="372"/>
      <c r="P164" s="372"/>
      <c r="Q164" s="372"/>
      <c r="R164" s="372"/>
      <c r="S164" s="372"/>
      <c r="T164" s="372"/>
      <c r="U164" s="372"/>
      <c r="V164" s="372"/>
      <c r="W164" s="372"/>
      <c r="X164" s="372"/>
      <c r="Y164" s="372"/>
      <c r="Z164" s="372"/>
      <c r="AA164" s="372"/>
      <c r="AB164" s="372"/>
      <c r="AC164" s="372"/>
      <c r="AE164" s="372"/>
      <c r="AF164" s="372"/>
      <c r="AG164" s="372"/>
      <c r="AH164" s="372"/>
      <c r="AI164" s="372"/>
      <c r="AJ164" s="372"/>
      <c r="AK164" s="372"/>
      <c r="AL164" s="372"/>
      <c r="AM164" s="372"/>
      <c r="AN164" s="372"/>
      <c r="AO164" s="372"/>
      <c r="AP164" s="372"/>
      <c r="AQ164" s="372"/>
      <c r="AR164" s="372"/>
      <c r="AS164" s="372"/>
      <c r="AU164" s="372"/>
      <c r="AV164" s="372"/>
      <c r="AW164" s="372"/>
      <c r="AX164" s="372"/>
      <c r="AY164" s="372"/>
      <c r="AZ164" s="372"/>
      <c r="BA164" s="372"/>
      <c r="BB164" s="372"/>
      <c r="BC164" s="372"/>
      <c r="BD164" s="372"/>
      <c r="BE164" s="372"/>
      <c r="BF164" s="372"/>
      <c r="BG164" s="372"/>
      <c r="BH164" s="372"/>
      <c r="BI164" s="372"/>
      <c r="BJ164" s="372"/>
      <c r="BK164" s="372"/>
      <c r="BL164" s="372"/>
      <c r="BN164" s="372"/>
      <c r="BO164" s="372"/>
      <c r="BP164" s="372"/>
      <c r="BQ164" s="372"/>
      <c r="BR164" s="372"/>
      <c r="BS164" s="372"/>
      <c r="BT164" s="372"/>
      <c r="BU164" s="372"/>
      <c r="BV164" s="372"/>
      <c r="BW164" s="372"/>
      <c r="BX164" s="376"/>
      <c r="BY164" s="376"/>
      <c r="BZ164" s="376"/>
      <c r="CA164" s="376"/>
      <c r="CB164" s="376"/>
      <c r="CC164" s="376"/>
    </row>
    <row r="165" ht="28.25" customHeight="1" spans="1:81">
      <c r="A165" s="371"/>
      <c r="B165" s="371"/>
      <c r="C165" s="372"/>
      <c r="D165" s="372"/>
      <c r="E165" s="372"/>
      <c r="F165" s="372"/>
      <c r="G165" s="372"/>
      <c r="H165" s="372"/>
      <c r="I165" s="372" t="s">
        <v>586</v>
      </c>
      <c r="J165" s="372"/>
      <c r="K165" s="377">
        <f>K163-K161</f>
        <v>0</v>
      </c>
      <c r="L165" s="377">
        <f>L163-L161</f>
        <v>0</v>
      </c>
      <c r="N165" s="377"/>
      <c r="O165" s="377">
        <f t="shared" ref="O165:W165" si="105">O163-O161</f>
        <v>0</v>
      </c>
      <c r="P165" s="377">
        <f t="shared" si="105"/>
        <v>0</v>
      </c>
      <c r="Q165" s="377">
        <f t="shared" si="105"/>
        <v>0</v>
      </c>
      <c r="R165" s="377">
        <f t="shared" si="105"/>
        <v>0</v>
      </c>
      <c r="S165" s="377">
        <f t="shared" si="105"/>
        <v>0</v>
      </c>
      <c r="T165" s="377">
        <f t="shared" si="105"/>
        <v>0</v>
      </c>
      <c r="U165" s="377">
        <f t="shared" si="105"/>
        <v>0</v>
      </c>
      <c r="V165" s="377">
        <f t="shared" si="105"/>
        <v>0</v>
      </c>
      <c r="W165" s="377">
        <f t="shared" si="105"/>
        <v>0</v>
      </c>
      <c r="X165" s="377"/>
      <c r="Y165" s="377"/>
      <c r="Z165" s="377">
        <f>Z163-Z161</f>
        <v>0</v>
      </c>
      <c r="AA165" s="377">
        <f t="shared" ref="AA165:BT165" si="106">AA163-AA161</f>
        <v>0</v>
      </c>
      <c r="AB165" s="377">
        <f t="shared" si="106"/>
        <v>0</v>
      </c>
      <c r="AC165" s="377">
        <f t="shared" si="106"/>
        <v>0</v>
      </c>
      <c r="AD165" s="377">
        <f t="shared" si="106"/>
        <v>0</v>
      </c>
      <c r="AE165" s="377">
        <f t="shared" si="106"/>
        <v>0</v>
      </c>
      <c r="AF165" s="377">
        <f t="shared" si="106"/>
        <v>0</v>
      </c>
      <c r="AG165" s="377">
        <f t="shared" si="106"/>
        <v>0</v>
      </c>
      <c r="AH165" s="377">
        <f t="shared" si="106"/>
        <v>0</v>
      </c>
      <c r="AI165" s="377">
        <f t="shared" si="106"/>
        <v>0</v>
      </c>
      <c r="AJ165" s="377">
        <f t="shared" si="106"/>
        <v>0</v>
      </c>
      <c r="AK165" s="377">
        <f t="shared" si="106"/>
        <v>0</v>
      </c>
      <c r="AL165" s="377">
        <f t="shared" si="106"/>
        <v>0</v>
      </c>
      <c r="AM165" s="377">
        <f t="shared" si="106"/>
        <v>0</v>
      </c>
      <c r="AN165" s="377">
        <f t="shared" si="106"/>
        <v>0</v>
      </c>
      <c r="AO165" s="377">
        <f t="shared" si="106"/>
        <v>0</v>
      </c>
      <c r="AP165" s="377">
        <f t="shared" si="106"/>
        <v>0</v>
      </c>
      <c r="AQ165" s="377">
        <f t="shared" si="106"/>
        <v>0</v>
      </c>
      <c r="AR165" s="377">
        <f t="shared" si="106"/>
        <v>0</v>
      </c>
      <c r="AS165" s="377">
        <f t="shared" si="106"/>
        <v>0</v>
      </c>
      <c r="AT165" s="377">
        <f t="shared" si="106"/>
        <v>0</v>
      </c>
      <c r="AU165" s="377">
        <f t="shared" si="106"/>
        <v>0</v>
      </c>
      <c r="AV165" s="377">
        <f t="shared" si="106"/>
        <v>0</v>
      </c>
      <c r="AW165" s="377">
        <f t="shared" si="106"/>
        <v>0</v>
      </c>
      <c r="AX165" s="377">
        <f t="shared" si="106"/>
        <v>0</v>
      </c>
      <c r="AY165" s="377">
        <f t="shared" si="106"/>
        <v>0</v>
      </c>
      <c r="AZ165" s="377">
        <f t="shared" si="106"/>
        <v>0</v>
      </c>
      <c r="BA165" s="377">
        <f t="shared" si="106"/>
        <v>0</v>
      </c>
      <c r="BB165" s="377">
        <f t="shared" si="106"/>
        <v>0</v>
      </c>
      <c r="BC165" s="377">
        <f t="shared" si="106"/>
        <v>0</v>
      </c>
      <c r="BD165" s="377">
        <f t="shared" si="106"/>
        <v>0</v>
      </c>
      <c r="BE165" s="377">
        <f t="shared" si="106"/>
        <v>0</v>
      </c>
      <c r="BF165" s="377">
        <f t="shared" si="106"/>
        <v>0</v>
      </c>
      <c r="BG165" s="377">
        <f t="shared" si="106"/>
        <v>0</v>
      </c>
      <c r="BH165" s="377">
        <f t="shared" si="106"/>
        <v>0</v>
      </c>
      <c r="BI165" s="377">
        <f t="shared" si="106"/>
        <v>0</v>
      </c>
      <c r="BJ165" s="377">
        <f t="shared" si="106"/>
        <v>0</v>
      </c>
      <c r="BK165" s="377">
        <f t="shared" si="106"/>
        <v>0</v>
      </c>
      <c r="BL165" s="377">
        <f t="shared" si="106"/>
        <v>0</v>
      </c>
      <c r="BM165" s="377">
        <f t="shared" si="106"/>
        <v>0</v>
      </c>
      <c r="BN165" s="377">
        <f t="shared" si="106"/>
        <v>0</v>
      </c>
      <c r="BO165" s="377">
        <f t="shared" si="106"/>
        <v>0</v>
      </c>
      <c r="BP165" s="377">
        <f t="shared" si="106"/>
        <v>0</v>
      </c>
      <c r="BQ165" s="377">
        <f t="shared" si="106"/>
        <v>0</v>
      </c>
      <c r="BR165" s="377">
        <f t="shared" si="106"/>
        <v>0</v>
      </c>
      <c r="BS165" s="377">
        <f t="shared" si="106"/>
        <v>0</v>
      </c>
      <c r="BT165" s="377">
        <f t="shared" si="106"/>
        <v>0</v>
      </c>
      <c r="BU165" s="377"/>
      <c r="BV165" s="377">
        <f>BV163-BV161</f>
        <v>0</v>
      </c>
    </row>
    <row r="166" ht="21" customHeight="1" spans="1:81">
      <c r="A166" s="371"/>
      <c r="B166" s="371"/>
      <c r="C166" s="372"/>
      <c r="D166" s="372"/>
      <c r="E166" s="372"/>
      <c r="F166" s="372"/>
      <c r="G166" s="372"/>
      <c r="H166" s="372"/>
      <c r="I166" s="372"/>
      <c r="J166" s="372"/>
      <c r="K166" s="378"/>
      <c r="L166" s="379">
        <f>K161-L161-AM161-AY161+AZ161+BA161-BL161</f>
        <v>0</v>
      </c>
      <c r="N166" s="372"/>
      <c r="O166" s="372"/>
      <c r="P166" s="372"/>
      <c r="Q166" s="372"/>
      <c r="R166" s="372"/>
      <c r="S166" s="372"/>
      <c r="T166" s="372"/>
      <c r="U166" s="372"/>
      <c r="V166" s="380"/>
      <c r="W166" s="380"/>
      <c r="X166" s="380"/>
      <c r="Y166" s="380"/>
      <c r="Z166" s="380"/>
      <c r="AA166" s="380"/>
      <c r="AB166" s="380"/>
      <c r="AC166" s="372"/>
      <c r="AE166" s="372"/>
      <c r="AF166" s="372"/>
      <c r="AG166" s="372"/>
      <c r="AH166" s="372"/>
      <c r="AI166" s="372"/>
      <c r="AJ166" s="372"/>
      <c r="AK166" s="372"/>
      <c r="AL166" s="372"/>
      <c r="AM166" s="372"/>
      <c r="AN166" s="372"/>
      <c r="AO166" s="372"/>
      <c r="AP166" s="372"/>
      <c r="AQ166" s="381"/>
      <c r="AR166" s="372"/>
      <c r="AS166" s="372"/>
      <c r="AU166" s="372"/>
      <c r="AV166" s="372"/>
      <c r="AW166" s="372"/>
      <c r="AX166" s="372"/>
      <c r="AY166" s="372"/>
      <c r="AZ166" s="372"/>
      <c r="BA166" s="372"/>
      <c r="BB166" s="372"/>
      <c r="BC166" s="372"/>
      <c r="BD166" s="372"/>
      <c r="BE166" s="372"/>
      <c r="BF166" s="381"/>
      <c r="BG166" s="376"/>
      <c r="BH166" s="376"/>
      <c r="BI166" s="376"/>
      <c r="BJ166" s="376"/>
      <c r="BK166" s="376"/>
      <c r="BL166" s="372"/>
      <c r="BN166" s="372"/>
      <c r="BO166" s="372"/>
      <c r="BP166" s="372"/>
      <c r="BQ166" s="372"/>
      <c r="BR166" s="372"/>
      <c r="BS166" s="372"/>
      <c r="BT166" s="372"/>
      <c r="BU166" s="372"/>
      <c r="BV166" s="372"/>
    </row>
    <row r="167" spans="1:81">
      <c r="A167" s="382"/>
      <c r="B167" s="382"/>
      <c r="C167" s="382"/>
      <c r="D167" s="382"/>
      <c r="E167" s="382"/>
      <c r="F167" s="382"/>
      <c r="G167" s="382"/>
      <c r="H167" s="382"/>
      <c r="I167" s="382"/>
      <c r="J167" s="382"/>
      <c r="K167" s="383"/>
      <c r="L167" s="382"/>
      <c r="N167" s="382"/>
      <c r="O167" s="382"/>
      <c r="P167" s="382"/>
      <c r="Q167" s="382"/>
      <c r="R167" s="382"/>
      <c r="S167" s="382"/>
      <c r="T167" s="382"/>
      <c r="U167" s="382"/>
      <c r="V167" s="382"/>
      <c r="W167" s="382"/>
      <c r="X167" s="382"/>
      <c r="Y167" s="382"/>
      <c r="Z167" s="382"/>
      <c r="AA167" s="382"/>
      <c r="AB167" s="382"/>
      <c r="AC167" s="382"/>
      <c r="AD167" s="382"/>
      <c r="AE167" s="382"/>
      <c r="AF167" s="382"/>
      <c r="AG167" s="382"/>
      <c r="AH167" s="382"/>
      <c r="AI167" s="382"/>
      <c r="AJ167" s="382"/>
      <c r="AK167" s="382"/>
      <c r="AL167" s="382"/>
      <c r="AM167" s="382"/>
      <c r="AN167" s="382"/>
      <c r="AO167" s="382"/>
      <c r="AP167" s="382"/>
      <c r="AQ167" s="382"/>
      <c r="AR167" s="382"/>
      <c r="AS167" s="382"/>
      <c r="AT167" s="382"/>
      <c r="AU167" s="382"/>
      <c r="AV167" s="382"/>
      <c r="AW167" s="382"/>
      <c r="AX167" s="382"/>
      <c r="AY167" s="382"/>
      <c r="AZ167" s="382"/>
      <c r="BA167" s="382"/>
      <c r="BB167" s="382"/>
      <c r="BC167" s="382"/>
      <c r="BD167" s="382"/>
      <c r="BE167" s="382"/>
      <c r="BF167" s="382"/>
      <c r="BG167" s="382"/>
      <c r="BH167" s="382"/>
      <c r="BI167" s="382"/>
      <c r="BJ167" s="382"/>
      <c r="BK167" s="382"/>
      <c r="BL167" s="382"/>
      <c r="BM167" s="382"/>
      <c r="BN167" s="382"/>
      <c r="BO167" s="382"/>
      <c r="BP167" s="382"/>
      <c r="BQ167" s="382"/>
      <c r="BR167" s="382"/>
      <c r="BS167" s="382"/>
      <c r="BT167" s="382"/>
      <c r="BU167" s="382"/>
      <c r="BV167" s="382"/>
    </row>
    <row r="168" spans="1:81">
      <c r="K168" s="384"/>
      <c r="L168" s="248"/>
      <c r="AP168" s="246"/>
      <c r="AQ168" s="249"/>
      <c r="BE168" s="246"/>
      <c r="BF168" s="249"/>
      <c r="BK168" s="250"/>
    </row>
    <row r="169" spans="1:81">
      <c r="K169" s="384"/>
      <c r="L169" s="248"/>
      <c r="U169" s="247"/>
      <c r="V169" s="247"/>
      <c r="W169" s="247"/>
      <c r="X169" s="247"/>
      <c r="Y169" s="247"/>
      <c r="Z169" s="247"/>
      <c r="AA169" s="247"/>
      <c r="AB169" s="247"/>
      <c r="AP169" s="246"/>
      <c r="AQ169" s="249"/>
      <c r="BE169" s="246"/>
      <c r="BF169" s="249"/>
      <c r="BK169" s="250"/>
    </row>
    <row r="170" spans="1:81">
      <c r="A170" s="372"/>
      <c r="B170" s="246"/>
      <c r="AD170" s="246"/>
      <c r="AP170" s="246"/>
      <c r="AT170" s="246"/>
      <c r="BE170" s="246"/>
      <c r="BF170" s="246"/>
      <c r="BK170" s="250"/>
      <c r="BM170" s="246"/>
    </row>
    <row r="171" spans="1:81">
      <c r="K171" s="384"/>
      <c r="L171" s="248"/>
      <c r="AP171" s="246"/>
      <c r="AQ171" s="249"/>
      <c r="BE171" s="246"/>
      <c r="BF171" s="249"/>
      <c r="BK171" s="250"/>
    </row>
  </sheetData>
  <autoFilter xmlns:etc="http://www.wps.cn/officeDocument/2017/etCustomData" ref="A9:CD159" etc:filterBottomFollowUsedRange="0">
    <filterColumn colId="8">
      <filters>
        <filter val="周凯楠"/>
        <filter val="陈双杰"/>
        <filter val="李佳"/>
        <filter val="张毅"/>
        <filter val="任梦超"/>
        <filter val="安子玥"/>
        <filter val="陈圆"/>
        <filter val="陈锦"/>
        <filter val="赵柳文"/>
        <filter val="邵吴慧"/>
        <filter val="王倩"/>
      </filters>
    </filterColumn>
    <sortState ref="A9:CD159">
      <sortCondition ref="AY9" descending="1"/>
    </sortState>
    <extLst/>
  </autoFilter>
  <pageMargins left="0.30625" right="0.30625" top="0.35625" bottom="0.35625" header="0.3" footer="0.3"/>
  <pageSetup paperSize="9" scale="33" fitToHeight="3" orientation="landscape"/>
  <headerFooter>
    <oddFooter>&amp;R&amp;"Heiti SC Light,常规"&amp;K000000&amp;D
第&amp;N页 共&amp;N页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30" sqref="D30:K33"/>
    </sheetView>
  </sheetViews>
  <sheetFormatPr defaultColWidth="11" defaultRowHeight="17.6" outlineLevelCol="5"/>
  <sheetData>
    <row r="1" spans="1:6">
      <c r="E1" t="s">
        <v>587</v>
      </c>
    </row>
    <row r="2" spans="1:6">
      <c r="A2" t="s">
        <v>71</v>
      </c>
      <c r="B2" t="s">
        <v>588</v>
      </c>
      <c r="C2" t="s">
        <v>589</v>
      </c>
      <c r="E2" s="235">
        <v>351</v>
      </c>
    </row>
    <row r="3" spans="1:6">
      <c r="A3" t="s">
        <v>73</v>
      </c>
      <c r="B3" t="s">
        <v>347</v>
      </c>
      <c r="C3" t="s">
        <v>590</v>
      </c>
      <c r="E3" s="235">
        <v>237</v>
      </c>
    </row>
    <row r="4" spans="1:6">
      <c r="A4" t="s">
        <v>57</v>
      </c>
      <c r="B4" t="s">
        <v>591</v>
      </c>
      <c r="C4" t="s">
        <v>592</v>
      </c>
      <c r="E4">
        <v>10.62</v>
      </c>
    </row>
    <row r="5" spans="1:6">
      <c r="A5" t="s">
        <v>57</v>
      </c>
      <c r="B5" t="s">
        <v>569</v>
      </c>
      <c r="C5" t="s">
        <v>593</v>
      </c>
      <c r="E5" s="235">
        <v>180</v>
      </c>
    </row>
    <row r="6" spans="1:6">
      <c r="A6" t="s">
        <v>72</v>
      </c>
      <c r="B6" t="s">
        <v>594</v>
      </c>
      <c r="C6" t="s">
        <v>595</v>
      </c>
      <c r="E6" s="235">
        <v>7543.96</v>
      </c>
    </row>
    <row r="7" spans="1:6">
      <c r="A7" t="s">
        <v>60</v>
      </c>
      <c r="B7" t="s">
        <v>596</v>
      </c>
      <c r="C7" t="s">
        <v>597</v>
      </c>
      <c r="E7">
        <v>-24</v>
      </c>
    </row>
    <row r="8" spans="1:6">
      <c r="A8" t="s">
        <v>67</v>
      </c>
      <c r="B8" t="s">
        <v>447</v>
      </c>
      <c r="C8" t="s">
        <v>448</v>
      </c>
      <c r="E8">
        <v>0.01</v>
      </c>
    </row>
    <row r="9" spans="1:6">
      <c r="A9" t="s">
        <v>71</v>
      </c>
      <c r="B9" t="s">
        <v>105</v>
      </c>
      <c r="C9" t="s">
        <v>598</v>
      </c>
      <c r="E9">
        <v>-24.98</v>
      </c>
    </row>
    <row r="10" spans="1:6">
      <c r="A10" t="s">
        <v>72</v>
      </c>
      <c r="B10" t="s">
        <v>345</v>
      </c>
      <c r="C10" t="s">
        <v>541</v>
      </c>
      <c r="E10" s="235">
        <v>350.54</v>
      </c>
    </row>
    <row r="11" spans="1:6">
      <c r="A11" s="236" t="s">
        <v>57</v>
      </c>
      <c r="B11" s="236" t="s">
        <v>599</v>
      </c>
      <c r="C11" s="236" t="str">
        <f>A11&amp;B11</f>
        <v>开弈信息贺知奕</v>
      </c>
      <c r="E11">
        <v>19.5</v>
      </c>
    </row>
    <row r="14" spans="1:6">
      <c r="A14" t="s">
        <v>600</v>
      </c>
      <c r="C14">
        <v>1125</v>
      </c>
      <c r="D14">
        <v>1962.8</v>
      </c>
      <c r="E14">
        <v>250</v>
      </c>
      <c r="F14">
        <v>250</v>
      </c>
    </row>
    <row r="15" spans="1:6">
      <c r="A15" t="s">
        <v>601</v>
      </c>
      <c r="C15">
        <v>819.5</v>
      </c>
      <c r="D15">
        <v>1645.2</v>
      </c>
      <c r="E15">
        <v>-48</v>
      </c>
      <c r="F15">
        <v>-48</v>
      </c>
    </row>
    <row r="16" spans="1:6">
      <c r="A16" t="s">
        <v>602</v>
      </c>
      <c r="C16">
        <v>905.5</v>
      </c>
      <c r="D16">
        <v>1731.2</v>
      </c>
      <c r="E16">
        <v>86</v>
      </c>
      <c r="F16">
        <v>86</v>
      </c>
    </row>
    <row r="17" spans="1:6">
      <c r="A17" t="s">
        <v>603</v>
      </c>
      <c r="C17">
        <v>905.5</v>
      </c>
      <c r="D17">
        <v>1731.2</v>
      </c>
      <c r="E17">
        <v>86</v>
      </c>
      <c r="F17">
        <v>86</v>
      </c>
    </row>
  </sheetData>
  <conditionalFormatting sqref="C11">
    <cfRule type="duplicateValues" dxfId="15" priority="1"/>
  </conditionalFormatting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Y120"/>
  <sheetViews>
    <sheetView zoomScale="90" zoomScaleNormal="90" workbookViewId="0">
      <pane xSplit="3" ySplit="2" topLeftCell="E79" activePane="bottomRight" state="frozen"/>
      <selection/>
      <selection pane="topRight"/>
      <selection pane="bottomLeft"/>
      <selection pane="bottomRight" activeCell="K37" sqref="K37"/>
    </sheetView>
  </sheetViews>
  <sheetFormatPr defaultColWidth="10.6666666666667" defaultRowHeight="16.8"/>
  <cols>
    <col min="1" max="1" width="19.1666666666667" style="97" customWidth="1"/>
    <col min="2" max="2" width="10.6666666666667" style="97"/>
    <col min="3" max="3" width="21.1666666666667" style="97" customWidth="1"/>
    <col min="4" max="4" width="25" style="97" customWidth="1"/>
    <col min="5" max="5" width="9.5" style="97" customWidth="1"/>
    <col min="6" max="7" width="12" style="202"/>
    <col min="8" max="8" width="10.8333333333333" style="97"/>
    <col min="9" max="10" width="10.6666666666667" style="97"/>
    <col min="11" max="11" width="10.8333333333333" style="97"/>
    <col min="12" max="12" width="12.5" style="97" customWidth="1"/>
    <col min="13" max="13" width="12" style="97" customWidth="1"/>
    <col min="14" max="14" width="10.8333333333333" style="97"/>
    <col min="15" max="17" width="10.6666666666667" style="97"/>
    <col min="18" max="18" width="10.8333333333333" style="97"/>
    <col min="19" max="20" width="10.6666666666667" style="97"/>
    <col min="21" max="22" width="10.6666666666667" style="171" hidden="1" customWidth="1" outlineLevel="1"/>
    <col min="23" max="23" width="10.6666666666667" style="203" hidden="1" customWidth="1" outlineLevel="1"/>
    <col min="24" max="29" width="10.6666666666667" style="97" hidden="1" customWidth="1" outlineLevel="1"/>
    <col min="30" max="30" width="10.6666666666667" style="171" hidden="1" customWidth="1" outlineLevel="1"/>
    <col min="31" max="32" width="10.6666666666667" style="97" hidden="1" customWidth="1" outlineLevel="1"/>
    <col min="33" max="33" width="10.8333333333333" style="97" collapsed="1"/>
    <col min="34" max="34" width="10.8333333333333" style="97"/>
    <col min="35" max="35" width="11.6666666666667" style="97" customWidth="1"/>
    <col min="36" max="36" width="13.5" style="97" customWidth="1"/>
    <col min="37" max="37" width="16.6666666666667" style="97" customWidth="1"/>
    <col min="38" max="41" width="12.6666666666667" style="97" customWidth="1"/>
    <col min="42" max="42" width="21.9416666666667" style="97" customWidth="1"/>
    <col min="43" max="47" width="9.44166666666667" style="97" customWidth="1"/>
    <col min="48" max="48" width="9.44166666666667" style="204" customWidth="1"/>
    <col min="49" max="50" width="9.44166666666667" style="97" customWidth="1"/>
    <col min="51" max="51" width="6.66666666666667" style="97" customWidth="1"/>
    <col min="52" max="16384" width="10.6666666666667" style="97"/>
  </cols>
  <sheetData>
    <row r="1" s="103" customFormat="1" ht="31.25" customHeight="1" spans="1:51">
      <c r="A1" s="205" t="s">
        <v>604</v>
      </c>
      <c r="B1" s="205" t="s">
        <v>191</v>
      </c>
      <c r="C1" s="205" t="s">
        <v>605</v>
      </c>
      <c r="D1" s="205" t="s">
        <v>606</v>
      </c>
      <c r="E1" s="206" t="s">
        <v>607</v>
      </c>
      <c r="F1" s="207" t="s">
        <v>211</v>
      </c>
      <c r="G1" s="207" t="s">
        <v>212</v>
      </c>
      <c r="H1" s="208" t="s">
        <v>608</v>
      </c>
      <c r="I1" s="205"/>
      <c r="J1" s="205"/>
      <c r="K1" s="205"/>
      <c r="L1" s="209"/>
      <c r="M1" s="208" t="s">
        <v>609</v>
      </c>
      <c r="N1" s="205"/>
      <c r="O1" s="205"/>
      <c r="P1" s="205"/>
      <c r="Q1" s="205"/>
      <c r="R1" s="205"/>
      <c r="S1" s="205"/>
      <c r="T1" s="209"/>
      <c r="U1" s="210" t="s">
        <v>248</v>
      </c>
      <c r="V1" s="211"/>
      <c r="W1" s="212"/>
      <c r="X1" s="205"/>
      <c r="Y1" s="205"/>
      <c r="Z1" s="205"/>
      <c r="AA1" s="205"/>
      <c r="AB1" s="205"/>
      <c r="AC1" s="205"/>
      <c r="AD1" s="211"/>
      <c r="AE1" s="205"/>
      <c r="AF1" s="213"/>
      <c r="AG1" s="214"/>
      <c r="AH1" s="214"/>
      <c r="AI1" s="214"/>
      <c r="AV1" s="215"/>
    </row>
    <row r="2" s="200" customFormat="1" ht="34" spans="1:51">
      <c r="A2" s="216"/>
      <c r="B2" s="216"/>
      <c r="C2" s="216"/>
      <c r="D2" s="216"/>
      <c r="E2" s="217"/>
      <c r="F2" s="218"/>
      <c r="G2" s="218"/>
      <c r="H2" s="219" t="s">
        <v>213</v>
      </c>
      <c r="I2" s="220" t="s">
        <v>214</v>
      </c>
      <c r="J2" s="220" t="s">
        <v>215</v>
      </c>
      <c r="K2" s="220" t="s">
        <v>216</v>
      </c>
      <c r="L2" s="221" t="s">
        <v>217</v>
      </c>
      <c r="M2" s="219" t="s">
        <v>234</v>
      </c>
      <c r="N2" s="220" t="s">
        <v>214</v>
      </c>
      <c r="O2" s="220" t="s">
        <v>235</v>
      </c>
      <c r="P2" s="220" t="s">
        <v>236</v>
      </c>
      <c r="Q2" s="220" t="s">
        <v>237</v>
      </c>
      <c r="R2" s="220" t="s">
        <v>216</v>
      </c>
      <c r="S2" s="220" t="s">
        <v>217</v>
      </c>
      <c r="T2" s="221" t="s">
        <v>239</v>
      </c>
      <c r="U2" s="222" t="s">
        <v>213</v>
      </c>
      <c r="V2" s="223" t="s">
        <v>235</v>
      </c>
      <c r="W2" s="224" t="s">
        <v>236</v>
      </c>
      <c r="X2" s="225" t="s">
        <v>237</v>
      </c>
      <c r="Y2" s="225" t="s">
        <v>214</v>
      </c>
      <c r="Z2" s="474" t="s">
        <v>610</v>
      </c>
      <c r="AA2" s="225" t="s">
        <v>611</v>
      </c>
      <c r="AB2" s="225" t="s">
        <v>612</v>
      </c>
      <c r="AC2" s="225" t="s">
        <v>613</v>
      </c>
      <c r="AD2" s="223" t="s">
        <v>614</v>
      </c>
      <c r="AE2" s="474" t="s">
        <v>615</v>
      </c>
      <c r="AF2" s="226" t="s">
        <v>616</v>
      </c>
      <c r="AG2" s="474" t="s">
        <v>218</v>
      </c>
      <c r="AH2" s="474" t="s">
        <v>617</v>
      </c>
      <c r="AI2" s="216" t="s">
        <v>585</v>
      </c>
      <c r="AJ2" s="225" t="s">
        <v>618</v>
      </c>
      <c r="AK2" s="225" t="s">
        <v>619</v>
      </c>
      <c r="AL2" s="225" t="s">
        <v>620</v>
      </c>
      <c r="AM2" s="225" t="s">
        <v>621</v>
      </c>
      <c r="AN2" s="225" t="s">
        <v>622</v>
      </c>
      <c r="AO2" s="225"/>
      <c r="AV2" s="227"/>
    </row>
    <row r="3" s="201" customFormat="1" spans="1:51">
      <c r="A3" s="163" t="s">
        <v>66</v>
      </c>
      <c r="B3" s="163" t="s">
        <v>256</v>
      </c>
      <c r="C3" s="163" t="str">
        <f t="shared" ref="C3:C66" si="0">A3&amp;B3</f>
        <v>北京点才孟庆芳</v>
      </c>
      <c r="D3" s="163" t="s">
        <v>623</v>
      </c>
      <c r="E3" s="163"/>
      <c r="F3" s="228">
        <v>0</v>
      </c>
      <c r="G3" s="228">
        <v>0</v>
      </c>
      <c r="H3" s="229">
        <f>IF(OR($D3={"开弈信息","开弈投资","开弈人才","开弈营销","开弈人力资源","弈工分企业外包","开弈企业服务外包"}),ROUNDUP(TRUNC($F3*AA3,2),1),ROUND($F3*AA3,2))</f>
        <v>0</v>
      </c>
      <c r="I3" s="163">
        <f>IF(OR($D3={"开弈信息","开弈投资","开弈人才","开弈营销","开弈人力资源","弈工分企业外包","开弈企业服务外包"}),ROUNDUP(TRUNC($F3*AB3,2),1)+AC3,ROUND($F3*AB3,2)+AC3)</f>
        <v>0</v>
      </c>
      <c r="J3" s="163">
        <f>IF(OR($D3={"开弈信息","开弈投资","开弈人才","开弈营销","开弈人力资源","弈工分企业外包","开弈企业服务外包"}),ROUNDUP(TRUNC($F3*AD3,2),1),ROUND($F3*AD3,2))</f>
        <v>0</v>
      </c>
      <c r="K3" s="163">
        <f>IF(D3="深圳",ROUND(G3*AE3,1),ROUND(G3*AE3,0))</f>
        <v>0</v>
      </c>
      <c r="L3" s="230">
        <f t="shared" ref="L3:L52" si="1">ROUND(G3*AF3,0)</f>
        <v>0</v>
      </c>
      <c r="M3" s="229">
        <f>IF(OR($D3={"开弈信息","开弈投资","开弈人才","开弈营销","开弈人力资源","弈工分企业外包","开弈企业服务外包"}),ROUNDUP(TRUNC($F3*U3,2),1),ROUND($F3*U3,2))</f>
        <v>0</v>
      </c>
      <c r="N3" s="163">
        <f>IF(OR($D3={"开弈信息","开弈投资","开弈人才","开弈营销","开弈人力资源","弈工分企业外包","开弈企业服务外包"}),ROUNDUP(TRUNC($F3*Y3,2),1),ROUND($F3*Y3,2))</f>
        <v>0</v>
      </c>
      <c r="O3" s="163">
        <f>IF(OR($D3={"开弈信息","开弈投资","开弈人才","开弈营销","开弈人力资源","弈工分企业外包","开弈企业服务外包"}),ROUNDUP(TRUNC($F3*V3,2),1),ROUND($F3*V3,2))</f>
        <v>0</v>
      </c>
      <c r="P3" s="163">
        <f>IF(OR($D3={"开弈信息","开弈投资","开弈人才","开弈营销","开弈人力资源","弈工分企业外包","开弈企业服务外包"}),ROUNDUP(TRUNC($F3*W3,2),1),ROUND($F3*W3,2))</f>
        <v>0</v>
      </c>
      <c r="Q3" s="163">
        <f>IF(OR($D3={"开弈信息","开弈投资","开弈人才","开弈营销","开弈人力资源","弈工分企业外包","开弈企业服务外包"}),ROUNDUP(TRUNC($F3*X3,2),1),ROUND($F3*X3,2))</f>
        <v>0</v>
      </c>
      <c r="R3" s="163">
        <f>K3</f>
        <v>0</v>
      </c>
      <c r="S3" s="163">
        <f t="shared" ref="S3:S52" si="2">L3</f>
        <v>0</v>
      </c>
      <c r="T3" s="230"/>
      <c r="U3" s="229">
        <f>VLOOKUP($D3,'HR|社保政策'!$A:P,6,0)</f>
        <v>0</v>
      </c>
      <c r="V3" s="163">
        <f>VLOOKUP($D3,'HR|社保政策'!$A:Q,7,0)</f>
        <v>0</v>
      </c>
      <c r="W3" s="231">
        <f>VLOOKUP($D3,'HR|社保政策'!$A:R,8,0)</f>
        <v>0</v>
      </c>
      <c r="X3" s="163">
        <f>VLOOKUP($D3,'HR|社保政策'!$A:S,9,0)</f>
        <v>0</v>
      </c>
      <c r="Y3" s="163">
        <f>VLOOKUP($D3,'HR|社保政策'!$A:T,10,0)</f>
        <v>0</v>
      </c>
      <c r="Z3" s="163">
        <f>VLOOKUP($D3,'HR|社保政策'!$A:U,11,0)</f>
        <v>0</v>
      </c>
      <c r="AA3" s="163">
        <f>VLOOKUP($D3,'HR|社保政策'!$A:V,12,0)</f>
        <v>0</v>
      </c>
      <c r="AB3" s="163">
        <f>VLOOKUP($D3,'HR|社保政策'!$A:W,13,0)</f>
        <v>0</v>
      </c>
      <c r="AC3" s="163">
        <f>VLOOKUP($D3,'HR|社保政策'!$A:X,14,0)</f>
        <v>0</v>
      </c>
      <c r="AD3" s="232">
        <f>VLOOKUP($D3,'HR|社保政策'!$A:Y,15,0)</f>
        <v>0</v>
      </c>
      <c r="AE3" s="163">
        <f>VLOOKUP($D3,'HR|社保政策'!$A:Z,16,0)</f>
        <v>0</v>
      </c>
      <c r="AF3" s="233"/>
      <c r="AG3" s="163">
        <f t="shared" ref="AG3:AG52" si="3">H3+I3+J3+K3+L3</f>
        <v>0</v>
      </c>
      <c r="AH3" s="163">
        <f t="shared" ref="AH3:AH52" si="4">M3+N3+O3+P3+Q3+R3+S3</f>
        <v>0</v>
      </c>
      <c r="AI3" s="228">
        <f t="shared" ref="AI3:AI52" si="5">AG3+AH3</f>
        <v>0</v>
      </c>
      <c r="AJ3" s="234"/>
      <c r="AK3" s="234"/>
      <c r="AL3" s="234" t="str">
        <f>A3</f>
        <v>北京点才</v>
      </c>
      <c r="AM3" s="234"/>
      <c r="AN3" s="234"/>
      <c r="AO3" s="234" t="str">
        <f>VLOOKUP(B3,薪酬明细!I:I,1,0)</f>
        <v>孟庆芳</v>
      </c>
      <c r="AP3" s="201" t="str">
        <f>VLOOKUP(C3,薪酬明细!A:A,1,0)</f>
        <v>北京点才孟庆芳</v>
      </c>
      <c r="AQ3" s="201" t="str">
        <f t="shared" ref="AQ3:AQ66" si="6">A3&amp;B3</f>
        <v>北京点才孟庆芳</v>
      </c>
      <c r="AW3" s="201" t="e">
        <f>VLOOKUP(C3,薪酬明细!A:A,2,0)</f>
        <v>#REF!</v>
      </c>
      <c r="AX3" s="201" t="b">
        <f t="shared" ref="AX3:AX66" si="7">A3=D3</f>
        <v>0</v>
      </c>
      <c r="AY3" s="201" t="b">
        <f t="shared" ref="AY3:AY66" si="8">AQ3=C3</f>
        <v>1</v>
      </c>
    </row>
    <row r="4" s="201" customFormat="1" spans="1:51">
      <c r="A4" s="163" t="s">
        <v>66</v>
      </c>
      <c r="B4" s="163" t="s">
        <v>264</v>
      </c>
      <c r="C4" s="163" t="str">
        <f t="shared" si="0"/>
        <v>北京点才尚庆军</v>
      </c>
      <c r="D4" s="163" t="s">
        <v>624</v>
      </c>
      <c r="E4" s="163" t="s">
        <v>263</v>
      </c>
      <c r="F4" s="228">
        <v>7162</v>
      </c>
      <c r="G4" s="228">
        <v>2540</v>
      </c>
      <c r="H4" s="229">
        <f>IF(OR($D4={"开弈信息","开弈投资","开弈人才","开弈营销","开弈人力资源","弈工分企业外包","开弈企业服务外包"}),ROUNDUP(TRUNC($F4*AA4,2),1),ROUND($F4*AA4,2))</f>
        <v>572.96</v>
      </c>
      <c r="I4" s="163">
        <v>146.24</v>
      </c>
      <c r="J4" s="163">
        <f>IF(OR($D4={"开弈信息","开弈投资","开弈人才","开弈营销","开弈人力资源","弈工分企业外包","开弈企业服务外包"}),ROUNDUP(TRUNC($F4*AD4,2),1),ROUND($F4*AD4,2))</f>
        <v>35.81</v>
      </c>
      <c r="K4" s="163">
        <v>0</v>
      </c>
      <c r="L4" s="230">
        <f t="shared" si="1"/>
        <v>0</v>
      </c>
      <c r="M4" s="229">
        <f>IF(OR($D4={"开弈信息","开弈投资","开弈人才","开弈营销","开弈人力资源","弈工分企业外包","开弈企业服务外包"}),ROUNDUP(TRUNC($F4*U4,2),1),ROUND($F4*U4,2))</f>
        <v>1145.92</v>
      </c>
      <c r="N4" s="163">
        <v>644.58</v>
      </c>
      <c r="O4" s="163">
        <f>IF(OR($D4={"开弈信息","开弈投资","开弈人才","开弈营销","开弈人力资源","弈工分企业外包","开弈企业服务外包"}),ROUNDUP(TRUNC($F4*V4,2),1),ROUND($F4*V4,2))</f>
        <v>35.81</v>
      </c>
      <c r="P4" s="163">
        <v>28.65</v>
      </c>
      <c r="Q4" s="163">
        <v>57.3</v>
      </c>
      <c r="R4" s="163">
        <f>ROUND(G4*0.12,0)</f>
        <v>305</v>
      </c>
      <c r="S4" s="163">
        <f t="shared" si="2"/>
        <v>0</v>
      </c>
      <c r="T4" s="230"/>
      <c r="U4" s="229">
        <f>VLOOKUP($D4,'HR|社保政策'!$A:P,6,0)</f>
        <v>0.16</v>
      </c>
      <c r="V4" s="163">
        <f>VLOOKUP($D4,'HR|社保政策'!$A:Q,7,0)</f>
        <v>0.005</v>
      </c>
      <c r="W4" s="231">
        <f>VLOOKUP($D4,'HR|社保政策'!$A:R,8,0)</f>
        <v>0.002</v>
      </c>
      <c r="X4" s="163">
        <f>VLOOKUP($D4,'HR|社保政策'!$A:S,9,0)</f>
        <v>0.008</v>
      </c>
      <c r="Y4" s="163">
        <f>VLOOKUP($D4,'HR|社保政策'!$A:T,10,0)</f>
        <v>0.09</v>
      </c>
      <c r="Z4" s="163">
        <f>VLOOKUP($D4,'HR|社保政策'!$A:U,11,0)</f>
        <v>0.12</v>
      </c>
      <c r="AA4" s="163">
        <f>VLOOKUP($D4,'HR|社保政策'!$A:V,12,0)</f>
        <v>0.08</v>
      </c>
      <c r="AB4" s="163">
        <f>VLOOKUP($D4,'HR|社保政策'!$A:W,13,0)</f>
        <v>0.02</v>
      </c>
      <c r="AC4" s="163">
        <f>VLOOKUP($D4,'HR|社保政策'!$A:X,14,0)</f>
        <v>3</v>
      </c>
      <c r="AD4" s="232">
        <f>VLOOKUP($D4,'HR|社保政策'!$A:Y,15,0)</f>
        <v>0.005</v>
      </c>
      <c r="AE4" s="163">
        <f>VLOOKUP($D4,'HR|社保政策'!$A:Z,16,0)</f>
        <v>0.12</v>
      </c>
      <c r="AF4" s="233"/>
      <c r="AG4" s="163">
        <f t="shared" si="3"/>
        <v>755.01</v>
      </c>
      <c r="AH4" s="163">
        <f t="shared" si="4"/>
        <v>2217.26</v>
      </c>
      <c r="AI4" s="228">
        <f t="shared" si="5"/>
        <v>2972.27</v>
      </c>
      <c r="AJ4" s="234">
        <v>4713</v>
      </c>
      <c r="AK4" s="234">
        <v>5360</v>
      </c>
      <c r="AL4" s="234" t="str">
        <f>A4</f>
        <v>北京点才</v>
      </c>
      <c r="AM4" s="234" t="s">
        <v>273</v>
      </c>
      <c r="AN4" s="234" t="s">
        <v>273</v>
      </c>
      <c r="AO4" s="234" t="str">
        <f>VLOOKUP(B4,薪酬明细!I:I,1,0)</f>
        <v>尚庆军</v>
      </c>
      <c r="AP4" s="201" t="str">
        <f>VLOOKUP(C4,薪酬明细!A:A,1,0)</f>
        <v>北京点才尚庆军</v>
      </c>
      <c r="AQ4" s="201" t="str">
        <f t="shared" si="6"/>
        <v>北京点才尚庆军</v>
      </c>
      <c r="AW4" s="201" t="e">
        <f>VLOOKUP(C4,薪酬明细!A:A,2,0)</f>
        <v>#REF!</v>
      </c>
      <c r="AX4" s="201" t="b">
        <f t="shared" si="7"/>
        <v>0</v>
      </c>
      <c r="AY4" s="201" t="b">
        <f t="shared" si="8"/>
        <v>1</v>
      </c>
    </row>
    <row r="5" s="201" customFormat="1" spans="1:51">
      <c r="A5" s="163" t="s">
        <v>66</v>
      </c>
      <c r="B5" s="163" t="s">
        <v>254</v>
      </c>
      <c r="C5" s="163" t="str">
        <f t="shared" si="0"/>
        <v>北京点才杨崴</v>
      </c>
      <c r="D5" s="163" t="s">
        <v>625</v>
      </c>
      <c r="E5" s="163"/>
      <c r="F5" s="228">
        <v>7162</v>
      </c>
      <c r="G5" s="228">
        <v>7000</v>
      </c>
      <c r="H5" s="229">
        <f>IF(OR($D5={"开弈信息","开弈投资","开弈人才","开弈营销","开弈人力资源","弈工分企业外包","开弈企业服务外包"}),ROUNDUP(TRUNC($F5*AA5,2),1),ROUND($F5*AA5,2))</f>
        <v>572.96</v>
      </c>
      <c r="I5" s="163">
        <v>146.24</v>
      </c>
      <c r="J5" s="163">
        <f>IF(OR($D5={"开弈信息","开弈投资","开弈人才","开弈营销","开弈人力资源","弈工分企业外包","开弈企业服务外包"}),ROUNDUP(TRUNC($F5*AD5,2),1),ROUND($F5*AD5,2))</f>
        <v>35.81</v>
      </c>
      <c r="K5" s="163">
        <f t="shared" ref="K5:K52" si="9">IF(D5="深圳",ROUND(G5*AE5,1),ROUND(G5*AE5,0))</f>
        <v>840</v>
      </c>
      <c r="L5" s="230">
        <f t="shared" si="1"/>
        <v>0</v>
      </c>
      <c r="M5" s="229">
        <f>IF(OR($D5={"开弈信息","开弈投资","开弈人才","开弈营销","开弈人力资源","弈工分企业外包","开弈企业服务外包"}),ROUNDUP(TRUNC($F5*U5,2),1),ROUND($F5*U5,2))</f>
        <v>1145.92</v>
      </c>
      <c r="N5" s="163">
        <v>644.58</v>
      </c>
      <c r="O5" s="163">
        <f>IF(OR($D5={"开弈信息","开弈投资","开弈人才","开弈营销","开弈人力资源","弈工分企业外包","开弈企业服务外包"}),ROUNDUP(TRUNC($F5*V5,2),1),ROUND($F5*V5,2))</f>
        <v>35.81</v>
      </c>
      <c r="P5" s="163">
        <v>28.65</v>
      </c>
      <c r="Q5" s="163">
        <v>57.3</v>
      </c>
      <c r="R5" s="163">
        <f t="shared" ref="R5:R52" si="10">K5</f>
        <v>840</v>
      </c>
      <c r="S5" s="163">
        <f t="shared" si="2"/>
        <v>0</v>
      </c>
      <c r="T5" s="230"/>
      <c r="U5" s="229">
        <f>VLOOKUP($D5,'HR|社保政策'!$A:P,6,0)</f>
        <v>0.16</v>
      </c>
      <c r="V5" s="163">
        <f>VLOOKUP($D5,'HR|社保政策'!$A:Q,7,0)</f>
        <v>0.005</v>
      </c>
      <c r="W5" s="231">
        <f>VLOOKUP($D5,'HR|社保政策'!$A:R,8,0)</f>
        <v>0.002</v>
      </c>
      <c r="X5" s="163">
        <f>VLOOKUP($D5,'HR|社保政策'!$A:S,9,0)</f>
        <v>0.008</v>
      </c>
      <c r="Y5" s="163">
        <f>VLOOKUP($D5,'HR|社保政策'!$A:T,10,0)</f>
        <v>0.09</v>
      </c>
      <c r="Z5" s="163">
        <f>VLOOKUP($D5,'HR|社保政策'!$A:U,11,0)</f>
        <v>0.12</v>
      </c>
      <c r="AA5" s="163">
        <f>VLOOKUP($D5,'HR|社保政策'!$A:V,12,0)</f>
        <v>0.08</v>
      </c>
      <c r="AB5" s="163">
        <f>VLOOKUP($D5,'HR|社保政策'!$A:W,13,0)</f>
        <v>0.02</v>
      </c>
      <c r="AC5" s="163">
        <f>VLOOKUP($D5,'HR|社保政策'!$A:X,14,0)</f>
        <v>3</v>
      </c>
      <c r="AD5" s="232">
        <f>VLOOKUP($D5,'HR|社保政策'!$A:Y,15,0)</f>
        <v>0.005</v>
      </c>
      <c r="AE5" s="163">
        <f>VLOOKUP($D5,'HR|社保政策'!$A:Z,16,0)</f>
        <v>0.12</v>
      </c>
      <c r="AF5" s="233"/>
      <c r="AG5" s="163">
        <f t="shared" si="3"/>
        <v>1595.01</v>
      </c>
      <c r="AH5" s="163">
        <f t="shared" si="4"/>
        <v>2752.26</v>
      </c>
      <c r="AI5" s="228">
        <f t="shared" si="5"/>
        <v>4347.27</v>
      </c>
      <c r="AJ5" s="234">
        <v>6500</v>
      </c>
      <c r="AK5" s="234">
        <v>6500</v>
      </c>
      <c r="AL5" s="234" t="str">
        <f>A5</f>
        <v>北京点才</v>
      </c>
      <c r="AM5" s="234" t="s">
        <v>273</v>
      </c>
      <c r="AN5" s="234" t="s">
        <v>273</v>
      </c>
      <c r="AO5" s="234" t="str">
        <f>VLOOKUP(B5,薪酬明细!I:I,1,0)</f>
        <v>杨崴</v>
      </c>
      <c r="AP5" s="201" t="str">
        <f>VLOOKUP(C5,薪酬明细!A:A,1,0)</f>
        <v>北京点才杨崴</v>
      </c>
      <c r="AQ5" s="201" t="str">
        <f t="shared" si="6"/>
        <v>北京点才杨崴</v>
      </c>
      <c r="AW5" s="201" t="e">
        <f>VLOOKUP(C5,薪酬明细!A:A,2,0)</f>
        <v>#REF!</v>
      </c>
      <c r="AX5" s="201" t="b">
        <f t="shared" si="7"/>
        <v>0</v>
      </c>
      <c r="AY5" s="201" t="b">
        <f t="shared" si="8"/>
        <v>1</v>
      </c>
    </row>
    <row r="6" s="201" customFormat="1" spans="1:51">
      <c r="A6" s="163" t="s">
        <v>66</v>
      </c>
      <c r="B6" s="163" t="s">
        <v>270</v>
      </c>
      <c r="C6" s="163" t="str">
        <f t="shared" si="0"/>
        <v>北京点才王倩</v>
      </c>
      <c r="D6" s="163" t="s">
        <v>623</v>
      </c>
      <c r="E6" s="163"/>
      <c r="F6" s="228">
        <v>0</v>
      </c>
      <c r="G6" s="228">
        <v>0</v>
      </c>
      <c r="H6" s="229">
        <f>IF(OR($D6={"开弈信息","开弈投资","开弈人才","开弈营销","开弈人力资源","弈工分企业外包","开弈企业服务外包","智名"}),ROUNDUP(TRUNC($F6*AA6,2),1),ROUND($F6*AA6,2))</f>
        <v>0</v>
      </c>
      <c r="I6" s="163">
        <f>IF(OR($D6={"开弈信息","开弈投资","开弈人才","开弈营销","开弈人力资源","弈工分企业外包","开弈企业服务外包"}),ROUNDUP(TRUNC($F6*AB6,2),1)+AC6,ROUND($F6*AB6,2)+AC6)</f>
        <v>0</v>
      </c>
      <c r="J6" s="163">
        <f>IF(OR($D6={"开弈信息","开弈投资","开弈人才","开弈营销","开弈人力资源","弈工分企业外包","开弈企业服务外包"}),ROUNDUP(TRUNC($F6*AD6,2),1),ROUND($F6*AD6,2))</f>
        <v>0</v>
      </c>
      <c r="K6" s="163">
        <f t="shared" si="9"/>
        <v>0</v>
      </c>
      <c r="L6" s="230">
        <f t="shared" si="1"/>
        <v>0</v>
      </c>
      <c r="M6" s="229">
        <f>IF(OR($D6={"开弈信息","开弈投资","开弈人才","开弈营销","开弈人力资源","弈工分企业外包","开弈企业服务外包"}),ROUNDUP(TRUNC($F6*U6,2),1),ROUND($F6*U6,2))</f>
        <v>0</v>
      </c>
      <c r="N6" s="163">
        <f>IF(OR($D6={"开弈信息","开弈投资","开弈人才","开弈营销","开弈人力资源","弈工分企业外包","开弈企业服务外包"}),ROUNDUP(TRUNC($F6*Y6,2),1),ROUND($F6*Y6,2))</f>
        <v>0</v>
      </c>
      <c r="O6" s="163">
        <f>IF(OR($D6={"开弈信息","开弈投资","开弈人才","开弈营销","开弈人力资源","弈工分企业外包","开弈企业服务外包"}),ROUNDUP(TRUNC($F6*V6,2),1),ROUND($F6*V6,2))</f>
        <v>0</v>
      </c>
      <c r="P6" s="163">
        <f>IF(OR($D6={"开弈信息","开弈投资","开弈人才","开弈营销","开弈人力资源","弈工分企业外包","开弈企业服务外包"}),ROUNDUP(TRUNC($F6*W6,2),1),ROUND($F6*W6,2))</f>
        <v>0</v>
      </c>
      <c r="Q6" s="163">
        <f>IF(OR($D6={"开弈信息","开弈投资","开弈人才","开弈营销","开弈人力资源","弈工分企业外包","开弈企业服务外包"}),ROUNDUP(TRUNC($F6*X6,2),1),ROUND($F6*X6,2))</f>
        <v>0</v>
      </c>
      <c r="R6" s="163">
        <f t="shared" si="10"/>
        <v>0</v>
      </c>
      <c r="S6" s="163">
        <f t="shared" si="2"/>
        <v>0</v>
      </c>
      <c r="T6" s="230"/>
      <c r="U6" s="229">
        <f>VLOOKUP($D6,'HR|社保政策'!$A:P,6,0)</f>
        <v>0</v>
      </c>
      <c r="V6" s="163">
        <f>VLOOKUP($D6,'HR|社保政策'!$A:Q,7,0)</f>
        <v>0</v>
      </c>
      <c r="W6" s="231">
        <f>VLOOKUP($D6,'HR|社保政策'!$A:R,8,0)</f>
        <v>0</v>
      </c>
      <c r="X6" s="163">
        <f>VLOOKUP($D6,'HR|社保政策'!$A:S,9,0)</f>
        <v>0</v>
      </c>
      <c r="Y6" s="163">
        <f>VLOOKUP($D6,'HR|社保政策'!$A:T,10,0)</f>
        <v>0</v>
      </c>
      <c r="Z6" s="163">
        <f>VLOOKUP($D6,'HR|社保政策'!$A:U,11,0)</f>
        <v>0</v>
      </c>
      <c r="AA6" s="163">
        <f>VLOOKUP($D6,'HR|社保政策'!$A:V,12,0)</f>
        <v>0</v>
      </c>
      <c r="AB6" s="163">
        <f>VLOOKUP($D6,'HR|社保政策'!$A:W,13,0)</f>
        <v>0</v>
      </c>
      <c r="AC6" s="163">
        <f>VLOOKUP($D6,'HR|社保政策'!$A:X,14,0)</f>
        <v>0</v>
      </c>
      <c r="AD6" s="232">
        <f>VLOOKUP($D6,'HR|社保政策'!$A:Y,15,0)</f>
        <v>0</v>
      </c>
      <c r="AE6" s="163">
        <f>VLOOKUP($D6,'HR|社保政策'!$A:Z,16,0)</f>
        <v>0</v>
      </c>
      <c r="AF6" s="233"/>
      <c r="AG6" s="163">
        <f t="shared" si="3"/>
        <v>0</v>
      </c>
      <c r="AH6" s="163">
        <f t="shared" si="4"/>
        <v>0</v>
      </c>
      <c r="AI6" s="228">
        <f t="shared" si="5"/>
        <v>0</v>
      </c>
      <c r="AJ6" s="234"/>
      <c r="AK6" s="234"/>
      <c r="AL6" s="234" t="str">
        <f>A6</f>
        <v>北京点才</v>
      </c>
      <c r="AM6" s="234"/>
      <c r="AN6" s="234"/>
      <c r="AO6" s="234" t="str">
        <f>VLOOKUP(B6,薪酬明细!I:I,1,0)</f>
        <v>王倩</v>
      </c>
      <c r="AP6" s="201" t="str">
        <f>VLOOKUP(C6,薪酬明细!A:A,1,0)</f>
        <v>北京点才王倩</v>
      </c>
      <c r="AQ6" s="201" t="str">
        <f t="shared" si="6"/>
        <v>北京点才王倩</v>
      </c>
      <c r="AW6" s="201" t="e">
        <f>VLOOKUP(C6,薪酬明细!A:A,2,0)</f>
        <v>#REF!</v>
      </c>
      <c r="AX6" s="201" t="b">
        <f t="shared" si="7"/>
        <v>0</v>
      </c>
      <c r="AY6" s="201" t="b">
        <f t="shared" si="8"/>
        <v>1</v>
      </c>
    </row>
    <row r="7" s="201" customFormat="1" spans="1:51">
      <c r="A7" s="163" t="s">
        <v>64</v>
      </c>
      <c r="B7" s="163" t="s">
        <v>270</v>
      </c>
      <c r="C7" s="163" t="str">
        <f t="shared" si="0"/>
        <v>开博人才王倩</v>
      </c>
      <c r="D7" s="163" t="s">
        <v>64</v>
      </c>
      <c r="E7" s="163"/>
      <c r="F7" s="228">
        <v>0</v>
      </c>
      <c r="G7" s="228">
        <v>0</v>
      </c>
      <c r="H7" s="229">
        <f t="shared" ref="H7:H40" si="11">ROUND($F7*AA7,2)</f>
        <v>0</v>
      </c>
      <c r="I7" s="163">
        <f t="shared" ref="I7:I40" si="12">ROUND($F7*AB7,2)</f>
        <v>0</v>
      </c>
      <c r="J7" s="163">
        <f t="shared" ref="J7:J40" si="13">ROUND($F7*AD7,2)</f>
        <v>0</v>
      </c>
      <c r="K7" s="163">
        <f t="shared" si="9"/>
        <v>0</v>
      </c>
      <c r="L7" s="230">
        <f t="shared" si="1"/>
        <v>0</v>
      </c>
      <c r="M7" s="229">
        <f t="shared" ref="M7:M40" si="14">ROUND($F7*U7,2)</f>
        <v>0</v>
      </c>
      <c r="N7" s="163">
        <f t="shared" ref="N7:N40" si="15">ROUND($F7*Y7,2)</f>
        <v>0</v>
      </c>
      <c r="O7" s="163">
        <f t="shared" ref="O7:O40" si="16">ROUND($F7*V7,2)</f>
        <v>0</v>
      </c>
      <c r="P7" s="163">
        <f t="shared" ref="P7:P40" si="17">ROUND($F7*W7,2)</f>
        <v>0</v>
      </c>
      <c r="Q7" s="163">
        <f t="shared" ref="Q7:Q40" si="18">ROUND($F7*X7,2)</f>
        <v>0</v>
      </c>
      <c r="R7" s="163">
        <f t="shared" si="10"/>
        <v>0</v>
      </c>
      <c r="S7" s="163">
        <f t="shared" si="2"/>
        <v>0</v>
      </c>
      <c r="T7" s="230"/>
      <c r="U7" s="229">
        <f>VLOOKUP($D7,'HR|社保政策'!$A:P,6,0)</f>
        <v>0.16</v>
      </c>
      <c r="V7" s="163">
        <f>VLOOKUP($D7,'HR|社保政策'!$A:Q,7,0)</f>
        <v>0.005</v>
      </c>
      <c r="W7" s="231">
        <f>VLOOKUP($D7,'HR|社保政策'!$A:R,8,0)</f>
        <v>0.0016</v>
      </c>
      <c r="X7" s="163">
        <f>VLOOKUP($D7,'HR|社保政策'!$A:S,9,0)</f>
        <v>0.01</v>
      </c>
      <c r="Y7" s="163">
        <v>0.08</v>
      </c>
      <c r="Z7" s="163">
        <f>VLOOKUP($D7,'HR|社保政策'!$A:U,11,0)</f>
        <v>0.07</v>
      </c>
      <c r="AA7" s="163">
        <f>VLOOKUP($D7,'HR|社保政策'!$A:V,12,0)</f>
        <v>0.08</v>
      </c>
      <c r="AB7" s="163">
        <f>VLOOKUP($D7,'HR|社保政策'!$A:W,13,0)</f>
        <v>0.02</v>
      </c>
      <c r="AC7" s="163">
        <f>VLOOKUP($D7,'HR|社保政策'!$A:X,14,0)</f>
        <v>0</v>
      </c>
      <c r="AD7" s="232">
        <f>VLOOKUP($D7,'HR|社保政策'!$A:Y,15,0)</f>
        <v>0.005</v>
      </c>
      <c r="AE7" s="163">
        <f>VLOOKUP($D7,'HR|社保政策'!$A:Z,16,0)</f>
        <v>0.07</v>
      </c>
      <c r="AF7" s="233"/>
      <c r="AG7" s="163">
        <f t="shared" si="3"/>
        <v>0</v>
      </c>
      <c r="AH7" s="163">
        <f t="shared" si="4"/>
        <v>0</v>
      </c>
      <c r="AI7" s="228">
        <f t="shared" si="5"/>
        <v>0</v>
      </c>
      <c r="AJ7" s="234"/>
      <c r="AK7" s="234"/>
      <c r="AL7" s="234"/>
      <c r="AM7" s="234"/>
      <c r="AN7" s="234"/>
      <c r="AO7" s="234" t="str">
        <f>VLOOKUP(B7,薪酬明细!I:I,1,0)</f>
        <v>王倩</v>
      </c>
      <c r="AP7" s="201" t="str">
        <f>VLOOKUP(C7,薪酬明细!A:A,1,0)</f>
        <v>开博人才王倩</v>
      </c>
      <c r="AQ7" s="201" t="str">
        <f t="shared" si="6"/>
        <v>开博人才王倩</v>
      </c>
      <c r="AR7" s="201">
        <v>0</v>
      </c>
      <c r="AS7" s="201">
        <f t="shared" ref="AS7:AS40" si="19">H7+I7+J7+K7+L7</f>
        <v>0</v>
      </c>
      <c r="AT7" s="201">
        <f t="shared" ref="AT7:AT40" si="20">AR7-AS7</f>
        <v>0</v>
      </c>
      <c r="AU7" s="201">
        <v>0</v>
      </c>
      <c r="AV7" s="201">
        <f t="shared" ref="AV7:AV40" si="21">AU7-M7-N7-O7-P7-Q7-R7-S7</f>
        <v>0</v>
      </c>
      <c r="AW7" s="201" t="e">
        <f>VLOOKUP(C7,薪酬明细!A:A,2,0)</f>
        <v>#REF!</v>
      </c>
      <c r="AX7" s="201" t="b">
        <f t="shared" si="7"/>
        <v>1</v>
      </c>
      <c r="AY7" s="201" t="b">
        <f t="shared" si="8"/>
        <v>1</v>
      </c>
    </row>
    <row r="8" s="201" customFormat="1" spans="1:51">
      <c r="A8" s="163" t="s">
        <v>61</v>
      </c>
      <c r="B8" s="163" t="s">
        <v>262</v>
      </c>
      <c r="C8" s="163" t="str">
        <f t="shared" si="0"/>
        <v>开弈人力资源葛豪平</v>
      </c>
      <c r="D8" s="163" t="s">
        <v>61</v>
      </c>
      <c r="E8" s="163"/>
      <c r="F8" s="228">
        <v>10000</v>
      </c>
      <c r="G8" s="228">
        <v>10000</v>
      </c>
      <c r="H8" s="229">
        <f t="shared" si="11"/>
        <v>800</v>
      </c>
      <c r="I8" s="163">
        <f t="shared" si="12"/>
        <v>200</v>
      </c>
      <c r="J8" s="163">
        <f t="shared" si="13"/>
        <v>50</v>
      </c>
      <c r="K8" s="163">
        <f t="shared" si="9"/>
        <v>700</v>
      </c>
      <c r="L8" s="230">
        <f t="shared" si="1"/>
        <v>500</v>
      </c>
      <c r="M8" s="229">
        <f t="shared" si="14"/>
        <v>1600</v>
      </c>
      <c r="N8" s="163">
        <f t="shared" si="15"/>
        <v>800</v>
      </c>
      <c r="O8" s="163">
        <f t="shared" si="16"/>
        <v>50</v>
      </c>
      <c r="P8" s="163">
        <f t="shared" si="17"/>
        <v>32</v>
      </c>
      <c r="Q8" s="163">
        <f t="shared" si="18"/>
        <v>100</v>
      </c>
      <c r="R8" s="163">
        <f t="shared" si="10"/>
        <v>700</v>
      </c>
      <c r="S8" s="163">
        <f t="shared" si="2"/>
        <v>500</v>
      </c>
      <c r="T8" s="230"/>
      <c r="U8" s="229">
        <f>VLOOKUP($D8,'HR|社保政策'!$A:P,6,0)</f>
        <v>0.16</v>
      </c>
      <c r="V8" s="163">
        <f>VLOOKUP($D8,'HR|社保政策'!$A:Q,7,0)</f>
        <v>0.005</v>
      </c>
      <c r="W8" s="231">
        <f>VLOOKUP($D8,'HR|社保政策'!$A:R,8,0)</f>
        <v>0.0032</v>
      </c>
      <c r="X8" s="163">
        <f>VLOOKUP($D8,'HR|社保政策'!$A:S,9,0)</f>
        <v>0.01</v>
      </c>
      <c r="Y8" s="163">
        <v>0.08</v>
      </c>
      <c r="Z8" s="163">
        <f>VLOOKUP($D8,'HR|社保政策'!$A:U,11,0)</f>
        <v>0.07</v>
      </c>
      <c r="AA8" s="163">
        <f>VLOOKUP($D8,'HR|社保政策'!$A:V,12,0)</f>
        <v>0.08</v>
      </c>
      <c r="AB8" s="163">
        <f>VLOOKUP($D8,'HR|社保政策'!$A:W,13,0)</f>
        <v>0.02</v>
      </c>
      <c r="AC8" s="163">
        <f>VLOOKUP($D8,'HR|社保政策'!$A:X,14,0)</f>
        <v>0</v>
      </c>
      <c r="AD8" s="232">
        <f>VLOOKUP($D8,'HR|社保政策'!$A:Y,15,0)</f>
        <v>0.005</v>
      </c>
      <c r="AE8" s="163">
        <f>VLOOKUP($D8,'HR|社保政策'!$A:Z,16,0)</f>
        <v>0.07</v>
      </c>
      <c r="AF8" s="233">
        <v>0.05</v>
      </c>
      <c r="AG8" s="163">
        <f t="shared" si="3"/>
        <v>2250</v>
      </c>
      <c r="AH8" s="163">
        <f t="shared" si="4"/>
        <v>3782</v>
      </c>
      <c r="AI8" s="228">
        <f t="shared" si="5"/>
        <v>6032</v>
      </c>
      <c r="AJ8" s="234"/>
      <c r="AK8" s="234"/>
      <c r="AL8" s="234"/>
      <c r="AM8" s="234" t="s">
        <v>273</v>
      </c>
      <c r="AN8" s="234" t="s">
        <v>273</v>
      </c>
      <c r="AO8" s="234" t="str">
        <f>VLOOKUP(B8,薪酬明细!I:I,1,0)</f>
        <v>葛豪平</v>
      </c>
      <c r="AP8" s="201" t="str">
        <f>VLOOKUP(C8,薪酬明细!A:A,1,0)</f>
        <v>开弈人力资源葛豪平</v>
      </c>
      <c r="AQ8" s="201" t="str">
        <f t="shared" si="6"/>
        <v>开弈人力资源葛豪平</v>
      </c>
      <c r="AR8" s="201">
        <v>2250</v>
      </c>
      <c r="AS8" s="201">
        <f t="shared" si="19"/>
        <v>2250</v>
      </c>
      <c r="AT8" s="201">
        <f t="shared" si="20"/>
        <v>0</v>
      </c>
      <c r="AU8" s="201">
        <v>3866</v>
      </c>
      <c r="AV8" s="201">
        <f t="shared" si="21"/>
        <v>84</v>
      </c>
      <c r="AW8" s="201" t="e">
        <f>VLOOKUP(C8,薪酬明细!A:A,2,0)</f>
        <v>#REF!</v>
      </c>
      <c r="AX8" s="201" t="b">
        <f t="shared" si="7"/>
        <v>1</v>
      </c>
      <c r="AY8" s="201" t="b">
        <f t="shared" si="8"/>
        <v>1</v>
      </c>
    </row>
    <row r="9" s="201" customFormat="1" spans="1:51">
      <c r="A9" s="163" t="s">
        <v>61</v>
      </c>
      <c r="B9" s="163" t="s">
        <v>288</v>
      </c>
      <c r="C9" s="163" t="str">
        <f t="shared" si="0"/>
        <v>开弈人力资源闫秀文</v>
      </c>
      <c r="D9" s="163" t="s">
        <v>61</v>
      </c>
      <c r="E9" s="163" t="s">
        <v>263</v>
      </c>
      <c r="F9" s="228">
        <v>7460</v>
      </c>
      <c r="G9" s="228"/>
      <c r="H9" s="229">
        <f t="shared" si="11"/>
        <v>596.8</v>
      </c>
      <c r="I9" s="163">
        <f t="shared" si="12"/>
        <v>149.2</v>
      </c>
      <c r="J9" s="163">
        <f t="shared" si="13"/>
        <v>37.3</v>
      </c>
      <c r="K9" s="163">
        <f t="shared" si="9"/>
        <v>0</v>
      </c>
      <c r="L9" s="230">
        <f t="shared" si="1"/>
        <v>0</v>
      </c>
      <c r="M9" s="229">
        <f t="shared" si="14"/>
        <v>1193.6</v>
      </c>
      <c r="N9" s="163">
        <f t="shared" si="15"/>
        <v>596.8</v>
      </c>
      <c r="O9" s="163">
        <f t="shared" si="16"/>
        <v>37.3</v>
      </c>
      <c r="P9" s="163">
        <f t="shared" si="17"/>
        <v>23.87</v>
      </c>
      <c r="Q9" s="163">
        <f t="shared" si="18"/>
        <v>74.6</v>
      </c>
      <c r="R9" s="163">
        <f t="shared" si="10"/>
        <v>0</v>
      </c>
      <c r="S9" s="163">
        <f t="shared" si="2"/>
        <v>0</v>
      </c>
      <c r="T9" s="230"/>
      <c r="U9" s="229">
        <f>VLOOKUP($D9,'HR|社保政策'!$A:P,6,0)</f>
        <v>0.16</v>
      </c>
      <c r="V9" s="163">
        <f>VLOOKUP($D9,'HR|社保政策'!$A:Q,7,0)</f>
        <v>0.005</v>
      </c>
      <c r="W9" s="231">
        <f>VLOOKUP($D9,'HR|社保政策'!$A:R,8,0)</f>
        <v>0.0032</v>
      </c>
      <c r="X9" s="163">
        <f>VLOOKUP($D9,'HR|社保政策'!$A:S,9,0)</f>
        <v>0.01</v>
      </c>
      <c r="Y9" s="163">
        <v>0.08</v>
      </c>
      <c r="Z9" s="163">
        <f>VLOOKUP($D9,'HR|社保政策'!$A:U,11,0)</f>
        <v>0.07</v>
      </c>
      <c r="AA9" s="163">
        <f>VLOOKUP($D9,'HR|社保政策'!$A:V,12,0)</f>
        <v>0.08</v>
      </c>
      <c r="AB9" s="163">
        <f>VLOOKUP($D9,'HR|社保政策'!$A:W,13,0)</f>
        <v>0.02</v>
      </c>
      <c r="AC9" s="163">
        <f>VLOOKUP($D9,'HR|社保政策'!$A:X,14,0)</f>
        <v>0</v>
      </c>
      <c r="AD9" s="232">
        <f>VLOOKUP($D9,'HR|社保政策'!$A:Y,15,0)</f>
        <v>0.005</v>
      </c>
      <c r="AE9" s="163">
        <f>VLOOKUP($D9,'HR|社保政策'!$A:Z,16,0)</f>
        <v>0.07</v>
      </c>
      <c r="AF9" s="233"/>
      <c r="AG9" s="163">
        <f t="shared" si="3"/>
        <v>783.3</v>
      </c>
      <c r="AH9" s="163">
        <f t="shared" si="4"/>
        <v>1926.17</v>
      </c>
      <c r="AI9" s="228">
        <f t="shared" si="5"/>
        <v>2709.47</v>
      </c>
      <c r="AJ9" s="234"/>
      <c r="AK9" s="234"/>
      <c r="AL9" s="234"/>
      <c r="AM9" s="234" t="s">
        <v>273</v>
      </c>
      <c r="AN9" s="234"/>
      <c r="AO9" s="234" t="str">
        <f>VLOOKUP(B9,薪酬明细!I:I,1,0)</f>
        <v>闫秀文</v>
      </c>
      <c r="AP9" s="201" t="str">
        <f>VLOOKUP(C9,薪酬明细!A:A,1,0)</f>
        <v>开弈人力资源闫秀文</v>
      </c>
      <c r="AQ9" s="201" t="str">
        <f t="shared" si="6"/>
        <v>开弈人力资源闫秀文</v>
      </c>
      <c r="AR9" s="201">
        <v>684.6</v>
      </c>
      <c r="AS9" s="201">
        <f t="shared" si="19"/>
        <v>783.3</v>
      </c>
      <c r="AT9" s="201">
        <f t="shared" si="20"/>
        <v>-98.6999999999999</v>
      </c>
      <c r="AU9" s="201">
        <v>1744.5</v>
      </c>
      <c r="AV9" s="201">
        <f t="shared" si="21"/>
        <v>-181.67</v>
      </c>
      <c r="AW9" s="201" t="e">
        <f>VLOOKUP(C9,薪酬明细!A:A,2,0)</f>
        <v>#REF!</v>
      </c>
      <c r="AX9" s="201" t="b">
        <f t="shared" si="7"/>
        <v>1</v>
      </c>
      <c r="AY9" s="201" t="b">
        <f t="shared" si="8"/>
        <v>1</v>
      </c>
    </row>
    <row r="10" s="201" customFormat="1" spans="1:51">
      <c r="A10" s="163" t="s">
        <v>61</v>
      </c>
      <c r="B10" s="163" t="s">
        <v>328</v>
      </c>
      <c r="C10" s="163" t="str">
        <f t="shared" si="0"/>
        <v>开弈人力资源姜启志</v>
      </c>
      <c r="D10" s="163" t="s">
        <v>61</v>
      </c>
      <c r="E10" s="163" t="s">
        <v>263</v>
      </c>
      <c r="F10" s="228">
        <v>7460</v>
      </c>
      <c r="G10" s="228"/>
      <c r="H10" s="229">
        <f t="shared" si="11"/>
        <v>596.8</v>
      </c>
      <c r="I10" s="163">
        <f t="shared" si="12"/>
        <v>149.2</v>
      </c>
      <c r="J10" s="163">
        <f t="shared" si="13"/>
        <v>37.3</v>
      </c>
      <c r="K10" s="163">
        <f t="shared" si="9"/>
        <v>0</v>
      </c>
      <c r="L10" s="230">
        <f t="shared" si="1"/>
        <v>0</v>
      </c>
      <c r="M10" s="229">
        <f t="shared" si="14"/>
        <v>1193.6</v>
      </c>
      <c r="N10" s="163">
        <f t="shared" si="15"/>
        <v>596.8</v>
      </c>
      <c r="O10" s="163">
        <f t="shared" si="16"/>
        <v>37.3</v>
      </c>
      <c r="P10" s="163">
        <f t="shared" si="17"/>
        <v>23.87</v>
      </c>
      <c r="Q10" s="163">
        <f t="shared" si="18"/>
        <v>74.6</v>
      </c>
      <c r="R10" s="163">
        <f t="shared" si="10"/>
        <v>0</v>
      </c>
      <c r="S10" s="163">
        <f t="shared" si="2"/>
        <v>0</v>
      </c>
      <c r="T10" s="230"/>
      <c r="U10" s="229">
        <f>VLOOKUP($D10,'HR|社保政策'!$A:P,6,0)</f>
        <v>0.16</v>
      </c>
      <c r="V10" s="163">
        <f>VLOOKUP($D10,'HR|社保政策'!$A:Q,7,0)</f>
        <v>0.005</v>
      </c>
      <c r="W10" s="231">
        <f>VLOOKUP($D10,'HR|社保政策'!$A:R,8,0)</f>
        <v>0.0032</v>
      </c>
      <c r="X10" s="163">
        <f>VLOOKUP($D10,'HR|社保政策'!$A:S,9,0)</f>
        <v>0.01</v>
      </c>
      <c r="Y10" s="163">
        <v>0.08</v>
      </c>
      <c r="Z10" s="163">
        <f>VLOOKUP($D10,'HR|社保政策'!$A:U,11,0)</f>
        <v>0.07</v>
      </c>
      <c r="AA10" s="163">
        <f>VLOOKUP($D10,'HR|社保政策'!$A:V,12,0)</f>
        <v>0.08</v>
      </c>
      <c r="AB10" s="163">
        <f>VLOOKUP($D10,'HR|社保政策'!$A:W,13,0)</f>
        <v>0.02</v>
      </c>
      <c r="AC10" s="163">
        <f>VLOOKUP($D10,'HR|社保政策'!$A:X,14,0)</f>
        <v>0</v>
      </c>
      <c r="AD10" s="232">
        <f>VLOOKUP($D10,'HR|社保政策'!$A:Y,15,0)</f>
        <v>0.005</v>
      </c>
      <c r="AE10" s="163">
        <f>VLOOKUP($D10,'HR|社保政策'!$A:Z,16,0)</f>
        <v>0.07</v>
      </c>
      <c r="AF10" s="233"/>
      <c r="AG10" s="163">
        <f t="shared" si="3"/>
        <v>783.3</v>
      </c>
      <c r="AH10" s="163">
        <f t="shared" si="4"/>
        <v>1926.17</v>
      </c>
      <c r="AI10" s="228">
        <f t="shared" si="5"/>
        <v>2709.47</v>
      </c>
      <c r="AJ10" s="234"/>
      <c r="AK10" s="234"/>
      <c r="AL10" s="234"/>
      <c r="AM10" s="234" t="s">
        <v>273</v>
      </c>
      <c r="AN10" s="234"/>
      <c r="AO10" s="234" t="str">
        <f>VLOOKUP(B10,薪酬明细!I:I,1,0)</f>
        <v>姜启志</v>
      </c>
      <c r="AP10" s="201" t="str">
        <f>VLOOKUP(C10,薪酬明细!A:A,1,0)</f>
        <v>开弈人力资源姜启志</v>
      </c>
      <c r="AQ10" s="201" t="str">
        <f t="shared" si="6"/>
        <v>开弈人力资源姜启志</v>
      </c>
      <c r="AR10" s="201">
        <v>684.6</v>
      </c>
      <c r="AS10" s="201">
        <f t="shared" si="19"/>
        <v>783.3</v>
      </c>
      <c r="AT10" s="201">
        <f t="shared" si="20"/>
        <v>-98.6999999999999</v>
      </c>
      <c r="AU10" s="201">
        <v>1744.5</v>
      </c>
      <c r="AV10" s="201">
        <f t="shared" si="21"/>
        <v>-181.67</v>
      </c>
      <c r="AW10" s="201" t="e">
        <f>VLOOKUP(C10,薪酬明细!A:A,2,0)</f>
        <v>#REF!</v>
      </c>
      <c r="AX10" s="201" t="b">
        <f t="shared" si="7"/>
        <v>1</v>
      </c>
      <c r="AY10" s="201" t="b">
        <f t="shared" si="8"/>
        <v>1</v>
      </c>
    </row>
    <row r="11" s="201" customFormat="1" spans="1:51">
      <c r="A11" s="163" t="s">
        <v>61</v>
      </c>
      <c r="B11" s="163" t="s">
        <v>330</v>
      </c>
      <c r="C11" s="163" t="str">
        <f t="shared" si="0"/>
        <v>开弈人力资源沈丽霞</v>
      </c>
      <c r="D11" s="163" t="s">
        <v>61</v>
      </c>
      <c r="E11" s="163"/>
      <c r="F11" s="228">
        <v>7460</v>
      </c>
      <c r="G11" s="228">
        <v>7384</v>
      </c>
      <c r="H11" s="229">
        <f t="shared" si="11"/>
        <v>596.8</v>
      </c>
      <c r="I11" s="163">
        <f t="shared" si="12"/>
        <v>149.2</v>
      </c>
      <c r="J11" s="163">
        <f t="shared" si="13"/>
        <v>37.3</v>
      </c>
      <c r="K11" s="163">
        <f t="shared" si="9"/>
        <v>517</v>
      </c>
      <c r="L11" s="230">
        <f t="shared" si="1"/>
        <v>369</v>
      </c>
      <c r="M11" s="229">
        <f t="shared" si="14"/>
        <v>1193.6</v>
      </c>
      <c r="N11" s="163">
        <f t="shared" si="15"/>
        <v>596.8</v>
      </c>
      <c r="O11" s="163">
        <f t="shared" si="16"/>
        <v>37.3</v>
      </c>
      <c r="P11" s="163">
        <f t="shared" si="17"/>
        <v>23.87</v>
      </c>
      <c r="Q11" s="163">
        <f t="shared" si="18"/>
        <v>74.6</v>
      </c>
      <c r="R11" s="163">
        <f t="shared" si="10"/>
        <v>517</v>
      </c>
      <c r="S11" s="163">
        <f t="shared" si="2"/>
        <v>369</v>
      </c>
      <c r="T11" s="230"/>
      <c r="U11" s="229">
        <f>VLOOKUP($D11,'HR|社保政策'!$A:P,6,0)</f>
        <v>0.16</v>
      </c>
      <c r="V11" s="163">
        <f>VLOOKUP($D11,'HR|社保政策'!$A:Q,7,0)</f>
        <v>0.005</v>
      </c>
      <c r="W11" s="231">
        <f>VLOOKUP($D11,'HR|社保政策'!$A:R,8,0)</f>
        <v>0.0032</v>
      </c>
      <c r="X11" s="163">
        <f>VLOOKUP($D11,'HR|社保政策'!$A:S,9,0)</f>
        <v>0.01</v>
      </c>
      <c r="Y11" s="163">
        <v>0.08</v>
      </c>
      <c r="Z11" s="163">
        <f>VLOOKUP($D11,'HR|社保政策'!$A:U,11,0)</f>
        <v>0.07</v>
      </c>
      <c r="AA11" s="163">
        <f>VLOOKUP($D11,'HR|社保政策'!$A:V,12,0)</f>
        <v>0.08</v>
      </c>
      <c r="AB11" s="163">
        <f>VLOOKUP($D11,'HR|社保政策'!$A:W,13,0)</f>
        <v>0.02</v>
      </c>
      <c r="AC11" s="163">
        <f>VLOOKUP($D11,'HR|社保政策'!$A:X,14,0)</f>
        <v>0</v>
      </c>
      <c r="AD11" s="232">
        <f>VLOOKUP($D11,'HR|社保政策'!$A:Y,15,0)</f>
        <v>0.005</v>
      </c>
      <c r="AE11" s="163">
        <f>VLOOKUP($D11,'HR|社保政策'!$A:Z,16,0)</f>
        <v>0.07</v>
      </c>
      <c r="AF11" s="233">
        <v>0.05</v>
      </c>
      <c r="AG11" s="163">
        <f t="shared" si="3"/>
        <v>1669.3</v>
      </c>
      <c r="AH11" s="163">
        <f t="shared" si="4"/>
        <v>2812.17</v>
      </c>
      <c r="AI11" s="228">
        <f t="shared" si="5"/>
        <v>4481.47</v>
      </c>
      <c r="AJ11" s="234"/>
      <c r="AK11" s="234"/>
      <c r="AL11" s="234"/>
      <c r="AM11" s="234" t="s">
        <v>273</v>
      </c>
      <c r="AN11" s="234" t="s">
        <v>273</v>
      </c>
      <c r="AO11" s="234" t="str">
        <f>VLOOKUP(B11,薪酬明细!I:I,1,0)</f>
        <v>沈丽霞</v>
      </c>
      <c r="AP11" s="201" t="str">
        <f>VLOOKUP(C11,薪酬明细!A:A,1,0)</f>
        <v>开弈人力资源沈丽霞</v>
      </c>
      <c r="AQ11" s="201" t="str">
        <f t="shared" si="6"/>
        <v>开弈人力资源沈丽霞</v>
      </c>
      <c r="AR11" s="201">
        <v>1485</v>
      </c>
      <c r="AS11" s="201">
        <f t="shared" si="19"/>
        <v>1669.3</v>
      </c>
      <c r="AT11" s="201">
        <f t="shared" si="20"/>
        <v>-184.3</v>
      </c>
      <c r="AU11" s="201">
        <v>2551.6</v>
      </c>
      <c r="AV11" s="201">
        <f t="shared" si="21"/>
        <v>-260.57</v>
      </c>
      <c r="AW11" s="201" t="e">
        <f>VLOOKUP(C11,薪酬明细!A:A,2,0)</f>
        <v>#REF!</v>
      </c>
      <c r="AX11" s="201" t="b">
        <f t="shared" si="7"/>
        <v>1</v>
      </c>
      <c r="AY11" s="201" t="b">
        <f t="shared" si="8"/>
        <v>1</v>
      </c>
    </row>
    <row r="12" s="201" customFormat="1" spans="1:51">
      <c r="A12" s="163" t="s">
        <v>63</v>
      </c>
      <c r="B12" s="163" t="s">
        <v>280</v>
      </c>
      <c r="C12" s="163" t="str">
        <f t="shared" si="0"/>
        <v>靠普人力英成盛</v>
      </c>
      <c r="D12" s="163" t="s">
        <v>32</v>
      </c>
      <c r="E12" s="163" t="s">
        <v>263</v>
      </c>
      <c r="F12" s="228">
        <v>7460</v>
      </c>
      <c r="G12" s="228"/>
      <c r="H12" s="229">
        <f t="shared" si="11"/>
        <v>596.8</v>
      </c>
      <c r="I12" s="163">
        <f t="shared" si="12"/>
        <v>149.2</v>
      </c>
      <c r="J12" s="163">
        <f t="shared" si="13"/>
        <v>37.3</v>
      </c>
      <c r="K12" s="163">
        <f t="shared" si="9"/>
        <v>0</v>
      </c>
      <c r="L12" s="230">
        <f t="shared" si="1"/>
        <v>0</v>
      </c>
      <c r="M12" s="229">
        <f t="shared" si="14"/>
        <v>1193.6</v>
      </c>
      <c r="N12" s="163">
        <f t="shared" si="15"/>
        <v>596.8</v>
      </c>
      <c r="O12" s="163">
        <f t="shared" si="16"/>
        <v>37.3</v>
      </c>
      <c r="P12" s="163">
        <f t="shared" si="17"/>
        <v>23.87</v>
      </c>
      <c r="Q12" s="163">
        <f t="shared" si="18"/>
        <v>74.6</v>
      </c>
      <c r="R12" s="163">
        <f t="shared" si="10"/>
        <v>0</v>
      </c>
      <c r="S12" s="163">
        <f t="shared" si="2"/>
        <v>0</v>
      </c>
      <c r="T12" s="230"/>
      <c r="U12" s="229">
        <f>VLOOKUP($D12,'HR|社保政策'!$A:P,6,0)</f>
        <v>0.16</v>
      </c>
      <c r="V12" s="163">
        <f>VLOOKUP($D12,'HR|社保政策'!$A:Q,7,0)</f>
        <v>0.005</v>
      </c>
      <c r="W12" s="231">
        <f>VLOOKUP($D12,'HR|社保政策'!$A:R,8,0)</f>
        <v>0.0032</v>
      </c>
      <c r="X12" s="163">
        <f>VLOOKUP($D12,'HR|社保政策'!$A:S,9,0)</f>
        <v>0.01</v>
      </c>
      <c r="Y12" s="163">
        <v>0.08</v>
      </c>
      <c r="Z12" s="163">
        <f>VLOOKUP($D12,'HR|社保政策'!$A:U,11,0)</f>
        <v>0.07</v>
      </c>
      <c r="AA12" s="163">
        <f>VLOOKUP($D12,'HR|社保政策'!$A:V,12,0)</f>
        <v>0.08</v>
      </c>
      <c r="AB12" s="163">
        <f>VLOOKUP($D12,'HR|社保政策'!$A:W,13,0)</f>
        <v>0.02</v>
      </c>
      <c r="AC12" s="163">
        <f>VLOOKUP($D12,'HR|社保政策'!$A:X,14,0)</f>
        <v>0</v>
      </c>
      <c r="AD12" s="232">
        <f>VLOOKUP($D12,'HR|社保政策'!$A:Y,15,0)</f>
        <v>0.005</v>
      </c>
      <c r="AE12" s="163">
        <f>VLOOKUP($D12,'HR|社保政策'!$A:Z,16,0)</f>
        <v>0.07</v>
      </c>
      <c r="AF12" s="233"/>
      <c r="AG12" s="163">
        <f t="shared" si="3"/>
        <v>783.3</v>
      </c>
      <c r="AH12" s="163">
        <f t="shared" si="4"/>
        <v>1926.17</v>
      </c>
      <c r="AI12" s="228">
        <f t="shared" si="5"/>
        <v>2709.47</v>
      </c>
      <c r="AJ12" s="234"/>
      <c r="AK12" s="234"/>
      <c r="AL12" s="234"/>
      <c r="AM12" s="234" t="s">
        <v>273</v>
      </c>
      <c r="AN12" s="234"/>
      <c r="AO12" s="234" t="str">
        <f>VLOOKUP(B12,薪酬明细!I:I,1,0)</f>
        <v>英成盛</v>
      </c>
      <c r="AP12" s="201" t="str">
        <f>VLOOKUP(C12,薪酬明细!A:A,1,0)</f>
        <v>靠普人力英成盛</v>
      </c>
      <c r="AQ12" s="201" t="str">
        <f t="shared" si="6"/>
        <v>靠普人力英成盛</v>
      </c>
      <c r="AR12" s="201">
        <v>684.6</v>
      </c>
      <c r="AS12" s="201">
        <f t="shared" si="19"/>
        <v>783.3</v>
      </c>
      <c r="AT12" s="201">
        <f t="shared" si="20"/>
        <v>-98.6999999999999</v>
      </c>
      <c r="AU12" s="201">
        <v>1738.3</v>
      </c>
      <c r="AV12" s="201">
        <f t="shared" si="21"/>
        <v>-187.87</v>
      </c>
      <c r="AW12" s="201" t="e">
        <f>VLOOKUP(C12,薪酬明细!A:A,2,0)</f>
        <v>#REF!</v>
      </c>
      <c r="AX12" s="201" t="b">
        <f t="shared" si="7"/>
        <v>0</v>
      </c>
      <c r="AY12" s="201" t="b">
        <f t="shared" si="8"/>
        <v>1</v>
      </c>
    </row>
    <row r="13" s="201" customFormat="1" spans="1:51">
      <c r="A13" s="163" t="s">
        <v>61</v>
      </c>
      <c r="B13" s="163" t="s">
        <v>335</v>
      </c>
      <c r="C13" s="163" t="str">
        <f t="shared" si="0"/>
        <v>开弈人力资源徐丽红</v>
      </c>
      <c r="D13" s="163" t="s">
        <v>61</v>
      </c>
      <c r="E13" s="163" t="s">
        <v>263</v>
      </c>
      <c r="F13" s="228">
        <v>7460</v>
      </c>
      <c r="G13" s="228"/>
      <c r="H13" s="229">
        <f t="shared" si="11"/>
        <v>596.8</v>
      </c>
      <c r="I13" s="163">
        <f t="shared" si="12"/>
        <v>149.2</v>
      </c>
      <c r="J13" s="163">
        <f t="shared" si="13"/>
        <v>37.3</v>
      </c>
      <c r="K13" s="163">
        <f t="shared" si="9"/>
        <v>0</v>
      </c>
      <c r="L13" s="230">
        <f t="shared" si="1"/>
        <v>0</v>
      </c>
      <c r="M13" s="229">
        <f t="shared" si="14"/>
        <v>1193.6</v>
      </c>
      <c r="N13" s="163">
        <f t="shared" si="15"/>
        <v>596.8</v>
      </c>
      <c r="O13" s="163">
        <f t="shared" si="16"/>
        <v>37.3</v>
      </c>
      <c r="P13" s="163">
        <f t="shared" si="17"/>
        <v>23.87</v>
      </c>
      <c r="Q13" s="163">
        <f t="shared" si="18"/>
        <v>74.6</v>
      </c>
      <c r="R13" s="163">
        <f t="shared" si="10"/>
        <v>0</v>
      </c>
      <c r="S13" s="163">
        <f t="shared" si="2"/>
        <v>0</v>
      </c>
      <c r="T13" s="230"/>
      <c r="U13" s="229">
        <f>VLOOKUP($D13,'HR|社保政策'!$A:P,6,0)</f>
        <v>0.16</v>
      </c>
      <c r="V13" s="163">
        <f>VLOOKUP($D13,'HR|社保政策'!$A:Q,7,0)</f>
        <v>0.005</v>
      </c>
      <c r="W13" s="231">
        <f>VLOOKUP($D13,'HR|社保政策'!$A:R,8,0)</f>
        <v>0.0032</v>
      </c>
      <c r="X13" s="163">
        <f>VLOOKUP($D13,'HR|社保政策'!$A:S,9,0)</f>
        <v>0.01</v>
      </c>
      <c r="Y13" s="163">
        <v>0.08</v>
      </c>
      <c r="Z13" s="163">
        <f>VLOOKUP($D13,'HR|社保政策'!$A:U,11,0)</f>
        <v>0.07</v>
      </c>
      <c r="AA13" s="163">
        <f>VLOOKUP($D13,'HR|社保政策'!$A:V,12,0)</f>
        <v>0.08</v>
      </c>
      <c r="AB13" s="163">
        <f>VLOOKUP($D13,'HR|社保政策'!$A:W,13,0)</f>
        <v>0.02</v>
      </c>
      <c r="AC13" s="163">
        <f>VLOOKUP($D13,'HR|社保政策'!$A:X,14,0)</f>
        <v>0</v>
      </c>
      <c r="AD13" s="232">
        <f>VLOOKUP($D13,'HR|社保政策'!$A:Y,15,0)</f>
        <v>0.005</v>
      </c>
      <c r="AE13" s="163">
        <f>VLOOKUP($D13,'HR|社保政策'!$A:Z,16,0)</f>
        <v>0.07</v>
      </c>
      <c r="AF13" s="233"/>
      <c r="AG13" s="163">
        <f t="shared" si="3"/>
        <v>783.3</v>
      </c>
      <c r="AH13" s="163">
        <f t="shared" si="4"/>
        <v>1926.17</v>
      </c>
      <c r="AI13" s="228">
        <f t="shared" si="5"/>
        <v>2709.47</v>
      </c>
      <c r="AJ13" s="234"/>
      <c r="AK13" s="234"/>
      <c r="AL13" s="234"/>
      <c r="AM13" s="234" t="s">
        <v>273</v>
      </c>
      <c r="AN13" s="234"/>
      <c r="AO13" s="234" t="str">
        <f>VLOOKUP(B13,薪酬明细!I:I,1,0)</f>
        <v>徐丽红</v>
      </c>
      <c r="AP13" s="201" t="str">
        <f>VLOOKUP(C13,薪酬明细!A:A,1,0)</f>
        <v>开弈人力资源徐丽红</v>
      </c>
      <c r="AQ13" s="201" t="str">
        <f t="shared" si="6"/>
        <v>开弈人力资源徐丽红</v>
      </c>
      <c r="AR13" s="201">
        <v>684.6</v>
      </c>
      <c r="AS13" s="201">
        <f t="shared" si="19"/>
        <v>783.3</v>
      </c>
      <c r="AT13" s="201">
        <f t="shared" si="20"/>
        <v>-98.6999999999999</v>
      </c>
      <c r="AU13" s="201">
        <v>1744.5</v>
      </c>
      <c r="AV13" s="201">
        <f t="shared" si="21"/>
        <v>-181.67</v>
      </c>
      <c r="AW13" s="201" t="e">
        <f>VLOOKUP(C13,薪酬明细!A:A,2,0)</f>
        <v>#REF!</v>
      </c>
      <c r="AX13" s="201" t="b">
        <f t="shared" si="7"/>
        <v>1</v>
      </c>
      <c r="AY13" s="201" t="b">
        <f t="shared" si="8"/>
        <v>1</v>
      </c>
    </row>
    <row r="14" s="201" customFormat="1" spans="1:51">
      <c r="A14" s="163" t="s">
        <v>61</v>
      </c>
      <c r="B14" s="163" t="s">
        <v>292</v>
      </c>
      <c r="C14" s="163" t="str">
        <f t="shared" si="0"/>
        <v>开弈人力资源孙文丽</v>
      </c>
      <c r="D14" s="163" t="s">
        <v>61</v>
      </c>
      <c r="E14" s="163" t="s">
        <v>263</v>
      </c>
      <c r="F14" s="228">
        <v>7460</v>
      </c>
      <c r="G14" s="228"/>
      <c r="H14" s="229">
        <f t="shared" si="11"/>
        <v>596.8</v>
      </c>
      <c r="I14" s="163">
        <f t="shared" si="12"/>
        <v>149.2</v>
      </c>
      <c r="J14" s="163">
        <f t="shared" si="13"/>
        <v>37.3</v>
      </c>
      <c r="K14" s="163">
        <f t="shared" si="9"/>
        <v>0</v>
      </c>
      <c r="L14" s="230">
        <f t="shared" si="1"/>
        <v>0</v>
      </c>
      <c r="M14" s="229">
        <f t="shared" si="14"/>
        <v>1193.6</v>
      </c>
      <c r="N14" s="163">
        <f t="shared" si="15"/>
        <v>596.8</v>
      </c>
      <c r="O14" s="163">
        <f t="shared" si="16"/>
        <v>37.3</v>
      </c>
      <c r="P14" s="163">
        <f t="shared" si="17"/>
        <v>23.87</v>
      </c>
      <c r="Q14" s="163">
        <f t="shared" si="18"/>
        <v>74.6</v>
      </c>
      <c r="R14" s="163">
        <f t="shared" si="10"/>
        <v>0</v>
      </c>
      <c r="S14" s="163">
        <f t="shared" si="2"/>
        <v>0</v>
      </c>
      <c r="T14" s="230"/>
      <c r="U14" s="229">
        <f>VLOOKUP($D14,'HR|社保政策'!$A:P,6,0)</f>
        <v>0.16</v>
      </c>
      <c r="V14" s="163">
        <f>VLOOKUP($D14,'HR|社保政策'!$A:Q,7,0)</f>
        <v>0.005</v>
      </c>
      <c r="W14" s="231">
        <f>VLOOKUP($D14,'HR|社保政策'!$A:R,8,0)</f>
        <v>0.0032</v>
      </c>
      <c r="X14" s="163">
        <f>VLOOKUP($D14,'HR|社保政策'!$A:S,9,0)</f>
        <v>0.01</v>
      </c>
      <c r="Y14" s="163">
        <v>0.08</v>
      </c>
      <c r="Z14" s="163">
        <f>VLOOKUP($D14,'HR|社保政策'!$A:U,11,0)</f>
        <v>0.07</v>
      </c>
      <c r="AA14" s="163">
        <f>VLOOKUP($D14,'HR|社保政策'!$A:V,12,0)</f>
        <v>0.08</v>
      </c>
      <c r="AB14" s="163">
        <f>VLOOKUP($D14,'HR|社保政策'!$A:W,13,0)</f>
        <v>0.02</v>
      </c>
      <c r="AC14" s="163">
        <f>VLOOKUP($D14,'HR|社保政策'!$A:X,14,0)</f>
        <v>0</v>
      </c>
      <c r="AD14" s="232">
        <f>VLOOKUP($D14,'HR|社保政策'!$A:Y,15,0)</f>
        <v>0.005</v>
      </c>
      <c r="AE14" s="163">
        <f>VLOOKUP($D14,'HR|社保政策'!$A:Z,16,0)</f>
        <v>0.07</v>
      </c>
      <c r="AF14" s="233"/>
      <c r="AG14" s="163">
        <f t="shared" si="3"/>
        <v>783.3</v>
      </c>
      <c r="AH14" s="163">
        <f t="shared" si="4"/>
        <v>1926.17</v>
      </c>
      <c r="AI14" s="228">
        <f t="shared" si="5"/>
        <v>2709.47</v>
      </c>
      <c r="AJ14" s="234"/>
      <c r="AK14" s="234"/>
      <c r="AL14" s="234"/>
      <c r="AM14" s="234" t="s">
        <v>273</v>
      </c>
      <c r="AN14" s="234"/>
      <c r="AO14" s="234" t="str">
        <f>VLOOKUP(B14,薪酬明细!I:I,1,0)</f>
        <v>孙文丽</v>
      </c>
      <c r="AP14" s="201" t="str">
        <f>VLOOKUP(C14,薪酬明细!A:A,1,0)</f>
        <v>开弈人力资源孙文丽</v>
      </c>
      <c r="AQ14" s="201" t="str">
        <f t="shared" si="6"/>
        <v>开弈人力资源孙文丽</v>
      </c>
      <c r="AR14" s="201">
        <v>684.6</v>
      </c>
      <c r="AS14" s="201">
        <f t="shared" si="19"/>
        <v>783.3</v>
      </c>
      <c r="AT14" s="201">
        <f t="shared" si="20"/>
        <v>-98.6999999999999</v>
      </c>
      <c r="AU14" s="201">
        <v>1744.5</v>
      </c>
      <c r="AV14" s="201">
        <f t="shared" si="21"/>
        <v>-181.67</v>
      </c>
      <c r="AW14" s="201" t="e">
        <f>VLOOKUP(C14,薪酬明细!A:A,2,0)</f>
        <v>#REF!</v>
      </c>
      <c r="AX14" s="201" t="b">
        <f t="shared" si="7"/>
        <v>1</v>
      </c>
      <c r="AY14" s="201" t="b">
        <f t="shared" si="8"/>
        <v>1</v>
      </c>
    </row>
    <row r="15" s="201" customFormat="1" spans="1:51">
      <c r="A15" s="163" t="s">
        <v>61</v>
      </c>
      <c r="B15" s="163" t="s">
        <v>286</v>
      </c>
      <c r="C15" s="163" t="str">
        <f t="shared" si="0"/>
        <v>开弈人力资源李晓晓</v>
      </c>
      <c r="D15" s="163" t="s">
        <v>61</v>
      </c>
      <c r="E15" s="163" t="s">
        <v>263</v>
      </c>
      <c r="F15" s="228">
        <v>7460</v>
      </c>
      <c r="G15" s="228"/>
      <c r="H15" s="229">
        <f t="shared" si="11"/>
        <v>596.8</v>
      </c>
      <c r="I15" s="163">
        <f t="shared" si="12"/>
        <v>149.2</v>
      </c>
      <c r="J15" s="163">
        <f t="shared" si="13"/>
        <v>37.3</v>
      </c>
      <c r="K15" s="163">
        <f t="shared" si="9"/>
        <v>0</v>
      </c>
      <c r="L15" s="230">
        <f t="shared" si="1"/>
        <v>0</v>
      </c>
      <c r="M15" s="229">
        <f t="shared" si="14"/>
        <v>1193.6</v>
      </c>
      <c r="N15" s="163">
        <f t="shared" si="15"/>
        <v>596.8</v>
      </c>
      <c r="O15" s="163">
        <f t="shared" si="16"/>
        <v>37.3</v>
      </c>
      <c r="P15" s="163">
        <f t="shared" si="17"/>
        <v>23.87</v>
      </c>
      <c r="Q15" s="163">
        <f t="shared" si="18"/>
        <v>74.6</v>
      </c>
      <c r="R15" s="163">
        <f t="shared" si="10"/>
        <v>0</v>
      </c>
      <c r="S15" s="163">
        <f t="shared" si="2"/>
        <v>0</v>
      </c>
      <c r="T15" s="230"/>
      <c r="U15" s="229">
        <f>VLOOKUP($D15,'HR|社保政策'!$A:P,6,0)</f>
        <v>0.16</v>
      </c>
      <c r="V15" s="163">
        <f>VLOOKUP($D15,'HR|社保政策'!$A:Q,7,0)</f>
        <v>0.005</v>
      </c>
      <c r="W15" s="231">
        <f>VLOOKUP($D15,'HR|社保政策'!$A:R,8,0)</f>
        <v>0.0032</v>
      </c>
      <c r="X15" s="163">
        <f>VLOOKUP($D15,'HR|社保政策'!$A:S,9,0)</f>
        <v>0.01</v>
      </c>
      <c r="Y15" s="163">
        <v>0.08</v>
      </c>
      <c r="Z15" s="163">
        <f>VLOOKUP($D15,'HR|社保政策'!$A:U,11,0)</f>
        <v>0.07</v>
      </c>
      <c r="AA15" s="163">
        <f>VLOOKUP($D15,'HR|社保政策'!$A:V,12,0)</f>
        <v>0.08</v>
      </c>
      <c r="AB15" s="163">
        <f>VLOOKUP($D15,'HR|社保政策'!$A:W,13,0)</f>
        <v>0.02</v>
      </c>
      <c r="AC15" s="163">
        <f>VLOOKUP($D15,'HR|社保政策'!$A:X,14,0)</f>
        <v>0</v>
      </c>
      <c r="AD15" s="232">
        <f>VLOOKUP($D15,'HR|社保政策'!$A:Y,15,0)</f>
        <v>0.005</v>
      </c>
      <c r="AE15" s="163">
        <f>VLOOKUP($D15,'HR|社保政策'!$A:Z,16,0)</f>
        <v>0.07</v>
      </c>
      <c r="AF15" s="233"/>
      <c r="AG15" s="163">
        <f t="shared" si="3"/>
        <v>783.3</v>
      </c>
      <c r="AH15" s="163">
        <f t="shared" si="4"/>
        <v>1926.17</v>
      </c>
      <c r="AI15" s="228">
        <f t="shared" si="5"/>
        <v>2709.47</v>
      </c>
      <c r="AJ15" s="234"/>
      <c r="AK15" s="234"/>
      <c r="AL15" s="234"/>
      <c r="AM15" s="234" t="s">
        <v>273</v>
      </c>
      <c r="AN15" s="234"/>
      <c r="AO15" s="234" t="str">
        <f>VLOOKUP(B15,薪酬明细!I:I,1,0)</f>
        <v>李晓晓</v>
      </c>
      <c r="AP15" s="201" t="str">
        <f>VLOOKUP(C15,薪酬明细!A:A,1,0)</f>
        <v>开弈人力资源李晓晓</v>
      </c>
      <c r="AQ15" s="201" t="str">
        <f t="shared" si="6"/>
        <v>开弈人力资源李晓晓</v>
      </c>
      <c r="AR15" s="201">
        <v>684.6</v>
      </c>
      <c r="AS15" s="201">
        <f t="shared" si="19"/>
        <v>783.3</v>
      </c>
      <c r="AT15" s="201">
        <f t="shared" si="20"/>
        <v>-98.6999999999999</v>
      </c>
      <c r="AU15" s="201">
        <v>1744.5</v>
      </c>
      <c r="AV15" s="201">
        <f t="shared" si="21"/>
        <v>-181.67</v>
      </c>
      <c r="AW15" s="201" t="e">
        <f>VLOOKUP(C15,薪酬明细!A:A,2,0)</f>
        <v>#REF!</v>
      </c>
      <c r="AX15" s="201" t="b">
        <f t="shared" si="7"/>
        <v>1</v>
      </c>
      <c r="AY15" s="201" t="b">
        <f t="shared" si="8"/>
        <v>1</v>
      </c>
    </row>
    <row r="16" s="201" customFormat="1" spans="1:51">
      <c r="A16" s="163" t="s">
        <v>61</v>
      </c>
      <c r="B16" s="163" t="s">
        <v>307</v>
      </c>
      <c r="C16" s="163" t="str">
        <f t="shared" si="0"/>
        <v>开弈人力资源侯心怡</v>
      </c>
      <c r="D16" s="163" t="s">
        <v>61</v>
      </c>
      <c r="E16" s="163"/>
      <c r="F16" s="228">
        <v>7460</v>
      </c>
      <c r="G16" s="228">
        <v>7384</v>
      </c>
      <c r="H16" s="229">
        <f t="shared" si="11"/>
        <v>596.8</v>
      </c>
      <c r="I16" s="163">
        <f t="shared" si="12"/>
        <v>149.2</v>
      </c>
      <c r="J16" s="163">
        <f t="shared" si="13"/>
        <v>37.3</v>
      </c>
      <c r="K16" s="163">
        <f t="shared" si="9"/>
        <v>517</v>
      </c>
      <c r="L16" s="230">
        <f t="shared" si="1"/>
        <v>0</v>
      </c>
      <c r="M16" s="229">
        <f t="shared" si="14"/>
        <v>1193.6</v>
      </c>
      <c r="N16" s="163">
        <f t="shared" si="15"/>
        <v>596.8</v>
      </c>
      <c r="O16" s="163">
        <f t="shared" si="16"/>
        <v>37.3</v>
      </c>
      <c r="P16" s="163">
        <f t="shared" si="17"/>
        <v>23.87</v>
      </c>
      <c r="Q16" s="163">
        <f t="shared" si="18"/>
        <v>74.6</v>
      </c>
      <c r="R16" s="163">
        <f t="shared" si="10"/>
        <v>517</v>
      </c>
      <c r="S16" s="163">
        <f t="shared" si="2"/>
        <v>0</v>
      </c>
      <c r="T16" s="230"/>
      <c r="U16" s="229">
        <f>VLOOKUP($D16,'HR|社保政策'!$A:P,6,0)</f>
        <v>0.16</v>
      </c>
      <c r="V16" s="163">
        <f>VLOOKUP($D16,'HR|社保政策'!$A:Q,7,0)</f>
        <v>0.005</v>
      </c>
      <c r="W16" s="231">
        <f>VLOOKUP($D16,'HR|社保政策'!$A:R,8,0)</f>
        <v>0.0032</v>
      </c>
      <c r="X16" s="163">
        <f>VLOOKUP($D16,'HR|社保政策'!$A:S,9,0)</f>
        <v>0.01</v>
      </c>
      <c r="Y16" s="163">
        <v>0.08</v>
      </c>
      <c r="Z16" s="163">
        <f>VLOOKUP($D16,'HR|社保政策'!$A:U,11,0)</f>
        <v>0.07</v>
      </c>
      <c r="AA16" s="163">
        <f>VLOOKUP($D16,'HR|社保政策'!$A:V,12,0)</f>
        <v>0.08</v>
      </c>
      <c r="AB16" s="163">
        <f>VLOOKUP($D16,'HR|社保政策'!$A:W,13,0)</f>
        <v>0.02</v>
      </c>
      <c r="AC16" s="163">
        <f>VLOOKUP($D16,'HR|社保政策'!$A:X,14,0)</f>
        <v>0</v>
      </c>
      <c r="AD16" s="232">
        <f>VLOOKUP($D16,'HR|社保政策'!$A:Y,15,0)</f>
        <v>0.005</v>
      </c>
      <c r="AE16" s="163">
        <f>VLOOKUP($D16,'HR|社保政策'!$A:Z,16,0)</f>
        <v>0.07</v>
      </c>
      <c r="AF16" s="233"/>
      <c r="AG16" s="163">
        <f t="shared" si="3"/>
        <v>1300.3</v>
      </c>
      <c r="AH16" s="163">
        <f t="shared" si="4"/>
        <v>2443.17</v>
      </c>
      <c r="AI16" s="228">
        <f t="shared" si="5"/>
        <v>3743.47</v>
      </c>
      <c r="AJ16" s="234"/>
      <c r="AK16" s="234"/>
      <c r="AL16" s="234"/>
      <c r="AM16" s="234" t="s">
        <v>273</v>
      </c>
      <c r="AN16" s="234" t="s">
        <v>273</v>
      </c>
      <c r="AO16" s="234" t="str">
        <f>VLOOKUP(B16,薪酬明细!I:I,1,0)</f>
        <v>侯心怡</v>
      </c>
      <c r="AP16" s="201" t="str">
        <f>VLOOKUP(C16,薪酬明细!A:A,1,0)</f>
        <v>开弈人力资源侯心怡</v>
      </c>
      <c r="AQ16" s="201" t="str">
        <f t="shared" si="6"/>
        <v>开弈人力资源侯心怡</v>
      </c>
      <c r="AR16" s="201">
        <v>1140.6</v>
      </c>
      <c r="AS16" s="201">
        <f t="shared" si="19"/>
        <v>1300.3</v>
      </c>
      <c r="AT16" s="201">
        <f t="shared" si="20"/>
        <v>-159.7</v>
      </c>
      <c r="AU16" s="201">
        <v>2194.3</v>
      </c>
      <c r="AV16" s="201">
        <f t="shared" si="21"/>
        <v>-248.87</v>
      </c>
      <c r="AW16" s="201" t="e">
        <f>VLOOKUP(C16,薪酬明细!A:A,2,0)</f>
        <v>#REF!</v>
      </c>
      <c r="AX16" s="201" t="b">
        <f t="shared" si="7"/>
        <v>1</v>
      </c>
      <c r="AY16" s="201" t="b">
        <f t="shared" si="8"/>
        <v>1</v>
      </c>
    </row>
    <row r="17" s="201" customFormat="1" spans="1:51">
      <c r="A17" s="163" t="s">
        <v>62</v>
      </c>
      <c r="B17" s="163" t="s">
        <v>270</v>
      </c>
      <c r="C17" s="163" t="str">
        <f t="shared" si="0"/>
        <v>开弈企业外包王倩</v>
      </c>
      <c r="D17" s="163" t="s">
        <v>626</v>
      </c>
      <c r="E17" s="163"/>
      <c r="F17" s="228">
        <v>0</v>
      </c>
      <c r="G17" s="228">
        <v>0</v>
      </c>
      <c r="H17" s="229">
        <f t="shared" si="11"/>
        <v>0</v>
      </c>
      <c r="I17" s="163">
        <f t="shared" si="12"/>
        <v>0</v>
      </c>
      <c r="J17" s="163">
        <f t="shared" si="13"/>
        <v>0</v>
      </c>
      <c r="K17" s="163">
        <f t="shared" si="9"/>
        <v>0</v>
      </c>
      <c r="L17" s="230">
        <f t="shared" si="1"/>
        <v>0</v>
      </c>
      <c r="M17" s="229">
        <f t="shared" si="14"/>
        <v>0</v>
      </c>
      <c r="N17" s="163">
        <f t="shared" si="15"/>
        <v>0</v>
      </c>
      <c r="O17" s="163">
        <f t="shared" si="16"/>
        <v>0</v>
      </c>
      <c r="P17" s="163">
        <f t="shared" si="17"/>
        <v>0</v>
      </c>
      <c r="Q17" s="163">
        <f t="shared" si="18"/>
        <v>0</v>
      </c>
      <c r="R17" s="163">
        <f t="shared" si="10"/>
        <v>0</v>
      </c>
      <c r="S17" s="163">
        <f t="shared" si="2"/>
        <v>0</v>
      </c>
      <c r="T17" s="230"/>
      <c r="U17" s="229">
        <f>VLOOKUP($D17,'HR|社保政策'!$A:P,6,0)</f>
        <v>0.16</v>
      </c>
      <c r="V17" s="163">
        <f>VLOOKUP($D17,'HR|社保政策'!$A:Q,7,0)</f>
        <v>0.005</v>
      </c>
      <c r="W17" s="231">
        <f>VLOOKUP($D17,'HR|社保政策'!$A:R,8,0)</f>
        <v>0.0032</v>
      </c>
      <c r="X17" s="163">
        <f>VLOOKUP($D17,'HR|社保政策'!$A:S,9,0)</f>
        <v>0.01</v>
      </c>
      <c r="Y17" s="163">
        <v>0.08</v>
      </c>
      <c r="Z17" s="163">
        <f>VLOOKUP($D17,'HR|社保政策'!$A:U,11,0)</f>
        <v>0.07</v>
      </c>
      <c r="AA17" s="163">
        <f>VLOOKUP($D17,'HR|社保政策'!$A:V,12,0)</f>
        <v>0.08</v>
      </c>
      <c r="AB17" s="163">
        <f>VLOOKUP($D17,'HR|社保政策'!$A:W,13,0)</f>
        <v>0.02</v>
      </c>
      <c r="AC17" s="163">
        <f>VLOOKUP($D17,'HR|社保政策'!$A:X,14,0)</f>
        <v>0</v>
      </c>
      <c r="AD17" s="232">
        <f>VLOOKUP($D17,'HR|社保政策'!$A:Y,15,0)</f>
        <v>0.005</v>
      </c>
      <c r="AE17" s="163">
        <f>VLOOKUP($D17,'HR|社保政策'!$A:Z,16,0)</f>
        <v>0.07</v>
      </c>
      <c r="AF17" s="233"/>
      <c r="AG17" s="163">
        <f t="shared" si="3"/>
        <v>0</v>
      </c>
      <c r="AH17" s="163">
        <f t="shared" si="4"/>
        <v>0</v>
      </c>
      <c r="AI17" s="228">
        <f t="shared" si="5"/>
        <v>0</v>
      </c>
      <c r="AJ17" s="234"/>
      <c r="AK17" s="234"/>
      <c r="AL17" s="234"/>
      <c r="AM17" s="234"/>
      <c r="AN17" s="234"/>
      <c r="AO17" s="234" t="str">
        <f>VLOOKUP(B17,薪酬明细!I:I,1,0)</f>
        <v>王倩</v>
      </c>
      <c r="AP17" s="201" t="str">
        <f>VLOOKUP(C17,薪酬明细!A:A,1,0)</f>
        <v>开弈企业外包王倩</v>
      </c>
      <c r="AQ17" s="201" t="str">
        <f t="shared" si="6"/>
        <v>开弈企业外包王倩</v>
      </c>
      <c r="AR17" s="201">
        <v>0</v>
      </c>
      <c r="AS17" s="201">
        <f t="shared" si="19"/>
        <v>0</v>
      </c>
      <c r="AT17" s="201">
        <f t="shared" si="20"/>
        <v>0</v>
      </c>
      <c r="AU17" s="201">
        <v>0</v>
      </c>
      <c r="AV17" s="201">
        <f t="shared" si="21"/>
        <v>0</v>
      </c>
      <c r="AW17" s="201" t="e">
        <f>VLOOKUP(C17,薪酬明细!A:A,2,0)</f>
        <v>#REF!</v>
      </c>
      <c r="AX17" s="201" t="b">
        <f t="shared" si="7"/>
        <v>0</v>
      </c>
      <c r="AY17" s="201" t="b">
        <f t="shared" si="8"/>
        <v>1</v>
      </c>
    </row>
    <row r="18" s="201" customFormat="1" spans="1:51">
      <c r="A18" s="163" t="s">
        <v>61</v>
      </c>
      <c r="B18" s="163" t="s">
        <v>326</v>
      </c>
      <c r="C18" s="163" t="str">
        <f t="shared" si="0"/>
        <v>开弈人力资源裘碧钰</v>
      </c>
      <c r="D18" s="163" t="s">
        <v>61</v>
      </c>
      <c r="E18" s="163"/>
      <c r="F18" s="228">
        <v>7460</v>
      </c>
      <c r="G18" s="228">
        <v>7384</v>
      </c>
      <c r="H18" s="229">
        <f t="shared" si="11"/>
        <v>596.8</v>
      </c>
      <c r="I18" s="163">
        <f t="shared" si="12"/>
        <v>149.2</v>
      </c>
      <c r="J18" s="163">
        <f t="shared" si="13"/>
        <v>37.3</v>
      </c>
      <c r="K18" s="163">
        <f t="shared" si="9"/>
        <v>517</v>
      </c>
      <c r="L18" s="230">
        <f t="shared" si="1"/>
        <v>0</v>
      </c>
      <c r="M18" s="229">
        <f t="shared" si="14"/>
        <v>1193.6</v>
      </c>
      <c r="N18" s="163">
        <f t="shared" si="15"/>
        <v>596.8</v>
      </c>
      <c r="O18" s="163">
        <f t="shared" si="16"/>
        <v>37.3</v>
      </c>
      <c r="P18" s="163">
        <f t="shared" si="17"/>
        <v>23.87</v>
      </c>
      <c r="Q18" s="163">
        <f t="shared" si="18"/>
        <v>74.6</v>
      </c>
      <c r="R18" s="163">
        <f t="shared" si="10"/>
        <v>517</v>
      </c>
      <c r="S18" s="163">
        <f t="shared" si="2"/>
        <v>0</v>
      </c>
      <c r="T18" s="230"/>
      <c r="U18" s="229">
        <f>VLOOKUP($D18,'HR|社保政策'!$A:P,6,0)</f>
        <v>0.16</v>
      </c>
      <c r="V18" s="163">
        <f>VLOOKUP($D18,'HR|社保政策'!$A:Q,7,0)</f>
        <v>0.005</v>
      </c>
      <c r="W18" s="231">
        <f>VLOOKUP($D18,'HR|社保政策'!$A:R,8,0)</f>
        <v>0.0032</v>
      </c>
      <c r="X18" s="163">
        <f>VLOOKUP($D18,'HR|社保政策'!$A:S,9,0)</f>
        <v>0.01</v>
      </c>
      <c r="Y18" s="163">
        <v>0.08</v>
      </c>
      <c r="Z18" s="163">
        <f>VLOOKUP($D18,'HR|社保政策'!$A:U,11,0)</f>
        <v>0.07</v>
      </c>
      <c r="AA18" s="163">
        <f>VLOOKUP($D18,'HR|社保政策'!$A:V,12,0)</f>
        <v>0.08</v>
      </c>
      <c r="AB18" s="163">
        <f>VLOOKUP($D18,'HR|社保政策'!$A:W,13,0)</f>
        <v>0.02</v>
      </c>
      <c r="AC18" s="163">
        <f>VLOOKUP($D18,'HR|社保政策'!$A:X,14,0)</f>
        <v>0</v>
      </c>
      <c r="AD18" s="232">
        <f>VLOOKUP($D18,'HR|社保政策'!$A:Y,15,0)</f>
        <v>0.005</v>
      </c>
      <c r="AE18" s="163">
        <f>VLOOKUP($D18,'HR|社保政策'!$A:Z,16,0)</f>
        <v>0.07</v>
      </c>
      <c r="AF18" s="233"/>
      <c r="AG18" s="163">
        <f t="shared" si="3"/>
        <v>1300.3</v>
      </c>
      <c r="AH18" s="163">
        <f t="shared" si="4"/>
        <v>2443.17</v>
      </c>
      <c r="AI18" s="228">
        <f t="shared" si="5"/>
        <v>3743.47</v>
      </c>
      <c r="AJ18" s="234"/>
      <c r="AK18" s="234"/>
      <c r="AL18" s="234"/>
      <c r="AM18" s="234" t="s">
        <v>273</v>
      </c>
      <c r="AN18" s="234" t="s">
        <v>273</v>
      </c>
      <c r="AO18" s="234" t="str">
        <f>VLOOKUP(B18,薪酬明细!I:I,1,0)</f>
        <v>裘碧钰</v>
      </c>
      <c r="AP18" s="201" t="str">
        <f>VLOOKUP(C18,薪酬明细!A:A,1,0)</f>
        <v>开弈人力资源裘碧钰</v>
      </c>
      <c r="AQ18" s="201" t="str">
        <f t="shared" si="6"/>
        <v>开弈人力资源裘碧钰</v>
      </c>
      <c r="AR18" s="201">
        <v>1140.6</v>
      </c>
      <c r="AS18" s="201">
        <f t="shared" si="19"/>
        <v>1300.3</v>
      </c>
      <c r="AT18" s="201">
        <f t="shared" si="20"/>
        <v>-159.7</v>
      </c>
      <c r="AU18" s="201">
        <v>2200.5</v>
      </c>
      <c r="AV18" s="201">
        <f t="shared" si="21"/>
        <v>-242.67</v>
      </c>
      <c r="AW18" s="201" t="e">
        <f>VLOOKUP(C18,薪酬明细!A:A,2,0)</f>
        <v>#REF!</v>
      </c>
      <c r="AX18" s="201" t="b">
        <f t="shared" si="7"/>
        <v>1</v>
      </c>
      <c r="AY18" s="201" t="b">
        <f t="shared" si="8"/>
        <v>1</v>
      </c>
    </row>
    <row r="19" s="201" customFormat="1" spans="1:51">
      <c r="A19" s="163" t="s">
        <v>61</v>
      </c>
      <c r="B19" s="163" t="s">
        <v>627</v>
      </c>
      <c r="C19" s="163" t="str">
        <f t="shared" si="0"/>
        <v>开弈人力资源陶洁</v>
      </c>
      <c r="D19" s="163" t="s">
        <v>61</v>
      </c>
      <c r="E19" s="163"/>
      <c r="F19" s="228">
        <v>0</v>
      </c>
      <c r="G19" s="228">
        <v>0</v>
      </c>
      <c r="H19" s="229">
        <f t="shared" si="11"/>
        <v>0</v>
      </c>
      <c r="I19" s="163">
        <f t="shared" si="12"/>
        <v>0</v>
      </c>
      <c r="J19" s="163">
        <f t="shared" si="13"/>
        <v>0</v>
      </c>
      <c r="K19" s="163">
        <f t="shared" si="9"/>
        <v>0</v>
      </c>
      <c r="L19" s="230">
        <f t="shared" si="1"/>
        <v>0</v>
      </c>
      <c r="M19" s="229">
        <f t="shared" si="14"/>
        <v>0</v>
      </c>
      <c r="N19" s="163">
        <f t="shared" si="15"/>
        <v>0</v>
      </c>
      <c r="O19" s="163">
        <f t="shared" si="16"/>
        <v>0</v>
      </c>
      <c r="P19" s="163">
        <f t="shared" si="17"/>
        <v>0</v>
      </c>
      <c r="Q19" s="163">
        <f t="shared" si="18"/>
        <v>0</v>
      </c>
      <c r="R19" s="163">
        <f t="shared" si="10"/>
        <v>0</v>
      </c>
      <c r="S19" s="163">
        <f t="shared" si="2"/>
        <v>0</v>
      </c>
      <c r="T19" s="230"/>
      <c r="U19" s="229">
        <f>VLOOKUP($D19,'HR|社保政策'!$A:P,6,0)</f>
        <v>0.16</v>
      </c>
      <c r="V19" s="163">
        <f>VLOOKUP($D19,'HR|社保政策'!$A:Q,7,0)</f>
        <v>0.005</v>
      </c>
      <c r="W19" s="231">
        <f>VLOOKUP($D19,'HR|社保政策'!$A:R,8,0)</f>
        <v>0.0032</v>
      </c>
      <c r="X19" s="163">
        <f>VLOOKUP($D19,'HR|社保政策'!$A:S,9,0)</f>
        <v>0.01</v>
      </c>
      <c r="Y19" s="163">
        <v>0.08</v>
      </c>
      <c r="Z19" s="163">
        <f>VLOOKUP($D19,'HR|社保政策'!$A:U,11,0)</f>
        <v>0.07</v>
      </c>
      <c r="AA19" s="163">
        <f>VLOOKUP($D19,'HR|社保政策'!$A:V,12,0)</f>
        <v>0.08</v>
      </c>
      <c r="AB19" s="163">
        <f>VLOOKUP($D19,'HR|社保政策'!$A:W,13,0)</f>
        <v>0.02</v>
      </c>
      <c r="AC19" s="163">
        <f>VLOOKUP($D19,'HR|社保政策'!$A:X,14,0)</f>
        <v>0</v>
      </c>
      <c r="AD19" s="232">
        <f>VLOOKUP($D19,'HR|社保政策'!$A:Y,15,0)</f>
        <v>0.005</v>
      </c>
      <c r="AE19" s="163">
        <f>VLOOKUP($D19,'HR|社保政策'!$A:Z,16,0)</f>
        <v>0.07</v>
      </c>
      <c r="AF19" s="233"/>
      <c r="AG19" s="163">
        <f t="shared" si="3"/>
        <v>0</v>
      </c>
      <c r="AH19" s="163">
        <f t="shared" si="4"/>
        <v>0</v>
      </c>
      <c r="AI19" s="228">
        <f t="shared" si="5"/>
        <v>0</v>
      </c>
      <c r="AJ19" s="234"/>
      <c r="AK19" s="234"/>
      <c r="AL19" s="234"/>
      <c r="AM19" s="234"/>
      <c r="AN19" s="234"/>
      <c r="AO19" s="234" t="e">
        <f>VLOOKUP(B19,薪酬明细!I:I,1,0)</f>
        <v>#N/A</v>
      </c>
      <c r="AP19" s="201" t="e">
        <f>VLOOKUP(C19,薪酬明细!A:A,1,0)</f>
        <v>#N/A</v>
      </c>
      <c r="AQ19" s="201" t="str">
        <f t="shared" si="6"/>
        <v>开弈人力资源陶洁</v>
      </c>
      <c r="AR19" s="201">
        <v>0</v>
      </c>
      <c r="AS19" s="201">
        <f t="shared" si="19"/>
        <v>0</v>
      </c>
      <c r="AT19" s="201">
        <f t="shared" si="20"/>
        <v>0</v>
      </c>
      <c r="AU19" s="201">
        <v>0</v>
      </c>
      <c r="AV19" s="201">
        <f t="shared" si="21"/>
        <v>0</v>
      </c>
      <c r="AW19" s="201" t="e">
        <f>VLOOKUP(C19,薪酬明细!A:A,2,0)</f>
        <v>#N/A</v>
      </c>
      <c r="AX19" s="201" t="b">
        <f t="shared" si="7"/>
        <v>1</v>
      </c>
      <c r="AY19" s="201" t="b">
        <f t="shared" si="8"/>
        <v>1</v>
      </c>
    </row>
    <row r="20" s="201" customFormat="1" spans="1:51">
      <c r="A20" s="163" t="s">
        <v>61</v>
      </c>
      <c r="B20" s="163" t="s">
        <v>312</v>
      </c>
      <c r="C20" s="163" t="str">
        <f t="shared" si="0"/>
        <v>开弈人力资源肖宝仙</v>
      </c>
      <c r="D20" s="163" t="s">
        <v>61</v>
      </c>
      <c r="E20" s="163"/>
      <c r="F20" s="228">
        <v>0</v>
      </c>
      <c r="G20" s="228">
        <v>0</v>
      </c>
      <c r="H20" s="229">
        <f t="shared" si="11"/>
        <v>0</v>
      </c>
      <c r="I20" s="163">
        <f t="shared" si="12"/>
        <v>0</v>
      </c>
      <c r="J20" s="163">
        <f t="shared" si="13"/>
        <v>0</v>
      </c>
      <c r="K20" s="163">
        <f t="shared" si="9"/>
        <v>0</v>
      </c>
      <c r="L20" s="230">
        <f t="shared" si="1"/>
        <v>0</v>
      </c>
      <c r="M20" s="229">
        <f t="shared" si="14"/>
        <v>0</v>
      </c>
      <c r="N20" s="163">
        <f t="shared" si="15"/>
        <v>0</v>
      </c>
      <c r="O20" s="163">
        <f t="shared" si="16"/>
        <v>0</v>
      </c>
      <c r="P20" s="163">
        <f t="shared" si="17"/>
        <v>0</v>
      </c>
      <c r="Q20" s="163">
        <f t="shared" si="18"/>
        <v>0</v>
      </c>
      <c r="R20" s="163">
        <f t="shared" si="10"/>
        <v>0</v>
      </c>
      <c r="S20" s="163">
        <f t="shared" si="2"/>
        <v>0</v>
      </c>
      <c r="T20" s="230"/>
      <c r="U20" s="229">
        <f>VLOOKUP($D20,'HR|社保政策'!$A:P,6,0)</f>
        <v>0.16</v>
      </c>
      <c r="V20" s="163">
        <f>VLOOKUP($D20,'HR|社保政策'!$A:Q,7,0)</f>
        <v>0.005</v>
      </c>
      <c r="W20" s="231">
        <f>VLOOKUP($D20,'HR|社保政策'!$A:R,8,0)</f>
        <v>0.0032</v>
      </c>
      <c r="X20" s="163">
        <f>VLOOKUP($D20,'HR|社保政策'!$A:S,9,0)</f>
        <v>0.01</v>
      </c>
      <c r="Y20" s="163">
        <v>0.08</v>
      </c>
      <c r="Z20" s="163">
        <f>VLOOKUP($D20,'HR|社保政策'!$A:U,11,0)</f>
        <v>0.07</v>
      </c>
      <c r="AA20" s="163">
        <f>VLOOKUP($D20,'HR|社保政策'!$A:V,12,0)</f>
        <v>0.08</v>
      </c>
      <c r="AB20" s="163">
        <f>VLOOKUP($D20,'HR|社保政策'!$A:W,13,0)</f>
        <v>0.02</v>
      </c>
      <c r="AC20" s="163">
        <f>VLOOKUP($D20,'HR|社保政策'!$A:X,14,0)</f>
        <v>0</v>
      </c>
      <c r="AD20" s="232">
        <f>VLOOKUP($D20,'HR|社保政策'!$A:Y,15,0)</f>
        <v>0.005</v>
      </c>
      <c r="AE20" s="163">
        <f>VLOOKUP($D20,'HR|社保政策'!$A:Z,16,0)</f>
        <v>0.07</v>
      </c>
      <c r="AF20" s="233"/>
      <c r="AG20" s="163">
        <f t="shared" si="3"/>
        <v>0</v>
      </c>
      <c r="AH20" s="163">
        <f t="shared" si="4"/>
        <v>0</v>
      </c>
      <c r="AI20" s="228">
        <f t="shared" si="5"/>
        <v>0</v>
      </c>
      <c r="AJ20" s="234"/>
      <c r="AK20" s="234"/>
      <c r="AL20" s="234"/>
      <c r="AM20" s="234"/>
      <c r="AN20" s="234"/>
      <c r="AO20" s="234" t="str">
        <f>VLOOKUP(B20,薪酬明细!I:I,1,0)</f>
        <v>肖宝仙</v>
      </c>
      <c r="AP20" s="201" t="str">
        <f>VLOOKUP(C20,薪酬明细!A:A,1,0)</f>
        <v>开弈人力资源肖宝仙</v>
      </c>
      <c r="AQ20" s="201" t="str">
        <f t="shared" si="6"/>
        <v>开弈人力资源肖宝仙</v>
      </c>
      <c r="AR20" s="201">
        <v>0</v>
      </c>
      <c r="AS20" s="201">
        <f t="shared" si="19"/>
        <v>0</v>
      </c>
      <c r="AT20" s="201">
        <f t="shared" si="20"/>
        <v>0</v>
      </c>
      <c r="AU20" s="201">
        <v>0</v>
      </c>
      <c r="AV20" s="201">
        <f t="shared" si="21"/>
        <v>0</v>
      </c>
      <c r="AW20" s="201" t="e">
        <f>VLOOKUP(C20,薪酬明细!A:A,2,0)</f>
        <v>#REF!</v>
      </c>
      <c r="AX20" s="201" t="b">
        <f t="shared" si="7"/>
        <v>1</v>
      </c>
      <c r="AY20" s="201" t="b">
        <f t="shared" si="8"/>
        <v>1</v>
      </c>
    </row>
    <row r="21" s="201" customFormat="1" spans="1:51">
      <c r="A21" s="163" t="s">
        <v>60</v>
      </c>
      <c r="B21" s="163" t="s">
        <v>294</v>
      </c>
      <c r="C21" s="163" t="str">
        <f t="shared" si="0"/>
        <v>开弈人才谢宁</v>
      </c>
      <c r="D21" s="163" t="s">
        <v>60</v>
      </c>
      <c r="E21" s="163" t="s">
        <v>263</v>
      </c>
      <c r="F21" s="228">
        <v>7460</v>
      </c>
      <c r="G21" s="228"/>
      <c r="H21" s="229">
        <f t="shared" si="11"/>
        <v>596.8</v>
      </c>
      <c r="I21" s="163">
        <f t="shared" si="12"/>
        <v>149.2</v>
      </c>
      <c r="J21" s="163">
        <f t="shared" si="13"/>
        <v>37.3</v>
      </c>
      <c r="K21" s="163">
        <f t="shared" si="9"/>
        <v>0</v>
      </c>
      <c r="L21" s="230">
        <f t="shared" si="1"/>
        <v>0</v>
      </c>
      <c r="M21" s="229">
        <f t="shared" si="14"/>
        <v>1193.6</v>
      </c>
      <c r="N21" s="163">
        <f t="shared" si="15"/>
        <v>596.8</v>
      </c>
      <c r="O21" s="163">
        <f t="shared" si="16"/>
        <v>37.3</v>
      </c>
      <c r="P21" s="163">
        <f t="shared" si="17"/>
        <v>23.87</v>
      </c>
      <c r="Q21" s="163">
        <f t="shared" si="18"/>
        <v>74.6</v>
      </c>
      <c r="R21" s="163">
        <f t="shared" si="10"/>
        <v>0</v>
      </c>
      <c r="S21" s="163">
        <f t="shared" si="2"/>
        <v>0</v>
      </c>
      <c r="T21" s="230"/>
      <c r="U21" s="229">
        <f>VLOOKUP($D21,'HR|社保政策'!$A:P,6,0)</f>
        <v>0.16</v>
      </c>
      <c r="V21" s="163">
        <f>VLOOKUP($D21,'HR|社保政策'!$A:Q,7,0)</f>
        <v>0.005</v>
      </c>
      <c r="W21" s="231">
        <f>VLOOKUP($D21,'HR|社保政策'!$A:R,8,0)</f>
        <v>0.0032</v>
      </c>
      <c r="X21" s="163">
        <f>VLOOKUP($D21,'HR|社保政策'!$A:S,9,0)</f>
        <v>0.01</v>
      </c>
      <c r="Y21" s="163">
        <v>0.08</v>
      </c>
      <c r="Z21" s="163">
        <f>VLOOKUP($D21,'HR|社保政策'!$A:U,11,0)</f>
        <v>0.07</v>
      </c>
      <c r="AA21" s="163">
        <f>VLOOKUP($D21,'HR|社保政策'!$A:V,12,0)</f>
        <v>0.08</v>
      </c>
      <c r="AB21" s="163">
        <f>VLOOKUP($D21,'HR|社保政策'!$A:W,13,0)</f>
        <v>0.02</v>
      </c>
      <c r="AC21" s="163">
        <f>VLOOKUP($D21,'HR|社保政策'!$A:X,14,0)</f>
        <v>0</v>
      </c>
      <c r="AD21" s="232">
        <f>VLOOKUP($D21,'HR|社保政策'!$A:Y,15,0)</f>
        <v>0.005</v>
      </c>
      <c r="AE21" s="163">
        <f>VLOOKUP($D21,'HR|社保政策'!$A:Z,16,0)</f>
        <v>0.07</v>
      </c>
      <c r="AF21" s="233"/>
      <c r="AG21" s="163">
        <f t="shared" si="3"/>
        <v>783.3</v>
      </c>
      <c r="AH21" s="163">
        <f t="shared" si="4"/>
        <v>1926.17</v>
      </c>
      <c r="AI21" s="228">
        <f t="shared" si="5"/>
        <v>2709.47</v>
      </c>
      <c r="AJ21" s="234"/>
      <c r="AK21" s="234"/>
      <c r="AL21" s="234"/>
      <c r="AM21" s="234" t="s">
        <v>273</v>
      </c>
      <c r="AN21" s="234"/>
      <c r="AO21" s="234" t="str">
        <f>VLOOKUP(B21,薪酬明细!I:I,1,0)</f>
        <v>谢宁</v>
      </c>
      <c r="AP21" s="201" t="str">
        <f>VLOOKUP(C21,薪酬明细!A:A,1,0)</f>
        <v>开弈人才谢宁</v>
      </c>
      <c r="AQ21" s="201" t="str">
        <f t="shared" si="6"/>
        <v>开弈人才谢宁</v>
      </c>
      <c r="AR21" s="201">
        <v>684.6</v>
      </c>
      <c r="AS21" s="201">
        <f t="shared" si="19"/>
        <v>783.3</v>
      </c>
      <c r="AT21" s="201">
        <f t="shared" si="20"/>
        <v>-98.6999999999999</v>
      </c>
      <c r="AU21" s="201">
        <v>1744.5</v>
      </c>
      <c r="AV21" s="201">
        <f t="shared" si="21"/>
        <v>-181.67</v>
      </c>
      <c r="AW21" s="201" t="e">
        <f>VLOOKUP(C21,薪酬明细!A:A,2,0)</f>
        <v>#REF!</v>
      </c>
      <c r="AX21" s="201" t="b">
        <f t="shared" si="7"/>
        <v>1</v>
      </c>
      <c r="AY21" s="201" t="b">
        <f t="shared" si="8"/>
        <v>1</v>
      </c>
    </row>
    <row r="22" s="201" customFormat="1" spans="1:51">
      <c r="A22" s="163" t="s">
        <v>60</v>
      </c>
      <c r="B22" s="163" t="s">
        <v>298</v>
      </c>
      <c r="C22" s="163" t="str">
        <f t="shared" si="0"/>
        <v>开弈人才徐峰</v>
      </c>
      <c r="D22" s="163" t="s">
        <v>60</v>
      </c>
      <c r="E22" s="163"/>
      <c r="F22" s="228">
        <v>7460</v>
      </c>
      <c r="G22" s="228">
        <v>7384</v>
      </c>
      <c r="H22" s="229">
        <f t="shared" si="11"/>
        <v>596.8</v>
      </c>
      <c r="I22" s="163">
        <f t="shared" si="12"/>
        <v>149.2</v>
      </c>
      <c r="J22" s="163">
        <f t="shared" si="13"/>
        <v>37.3</v>
      </c>
      <c r="K22" s="163">
        <f t="shared" si="9"/>
        <v>517</v>
      </c>
      <c r="L22" s="230">
        <f t="shared" si="1"/>
        <v>148</v>
      </c>
      <c r="M22" s="229">
        <f t="shared" si="14"/>
        <v>1193.6</v>
      </c>
      <c r="N22" s="163">
        <f t="shared" si="15"/>
        <v>596.8</v>
      </c>
      <c r="O22" s="163">
        <f t="shared" si="16"/>
        <v>37.3</v>
      </c>
      <c r="P22" s="163">
        <f t="shared" si="17"/>
        <v>23.87</v>
      </c>
      <c r="Q22" s="163">
        <f t="shared" si="18"/>
        <v>74.6</v>
      </c>
      <c r="R22" s="163">
        <f t="shared" si="10"/>
        <v>517</v>
      </c>
      <c r="S22" s="163">
        <f t="shared" si="2"/>
        <v>148</v>
      </c>
      <c r="T22" s="230"/>
      <c r="U22" s="229">
        <f>VLOOKUP($D22,'HR|社保政策'!$A:P,6,0)</f>
        <v>0.16</v>
      </c>
      <c r="V22" s="163">
        <f>VLOOKUP($D22,'HR|社保政策'!$A:Q,7,0)</f>
        <v>0.005</v>
      </c>
      <c r="W22" s="231">
        <f>VLOOKUP($D22,'HR|社保政策'!$A:R,8,0)</f>
        <v>0.0032</v>
      </c>
      <c r="X22" s="163">
        <f>VLOOKUP($D22,'HR|社保政策'!$A:S,9,0)</f>
        <v>0.01</v>
      </c>
      <c r="Y22" s="163">
        <v>0.08</v>
      </c>
      <c r="Z22" s="163">
        <f>VLOOKUP($D22,'HR|社保政策'!$A:U,11,0)</f>
        <v>0.07</v>
      </c>
      <c r="AA22" s="163">
        <f>VLOOKUP($D22,'HR|社保政策'!$A:V,12,0)</f>
        <v>0.08</v>
      </c>
      <c r="AB22" s="163">
        <f>VLOOKUP($D22,'HR|社保政策'!$A:W,13,0)</f>
        <v>0.02</v>
      </c>
      <c r="AC22" s="163">
        <f>VLOOKUP($D22,'HR|社保政策'!$A:X,14,0)</f>
        <v>0</v>
      </c>
      <c r="AD22" s="232">
        <f>VLOOKUP($D22,'HR|社保政策'!$A:Y,15,0)</f>
        <v>0.005</v>
      </c>
      <c r="AE22" s="163">
        <f>VLOOKUP($D22,'HR|社保政策'!$A:Z,16,0)</f>
        <v>0.07</v>
      </c>
      <c r="AF22" s="233">
        <v>0.02</v>
      </c>
      <c r="AG22" s="163">
        <f t="shared" si="3"/>
        <v>1448.3</v>
      </c>
      <c r="AH22" s="163">
        <f t="shared" si="4"/>
        <v>2591.17</v>
      </c>
      <c r="AI22" s="228">
        <f t="shared" si="5"/>
        <v>4039.47</v>
      </c>
      <c r="AJ22" s="234"/>
      <c r="AK22" s="234"/>
      <c r="AL22" s="234"/>
      <c r="AM22" s="234" t="s">
        <v>273</v>
      </c>
      <c r="AN22" s="234" t="s">
        <v>273</v>
      </c>
      <c r="AO22" s="234" t="str">
        <f>VLOOKUP(B22,薪酬明细!I:I,1,0)</f>
        <v>徐峰</v>
      </c>
      <c r="AP22" s="201" t="str">
        <f>VLOOKUP(C22,薪酬明细!A:A,1,0)</f>
        <v>开弈人才徐峰</v>
      </c>
      <c r="AQ22" s="201" t="str">
        <f t="shared" si="6"/>
        <v>开弈人才徐峰</v>
      </c>
      <c r="AR22" s="201">
        <v>1270.6</v>
      </c>
      <c r="AS22" s="201">
        <f t="shared" si="19"/>
        <v>1448.3</v>
      </c>
      <c r="AT22" s="201">
        <f t="shared" si="20"/>
        <v>-177.7</v>
      </c>
      <c r="AU22" s="201">
        <v>2330.5</v>
      </c>
      <c r="AV22" s="201">
        <f t="shared" si="21"/>
        <v>-260.67</v>
      </c>
      <c r="AW22" s="201" t="e">
        <f>VLOOKUP(C22,薪酬明细!A:A,2,0)</f>
        <v>#REF!</v>
      </c>
      <c r="AX22" s="201" t="b">
        <f t="shared" si="7"/>
        <v>1</v>
      </c>
      <c r="AY22" s="201" t="b">
        <f t="shared" si="8"/>
        <v>1</v>
      </c>
    </row>
    <row r="23" s="201" customFormat="1" spans="1:51">
      <c r="A23" s="163" t="s">
        <v>62</v>
      </c>
      <c r="B23" s="163" t="s">
        <v>277</v>
      </c>
      <c r="C23" s="163" t="str">
        <f t="shared" si="0"/>
        <v>开弈企业外包吴玉斌</v>
      </c>
      <c r="D23" s="163" t="s">
        <v>626</v>
      </c>
      <c r="E23" s="163" t="s">
        <v>263</v>
      </c>
      <c r="F23" s="228">
        <v>7460</v>
      </c>
      <c r="G23" s="228"/>
      <c r="H23" s="229">
        <f t="shared" si="11"/>
        <v>596.8</v>
      </c>
      <c r="I23" s="163">
        <f t="shared" si="12"/>
        <v>149.2</v>
      </c>
      <c r="J23" s="163">
        <f t="shared" si="13"/>
        <v>37.3</v>
      </c>
      <c r="K23" s="163">
        <f t="shared" si="9"/>
        <v>0</v>
      </c>
      <c r="L23" s="230">
        <f t="shared" si="1"/>
        <v>0</v>
      </c>
      <c r="M23" s="229">
        <f t="shared" si="14"/>
        <v>1193.6</v>
      </c>
      <c r="N23" s="163">
        <f t="shared" si="15"/>
        <v>596.8</v>
      </c>
      <c r="O23" s="163">
        <f t="shared" si="16"/>
        <v>37.3</v>
      </c>
      <c r="P23" s="163">
        <f t="shared" si="17"/>
        <v>23.87</v>
      </c>
      <c r="Q23" s="163">
        <f t="shared" si="18"/>
        <v>74.6</v>
      </c>
      <c r="R23" s="163">
        <f t="shared" si="10"/>
        <v>0</v>
      </c>
      <c r="S23" s="163">
        <f t="shared" si="2"/>
        <v>0</v>
      </c>
      <c r="T23" s="230"/>
      <c r="U23" s="229">
        <f>VLOOKUP($D23,'HR|社保政策'!$A:P,6,0)</f>
        <v>0.16</v>
      </c>
      <c r="V23" s="163">
        <f>VLOOKUP($D23,'HR|社保政策'!$A:Q,7,0)</f>
        <v>0.005</v>
      </c>
      <c r="W23" s="231">
        <f>VLOOKUP($D23,'HR|社保政策'!$A:R,8,0)</f>
        <v>0.0032</v>
      </c>
      <c r="X23" s="163">
        <f>VLOOKUP($D23,'HR|社保政策'!$A:S,9,0)</f>
        <v>0.01</v>
      </c>
      <c r="Y23" s="163">
        <v>0.08</v>
      </c>
      <c r="Z23" s="163">
        <f>VLOOKUP($D23,'HR|社保政策'!$A:U,11,0)</f>
        <v>0.07</v>
      </c>
      <c r="AA23" s="163">
        <f>VLOOKUP($D23,'HR|社保政策'!$A:V,12,0)</f>
        <v>0.08</v>
      </c>
      <c r="AB23" s="163">
        <f>VLOOKUP($D23,'HR|社保政策'!$A:W,13,0)</f>
        <v>0.02</v>
      </c>
      <c r="AC23" s="163">
        <f>VLOOKUP($D23,'HR|社保政策'!$A:X,14,0)</f>
        <v>0</v>
      </c>
      <c r="AD23" s="232">
        <f>VLOOKUP($D23,'HR|社保政策'!$A:Y,15,0)</f>
        <v>0.005</v>
      </c>
      <c r="AE23" s="163">
        <f>VLOOKUP($D23,'HR|社保政策'!$A:Z,16,0)</f>
        <v>0.07</v>
      </c>
      <c r="AF23" s="233"/>
      <c r="AG23" s="163">
        <f t="shared" si="3"/>
        <v>783.3</v>
      </c>
      <c r="AH23" s="163">
        <f t="shared" si="4"/>
        <v>1926.17</v>
      </c>
      <c r="AI23" s="228">
        <f t="shared" si="5"/>
        <v>2709.47</v>
      </c>
      <c r="AJ23" s="234"/>
      <c r="AK23" s="234"/>
      <c r="AL23" s="234"/>
      <c r="AM23" s="234" t="s">
        <v>273</v>
      </c>
      <c r="AN23" s="234"/>
      <c r="AO23" s="234" t="str">
        <f>VLOOKUP(B23,薪酬明细!I:I,1,0)</f>
        <v>吴玉斌</v>
      </c>
      <c r="AP23" s="201" t="str">
        <f>VLOOKUP(C23,薪酬明细!A:A,1,0)</f>
        <v>开弈企业外包吴玉斌</v>
      </c>
      <c r="AQ23" s="201" t="str">
        <f t="shared" si="6"/>
        <v>开弈企业外包吴玉斌</v>
      </c>
      <c r="AR23" s="201">
        <v>684.6</v>
      </c>
      <c r="AS23" s="201">
        <f t="shared" si="19"/>
        <v>783.3</v>
      </c>
      <c r="AT23" s="201">
        <f t="shared" si="20"/>
        <v>-98.6999999999999</v>
      </c>
      <c r="AU23" s="201">
        <v>1738.3</v>
      </c>
      <c r="AV23" s="201">
        <f t="shared" si="21"/>
        <v>-187.87</v>
      </c>
      <c r="AW23" s="201" t="e">
        <f>VLOOKUP(C23,薪酬明细!A:A,2,0)</f>
        <v>#REF!</v>
      </c>
      <c r="AX23" s="201" t="b">
        <f t="shared" si="7"/>
        <v>0</v>
      </c>
      <c r="AY23" s="201" t="b">
        <f t="shared" si="8"/>
        <v>1</v>
      </c>
    </row>
    <row r="24" s="201" customFormat="1" spans="1:51">
      <c r="A24" s="163" t="s">
        <v>57</v>
      </c>
      <c r="B24" s="163" t="s">
        <v>410</v>
      </c>
      <c r="C24" s="163" t="str">
        <f t="shared" si="0"/>
        <v>开弈信息郑昌杰</v>
      </c>
      <c r="D24" s="163" t="s">
        <v>57</v>
      </c>
      <c r="E24" s="163"/>
      <c r="F24" s="228">
        <v>7460</v>
      </c>
      <c r="G24" s="228">
        <v>7384</v>
      </c>
      <c r="H24" s="229">
        <f t="shared" si="11"/>
        <v>596.8</v>
      </c>
      <c r="I24" s="163">
        <f t="shared" si="12"/>
        <v>149.2</v>
      </c>
      <c r="J24" s="163">
        <f t="shared" si="13"/>
        <v>37.3</v>
      </c>
      <c r="K24" s="163">
        <f t="shared" si="9"/>
        <v>517</v>
      </c>
      <c r="L24" s="230">
        <f t="shared" si="1"/>
        <v>0</v>
      </c>
      <c r="M24" s="229">
        <f t="shared" si="14"/>
        <v>1193.6</v>
      </c>
      <c r="N24" s="163">
        <f t="shared" si="15"/>
        <v>596.8</v>
      </c>
      <c r="O24" s="163">
        <f t="shared" si="16"/>
        <v>37.3</v>
      </c>
      <c r="P24" s="163">
        <f t="shared" si="17"/>
        <v>14.92</v>
      </c>
      <c r="Q24" s="163">
        <f t="shared" si="18"/>
        <v>74.6</v>
      </c>
      <c r="R24" s="163">
        <f t="shared" si="10"/>
        <v>517</v>
      </c>
      <c r="S24" s="163">
        <f t="shared" si="2"/>
        <v>0</v>
      </c>
      <c r="T24" s="230"/>
      <c r="U24" s="229">
        <f>VLOOKUP($D24,'HR|社保政策'!$A:P,6,0)</f>
        <v>0.16</v>
      </c>
      <c r="V24" s="163">
        <f>VLOOKUP($D24,'HR|社保政策'!$A:Q,7,0)</f>
        <v>0.005</v>
      </c>
      <c r="W24" s="231">
        <f>VLOOKUP($D24,'HR|社保政策'!$A:R,8,0)</f>
        <v>0.002</v>
      </c>
      <c r="X24" s="163">
        <f>VLOOKUP($D24,'HR|社保政策'!$A:S,9,0)</f>
        <v>0.01</v>
      </c>
      <c r="Y24" s="163">
        <v>0.08</v>
      </c>
      <c r="Z24" s="163">
        <f>VLOOKUP($D24,'HR|社保政策'!$A:U,11,0)</f>
        <v>0.07</v>
      </c>
      <c r="AA24" s="163">
        <f>VLOOKUP($D24,'HR|社保政策'!$A:V,12,0)</f>
        <v>0.08</v>
      </c>
      <c r="AB24" s="163">
        <f>VLOOKUP($D24,'HR|社保政策'!$A:W,13,0)</f>
        <v>0.02</v>
      </c>
      <c r="AC24" s="163">
        <f>VLOOKUP($D24,'HR|社保政策'!$A:X,14,0)</f>
        <v>0</v>
      </c>
      <c r="AD24" s="232">
        <f>VLOOKUP($D24,'HR|社保政策'!$A:Y,15,0)</f>
        <v>0.005</v>
      </c>
      <c r="AE24" s="163">
        <f>VLOOKUP($D24,'HR|社保政策'!$A:Z,16,0)</f>
        <v>0.07</v>
      </c>
      <c r="AF24" s="233"/>
      <c r="AG24" s="163">
        <f t="shared" si="3"/>
        <v>1300.3</v>
      </c>
      <c r="AH24" s="163">
        <f t="shared" si="4"/>
        <v>2434.22</v>
      </c>
      <c r="AI24" s="228">
        <f t="shared" si="5"/>
        <v>3734.52</v>
      </c>
      <c r="AJ24" s="234"/>
      <c r="AK24" s="234"/>
      <c r="AL24" s="234"/>
      <c r="AM24" s="234"/>
      <c r="AN24" s="234"/>
      <c r="AO24" s="234" t="str">
        <f>VLOOKUP(B24,薪酬明细!I:I,1,0)</f>
        <v>郑昌杰</v>
      </c>
      <c r="AP24" s="201" t="str">
        <f>VLOOKUP(C24,薪酬明细!A:A,1,0)</f>
        <v>开弈信息郑昌杰</v>
      </c>
      <c r="AQ24" s="201" t="str">
        <f t="shared" si="6"/>
        <v>开弈信息郑昌杰</v>
      </c>
      <c r="AR24" s="201">
        <v>1140.6</v>
      </c>
      <c r="AS24" s="201">
        <f t="shared" si="19"/>
        <v>1300.3</v>
      </c>
      <c r="AT24" s="201">
        <f t="shared" si="20"/>
        <v>-159.7</v>
      </c>
      <c r="AU24" s="201">
        <v>2194.3</v>
      </c>
      <c r="AV24" s="201">
        <f t="shared" si="21"/>
        <v>-239.92</v>
      </c>
      <c r="AW24" s="201" t="e">
        <f>VLOOKUP(C24,薪酬明细!A:A,2,0)</f>
        <v>#REF!</v>
      </c>
      <c r="AX24" s="201" t="b">
        <f t="shared" si="7"/>
        <v>1</v>
      </c>
      <c r="AY24" s="201" t="b">
        <f t="shared" si="8"/>
        <v>1</v>
      </c>
    </row>
    <row r="25" s="201" customFormat="1" spans="1:51">
      <c r="A25" s="163" t="s">
        <v>61</v>
      </c>
      <c r="B25" s="163" t="s">
        <v>316</v>
      </c>
      <c r="C25" s="163" t="str">
        <f t="shared" si="0"/>
        <v>开弈人力资源卢素丹</v>
      </c>
      <c r="D25" s="163" t="s">
        <v>61</v>
      </c>
      <c r="E25" s="163"/>
      <c r="F25" s="228">
        <v>7460</v>
      </c>
      <c r="G25" s="228">
        <v>7384</v>
      </c>
      <c r="H25" s="229">
        <f t="shared" si="11"/>
        <v>596.8</v>
      </c>
      <c r="I25" s="163">
        <f t="shared" si="12"/>
        <v>149.2</v>
      </c>
      <c r="J25" s="163">
        <f t="shared" si="13"/>
        <v>37.3</v>
      </c>
      <c r="K25" s="163">
        <f t="shared" si="9"/>
        <v>517</v>
      </c>
      <c r="L25" s="230">
        <f t="shared" si="1"/>
        <v>0</v>
      </c>
      <c r="M25" s="229">
        <f t="shared" si="14"/>
        <v>1193.6</v>
      </c>
      <c r="N25" s="163">
        <f t="shared" si="15"/>
        <v>596.8</v>
      </c>
      <c r="O25" s="163">
        <f t="shared" si="16"/>
        <v>37.3</v>
      </c>
      <c r="P25" s="163">
        <f t="shared" si="17"/>
        <v>23.87</v>
      </c>
      <c r="Q25" s="163">
        <f t="shared" si="18"/>
        <v>74.6</v>
      </c>
      <c r="R25" s="163">
        <f t="shared" si="10"/>
        <v>517</v>
      </c>
      <c r="S25" s="163">
        <f t="shared" si="2"/>
        <v>0</v>
      </c>
      <c r="T25" s="230"/>
      <c r="U25" s="229">
        <f>VLOOKUP($D25,'HR|社保政策'!$A:P,6,0)</f>
        <v>0.16</v>
      </c>
      <c r="V25" s="163">
        <f>VLOOKUP($D25,'HR|社保政策'!$A:Q,7,0)</f>
        <v>0.005</v>
      </c>
      <c r="W25" s="231">
        <f>VLOOKUP($D25,'HR|社保政策'!$A:R,8,0)</f>
        <v>0.0032</v>
      </c>
      <c r="X25" s="163">
        <f>VLOOKUP($D25,'HR|社保政策'!$A:S,9,0)</f>
        <v>0.01</v>
      </c>
      <c r="Y25" s="163">
        <v>0.08</v>
      </c>
      <c r="Z25" s="163">
        <f>VLOOKUP($D25,'HR|社保政策'!$A:U,11,0)</f>
        <v>0.07</v>
      </c>
      <c r="AA25" s="163">
        <f>VLOOKUP($D25,'HR|社保政策'!$A:V,12,0)</f>
        <v>0.08</v>
      </c>
      <c r="AB25" s="163">
        <f>VLOOKUP($D25,'HR|社保政策'!$A:W,13,0)</f>
        <v>0.02</v>
      </c>
      <c r="AC25" s="163">
        <f>VLOOKUP($D25,'HR|社保政策'!$A:X,14,0)</f>
        <v>0</v>
      </c>
      <c r="AD25" s="232">
        <f>VLOOKUP($D25,'HR|社保政策'!$A:Y,15,0)</f>
        <v>0.005</v>
      </c>
      <c r="AE25" s="163">
        <f>VLOOKUP($D25,'HR|社保政策'!$A:Z,16,0)</f>
        <v>0.07</v>
      </c>
      <c r="AF25" s="233"/>
      <c r="AG25" s="163">
        <f t="shared" si="3"/>
        <v>1300.3</v>
      </c>
      <c r="AH25" s="163">
        <f t="shared" si="4"/>
        <v>2443.17</v>
      </c>
      <c r="AI25" s="228">
        <f t="shared" si="5"/>
        <v>3743.47</v>
      </c>
      <c r="AJ25" s="234"/>
      <c r="AK25" s="234"/>
      <c r="AL25" s="234"/>
      <c r="AM25" s="234"/>
      <c r="AN25" s="234"/>
      <c r="AO25" s="234" t="str">
        <f>VLOOKUP(B25,薪酬明细!I:I,1,0)</f>
        <v>卢素丹</v>
      </c>
      <c r="AP25" s="201" t="str">
        <f>VLOOKUP(C25,薪酬明细!A:A,1,0)</f>
        <v>开弈人力资源卢素丹</v>
      </c>
      <c r="AQ25" s="201" t="str">
        <f t="shared" si="6"/>
        <v>开弈人力资源卢素丹</v>
      </c>
      <c r="AR25" s="201">
        <v>1140.6</v>
      </c>
      <c r="AS25" s="201">
        <f t="shared" si="19"/>
        <v>1300.3</v>
      </c>
      <c r="AT25" s="201">
        <f t="shared" si="20"/>
        <v>-159.7</v>
      </c>
      <c r="AU25" s="201">
        <v>2200.5</v>
      </c>
      <c r="AV25" s="201">
        <f t="shared" si="21"/>
        <v>-242.67</v>
      </c>
      <c r="AW25" s="201" t="e">
        <f>VLOOKUP(C25,薪酬明细!A:A,2,0)</f>
        <v>#REF!</v>
      </c>
      <c r="AX25" s="201" t="b">
        <f t="shared" si="7"/>
        <v>1</v>
      </c>
      <c r="AY25" s="201" t="b">
        <f t="shared" si="8"/>
        <v>1</v>
      </c>
    </row>
    <row r="26" s="201" customFormat="1" spans="1:51">
      <c r="A26" s="163" t="s">
        <v>61</v>
      </c>
      <c r="B26" s="163" t="s">
        <v>300</v>
      </c>
      <c r="C26" s="163" t="str">
        <f t="shared" si="0"/>
        <v>开弈人力资源樊涛</v>
      </c>
      <c r="D26" s="163" t="s">
        <v>61</v>
      </c>
      <c r="E26" s="163" t="s">
        <v>263</v>
      </c>
      <c r="F26" s="228">
        <v>7460</v>
      </c>
      <c r="G26" s="228"/>
      <c r="H26" s="229">
        <f t="shared" si="11"/>
        <v>596.8</v>
      </c>
      <c r="I26" s="163">
        <f t="shared" si="12"/>
        <v>149.2</v>
      </c>
      <c r="J26" s="163">
        <f t="shared" si="13"/>
        <v>37.3</v>
      </c>
      <c r="K26" s="163">
        <f t="shared" si="9"/>
        <v>0</v>
      </c>
      <c r="L26" s="230">
        <f t="shared" si="1"/>
        <v>0</v>
      </c>
      <c r="M26" s="229">
        <f t="shared" si="14"/>
        <v>1193.6</v>
      </c>
      <c r="N26" s="163">
        <f t="shared" si="15"/>
        <v>596.8</v>
      </c>
      <c r="O26" s="163">
        <f t="shared" si="16"/>
        <v>37.3</v>
      </c>
      <c r="P26" s="163">
        <f t="shared" si="17"/>
        <v>23.87</v>
      </c>
      <c r="Q26" s="163">
        <f t="shared" si="18"/>
        <v>74.6</v>
      </c>
      <c r="R26" s="163">
        <f t="shared" si="10"/>
        <v>0</v>
      </c>
      <c r="S26" s="163">
        <f t="shared" si="2"/>
        <v>0</v>
      </c>
      <c r="T26" s="230"/>
      <c r="U26" s="229">
        <f>VLOOKUP($D26,'HR|社保政策'!$A:P,6,0)</f>
        <v>0.16</v>
      </c>
      <c r="V26" s="163">
        <f>VLOOKUP($D26,'HR|社保政策'!$A:Q,7,0)</f>
        <v>0.005</v>
      </c>
      <c r="W26" s="231">
        <f>VLOOKUP($D26,'HR|社保政策'!$A:R,8,0)</f>
        <v>0.0032</v>
      </c>
      <c r="X26" s="163">
        <f>VLOOKUP($D26,'HR|社保政策'!$A:S,9,0)</f>
        <v>0.01</v>
      </c>
      <c r="Y26" s="163">
        <v>0.08</v>
      </c>
      <c r="Z26" s="163">
        <f>VLOOKUP($D26,'HR|社保政策'!$A:U,11,0)</f>
        <v>0.07</v>
      </c>
      <c r="AA26" s="163">
        <f>VLOOKUP($D26,'HR|社保政策'!$A:V,12,0)</f>
        <v>0.08</v>
      </c>
      <c r="AB26" s="163">
        <f>VLOOKUP($D26,'HR|社保政策'!$A:W,13,0)</f>
        <v>0.02</v>
      </c>
      <c r="AC26" s="163">
        <f>VLOOKUP($D26,'HR|社保政策'!$A:X,14,0)</f>
        <v>0</v>
      </c>
      <c r="AD26" s="232">
        <f>VLOOKUP($D26,'HR|社保政策'!$A:Y,15,0)</f>
        <v>0.005</v>
      </c>
      <c r="AE26" s="163">
        <f>VLOOKUP($D26,'HR|社保政策'!$A:Z,16,0)</f>
        <v>0.07</v>
      </c>
      <c r="AF26" s="233"/>
      <c r="AG26" s="163">
        <f t="shared" si="3"/>
        <v>783.3</v>
      </c>
      <c r="AH26" s="163">
        <f t="shared" si="4"/>
        <v>1926.17</v>
      </c>
      <c r="AI26" s="228">
        <f t="shared" si="5"/>
        <v>2709.47</v>
      </c>
      <c r="AJ26" s="234"/>
      <c r="AK26" s="234"/>
      <c r="AL26" s="234"/>
      <c r="AM26" s="234" t="s">
        <v>273</v>
      </c>
      <c r="AN26" s="234"/>
      <c r="AO26" s="234" t="str">
        <f>VLOOKUP(B26,薪酬明细!I:I,1,0)</f>
        <v>樊涛</v>
      </c>
      <c r="AP26" s="201" t="str">
        <f>VLOOKUP(C26,薪酬明细!A:A,1,0)</f>
        <v>开弈人力资源樊涛</v>
      </c>
      <c r="AQ26" s="201" t="str">
        <f t="shared" si="6"/>
        <v>开弈人力资源樊涛</v>
      </c>
      <c r="AR26" s="201">
        <v>684.6</v>
      </c>
      <c r="AS26" s="201">
        <f t="shared" si="19"/>
        <v>783.3</v>
      </c>
      <c r="AT26" s="201">
        <f t="shared" si="20"/>
        <v>-98.6999999999999</v>
      </c>
      <c r="AU26" s="201">
        <v>1744.5</v>
      </c>
      <c r="AV26" s="201">
        <f t="shared" si="21"/>
        <v>-181.67</v>
      </c>
      <c r="AW26" s="201" t="e">
        <f>VLOOKUP(C26,薪酬明细!A:A,2,0)</f>
        <v>#REF!</v>
      </c>
      <c r="AX26" s="201" t="b">
        <f t="shared" si="7"/>
        <v>1</v>
      </c>
      <c r="AY26" s="201" t="b">
        <f t="shared" si="8"/>
        <v>1</v>
      </c>
    </row>
    <row r="27" s="201" customFormat="1" spans="1:51">
      <c r="A27" s="163" t="s">
        <v>61</v>
      </c>
      <c r="B27" s="163" t="s">
        <v>121</v>
      </c>
      <c r="C27" s="163" t="str">
        <f t="shared" si="0"/>
        <v>开弈人力资源黄一萧</v>
      </c>
      <c r="D27" s="163" t="s">
        <v>61</v>
      </c>
      <c r="E27" s="163"/>
      <c r="F27" s="228">
        <v>15000</v>
      </c>
      <c r="G27" s="228">
        <v>15000</v>
      </c>
      <c r="H27" s="229">
        <f t="shared" si="11"/>
        <v>1200</v>
      </c>
      <c r="I27" s="163">
        <f t="shared" si="12"/>
        <v>300</v>
      </c>
      <c r="J27" s="163">
        <f t="shared" si="13"/>
        <v>75</v>
      </c>
      <c r="K27" s="163">
        <f t="shared" si="9"/>
        <v>1050</v>
      </c>
      <c r="L27" s="230">
        <f t="shared" si="1"/>
        <v>750</v>
      </c>
      <c r="M27" s="229">
        <f t="shared" si="14"/>
        <v>2400</v>
      </c>
      <c r="N27" s="163">
        <f t="shared" si="15"/>
        <v>1200</v>
      </c>
      <c r="O27" s="163">
        <f t="shared" si="16"/>
        <v>75</v>
      </c>
      <c r="P27" s="163">
        <f t="shared" si="17"/>
        <v>48</v>
      </c>
      <c r="Q27" s="163">
        <f t="shared" si="18"/>
        <v>150</v>
      </c>
      <c r="R27" s="163">
        <f t="shared" si="10"/>
        <v>1050</v>
      </c>
      <c r="S27" s="163">
        <f t="shared" si="2"/>
        <v>750</v>
      </c>
      <c r="T27" s="230"/>
      <c r="U27" s="229">
        <f>VLOOKUP($D27,'HR|社保政策'!$A:P,6,0)</f>
        <v>0.16</v>
      </c>
      <c r="V27" s="163">
        <f>VLOOKUP($D27,'HR|社保政策'!$A:Q,7,0)</f>
        <v>0.005</v>
      </c>
      <c r="W27" s="231">
        <f>VLOOKUP($D27,'HR|社保政策'!$A:R,8,0)</f>
        <v>0.0032</v>
      </c>
      <c r="X27" s="163">
        <f>VLOOKUP($D27,'HR|社保政策'!$A:S,9,0)</f>
        <v>0.01</v>
      </c>
      <c r="Y27" s="163">
        <v>0.08</v>
      </c>
      <c r="Z27" s="163">
        <f>VLOOKUP($D27,'HR|社保政策'!$A:U,11,0)</f>
        <v>0.07</v>
      </c>
      <c r="AA27" s="163">
        <f>VLOOKUP($D27,'HR|社保政策'!$A:V,12,0)</f>
        <v>0.08</v>
      </c>
      <c r="AB27" s="163">
        <f>VLOOKUP($D27,'HR|社保政策'!$A:W,13,0)</f>
        <v>0.02</v>
      </c>
      <c r="AC27" s="163">
        <f>VLOOKUP($D27,'HR|社保政策'!$A:X,14,0)</f>
        <v>0</v>
      </c>
      <c r="AD27" s="232">
        <f>VLOOKUP($D27,'HR|社保政策'!$A:Y,15,0)</f>
        <v>0.005</v>
      </c>
      <c r="AE27" s="163">
        <f>VLOOKUP($D27,'HR|社保政策'!$A:Z,16,0)</f>
        <v>0.07</v>
      </c>
      <c r="AF27" s="233">
        <v>0.05</v>
      </c>
      <c r="AG27" s="163">
        <f t="shared" si="3"/>
        <v>3375</v>
      </c>
      <c r="AH27" s="163">
        <f t="shared" si="4"/>
        <v>5673</v>
      </c>
      <c r="AI27" s="228">
        <f t="shared" si="5"/>
        <v>9048</v>
      </c>
      <c r="AJ27" s="234"/>
      <c r="AK27" s="234"/>
      <c r="AL27" s="234"/>
      <c r="AM27" s="234" t="s">
        <v>273</v>
      </c>
      <c r="AN27" s="234" t="s">
        <v>273</v>
      </c>
      <c r="AO27" s="234" t="str">
        <f>VLOOKUP(B27,薪酬明细!I:I,1,0)</f>
        <v>黄一萧</v>
      </c>
      <c r="AP27" s="201" t="str">
        <f>VLOOKUP(C27,薪酬明细!A:A,1,0)</f>
        <v>开弈人力资源黄一萧</v>
      </c>
      <c r="AQ27" s="201" t="str">
        <f t="shared" si="6"/>
        <v>开弈人力资源黄一萧</v>
      </c>
      <c r="AR27" s="201">
        <v>3375</v>
      </c>
      <c r="AS27" s="201">
        <f t="shared" si="19"/>
        <v>3375</v>
      </c>
      <c r="AT27" s="201">
        <f t="shared" si="20"/>
        <v>0</v>
      </c>
      <c r="AU27" s="201">
        <v>5813.4</v>
      </c>
      <c r="AV27" s="201">
        <f t="shared" si="21"/>
        <v>140.4</v>
      </c>
      <c r="AW27" s="201" t="e">
        <f>VLOOKUP(C27,薪酬明细!A:A,2,0)</f>
        <v>#REF!</v>
      </c>
      <c r="AX27" s="201" t="b">
        <f t="shared" si="7"/>
        <v>1</v>
      </c>
      <c r="AY27" s="201" t="b">
        <f t="shared" si="8"/>
        <v>1</v>
      </c>
    </row>
    <row r="28" s="201" customFormat="1" spans="1:51">
      <c r="A28" s="163" t="s">
        <v>61</v>
      </c>
      <c r="B28" s="163" t="s">
        <v>314</v>
      </c>
      <c r="C28" s="163" t="str">
        <f t="shared" si="0"/>
        <v>开弈人力资源李家东</v>
      </c>
      <c r="D28" s="163" t="s">
        <v>61</v>
      </c>
      <c r="E28" s="163" t="s">
        <v>263</v>
      </c>
      <c r="F28" s="228">
        <v>7460</v>
      </c>
      <c r="G28" s="228"/>
      <c r="H28" s="229">
        <f t="shared" si="11"/>
        <v>596.8</v>
      </c>
      <c r="I28" s="163">
        <f t="shared" si="12"/>
        <v>149.2</v>
      </c>
      <c r="J28" s="163">
        <f t="shared" si="13"/>
        <v>37.3</v>
      </c>
      <c r="K28" s="163">
        <f t="shared" si="9"/>
        <v>0</v>
      </c>
      <c r="L28" s="230">
        <f t="shared" si="1"/>
        <v>0</v>
      </c>
      <c r="M28" s="229">
        <f t="shared" si="14"/>
        <v>1193.6</v>
      </c>
      <c r="N28" s="163">
        <f t="shared" si="15"/>
        <v>596.8</v>
      </c>
      <c r="O28" s="163">
        <f t="shared" si="16"/>
        <v>37.3</v>
      </c>
      <c r="P28" s="163">
        <f t="shared" si="17"/>
        <v>23.87</v>
      </c>
      <c r="Q28" s="163">
        <f t="shared" si="18"/>
        <v>74.6</v>
      </c>
      <c r="R28" s="163">
        <f t="shared" si="10"/>
        <v>0</v>
      </c>
      <c r="S28" s="163">
        <f t="shared" si="2"/>
        <v>0</v>
      </c>
      <c r="T28" s="230"/>
      <c r="U28" s="229">
        <f>VLOOKUP($D28,'HR|社保政策'!$A:P,6,0)</f>
        <v>0.16</v>
      </c>
      <c r="V28" s="163">
        <f>VLOOKUP($D28,'HR|社保政策'!$A:Q,7,0)</f>
        <v>0.005</v>
      </c>
      <c r="W28" s="231">
        <f>VLOOKUP($D28,'HR|社保政策'!$A:R,8,0)</f>
        <v>0.0032</v>
      </c>
      <c r="X28" s="163">
        <f>VLOOKUP($D28,'HR|社保政策'!$A:S,9,0)</f>
        <v>0.01</v>
      </c>
      <c r="Y28" s="163">
        <v>0.08</v>
      </c>
      <c r="Z28" s="163">
        <f>VLOOKUP($D28,'HR|社保政策'!$A:U,11,0)</f>
        <v>0.07</v>
      </c>
      <c r="AA28" s="163">
        <f>VLOOKUP($D28,'HR|社保政策'!$A:V,12,0)</f>
        <v>0.08</v>
      </c>
      <c r="AB28" s="163">
        <f>VLOOKUP($D28,'HR|社保政策'!$A:W,13,0)</f>
        <v>0.02</v>
      </c>
      <c r="AC28" s="163">
        <f>VLOOKUP($D28,'HR|社保政策'!$A:X,14,0)</f>
        <v>0</v>
      </c>
      <c r="AD28" s="232">
        <f>VLOOKUP($D28,'HR|社保政策'!$A:Y,15,0)</f>
        <v>0.005</v>
      </c>
      <c r="AE28" s="163">
        <f>VLOOKUP($D28,'HR|社保政策'!$A:Z,16,0)</f>
        <v>0.07</v>
      </c>
      <c r="AF28" s="233"/>
      <c r="AG28" s="163">
        <f t="shared" si="3"/>
        <v>783.3</v>
      </c>
      <c r="AH28" s="163">
        <f t="shared" si="4"/>
        <v>1926.17</v>
      </c>
      <c r="AI28" s="228">
        <f t="shared" si="5"/>
        <v>2709.47</v>
      </c>
      <c r="AJ28" s="234"/>
      <c r="AK28" s="234"/>
      <c r="AL28" s="234"/>
      <c r="AM28" s="234" t="s">
        <v>273</v>
      </c>
      <c r="AN28" s="234"/>
      <c r="AO28" s="234" t="str">
        <f>VLOOKUP(B28,薪酬明细!I:I,1,0)</f>
        <v>李家东</v>
      </c>
      <c r="AP28" s="201" t="str">
        <f>VLOOKUP(C28,薪酬明细!A:A,1,0)</f>
        <v>开弈人力资源李家东</v>
      </c>
      <c r="AQ28" s="201" t="str">
        <f t="shared" si="6"/>
        <v>开弈人力资源李家东</v>
      </c>
      <c r="AR28" s="201">
        <v>684.6</v>
      </c>
      <c r="AS28" s="201">
        <f t="shared" si="19"/>
        <v>783.3</v>
      </c>
      <c r="AT28" s="201">
        <f t="shared" si="20"/>
        <v>-98.6999999999999</v>
      </c>
      <c r="AU28" s="201">
        <v>1744.5</v>
      </c>
      <c r="AV28" s="201">
        <f t="shared" si="21"/>
        <v>-181.67</v>
      </c>
      <c r="AW28" s="201" t="e">
        <f>VLOOKUP(C28,薪酬明细!A:A,2,0)</f>
        <v>#REF!</v>
      </c>
      <c r="AX28" s="201" t="b">
        <f t="shared" si="7"/>
        <v>1</v>
      </c>
      <c r="AY28" s="201" t="b">
        <f t="shared" si="8"/>
        <v>1</v>
      </c>
    </row>
    <row r="29" s="201" customFormat="1" spans="1:51">
      <c r="A29" s="163" t="s">
        <v>61</v>
      </c>
      <c r="B29" s="163" t="s">
        <v>332</v>
      </c>
      <c r="C29" s="163" t="str">
        <f t="shared" si="0"/>
        <v>开弈人力资源宋广忠</v>
      </c>
      <c r="D29" s="163" t="s">
        <v>61</v>
      </c>
      <c r="E29" s="163" t="s">
        <v>263</v>
      </c>
      <c r="F29" s="228">
        <v>7460</v>
      </c>
      <c r="G29" s="228"/>
      <c r="H29" s="229">
        <f t="shared" si="11"/>
        <v>596.8</v>
      </c>
      <c r="I29" s="163">
        <f t="shared" si="12"/>
        <v>149.2</v>
      </c>
      <c r="J29" s="163">
        <f t="shared" si="13"/>
        <v>37.3</v>
      </c>
      <c r="K29" s="163">
        <f t="shared" si="9"/>
        <v>0</v>
      </c>
      <c r="L29" s="230">
        <f t="shared" si="1"/>
        <v>0</v>
      </c>
      <c r="M29" s="229">
        <f t="shared" si="14"/>
        <v>1193.6</v>
      </c>
      <c r="N29" s="163">
        <f t="shared" si="15"/>
        <v>596.8</v>
      </c>
      <c r="O29" s="163">
        <f t="shared" si="16"/>
        <v>37.3</v>
      </c>
      <c r="P29" s="163">
        <f t="shared" si="17"/>
        <v>23.87</v>
      </c>
      <c r="Q29" s="163">
        <f t="shared" si="18"/>
        <v>74.6</v>
      </c>
      <c r="R29" s="163">
        <f t="shared" si="10"/>
        <v>0</v>
      </c>
      <c r="S29" s="163">
        <f t="shared" si="2"/>
        <v>0</v>
      </c>
      <c r="T29" s="230"/>
      <c r="U29" s="229">
        <f>VLOOKUP($D29,'HR|社保政策'!$A:P,6,0)</f>
        <v>0.16</v>
      </c>
      <c r="V29" s="163">
        <f>VLOOKUP($D29,'HR|社保政策'!$A:Q,7,0)</f>
        <v>0.005</v>
      </c>
      <c r="W29" s="231">
        <f>VLOOKUP($D29,'HR|社保政策'!$A:R,8,0)</f>
        <v>0.0032</v>
      </c>
      <c r="X29" s="163">
        <f>VLOOKUP($D29,'HR|社保政策'!$A:S,9,0)</f>
        <v>0.01</v>
      </c>
      <c r="Y29" s="163">
        <v>0.08</v>
      </c>
      <c r="Z29" s="163">
        <f>VLOOKUP($D29,'HR|社保政策'!$A:U,11,0)</f>
        <v>0.07</v>
      </c>
      <c r="AA29" s="163">
        <f>VLOOKUP($D29,'HR|社保政策'!$A:V,12,0)</f>
        <v>0.08</v>
      </c>
      <c r="AB29" s="163">
        <f>VLOOKUP($D29,'HR|社保政策'!$A:W,13,0)</f>
        <v>0.02</v>
      </c>
      <c r="AC29" s="163">
        <f>VLOOKUP($D29,'HR|社保政策'!$A:X,14,0)</f>
        <v>0</v>
      </c>
      <c r="AD29" s="232">
        <f>VLOOKUP($D29,'HR|社保政策'!$A:Y,15,0)</f>
        <v>0.005</v>
      </c>
      <c r="AE29" s="163">
        <f>VLOOKUP($D29,'HR|社保政策'!$A:Z,16,0)</f>
        <v>0.07</v>
      </c>
      <c r="AF29" s="233"/>
      <c r="AG29" s="163">
        <f t="shared" si="3"/>
        <v>783.3</v>
      </c>
      <c r="AH29" s="163">
        <f t="shared" si="4"/>
        <v>1926.17</v>
      </c>
      <c r="AI29" s="228">
        <f t="shared" si="5"/>
        <v>2709.47</v>
      </c>
      <c r="AJ29" s="234"/>
      <c r="AK29" s="234"/>
      <c r="AL29" s="234"/>
      <c r="AM29" s="234" t="s">
        <v>273</v>
      </c>
      <c r="AN29" s="234"/>
      <c r="AO29" s="234" t="str">
        <f>VLOOKUP(B29,薪酬明细!I:I,1,0)</f>
        <v>宋广忠</v>
      </c>
      <c r="AP29" s="201" t="str">
        <f>VLOOKUP(C29,薪酬明细!A:A,1,0)</f>
        <v>开弈人力资源宋广忠</v>
      </c>
      <c r="AQ29" s="201" t="str">
        <f t="shared" si="6"/>
        <v>开弈人力资源宋广忠</v>
      </c>
      <c r="AR29" s="201">
        <v>684.6</v>
      </c>
      <c r="AS29" s="201">
        <f t="shared" si="19"/>
        <v>783.3</v>
      </c>
      <c r="AT29" s="201">
        <f t="shared" si="20"/>
        <v>-98.6999999999999</v>
      </c>
      <c r="AU29" s="201">
        <v>1744.5</v>
      </c>
      <c r="AV29" s="201">
        <f t="shared" si="21"/>
        <v>-181.67</v>
      </c>
      <c r="AW29" s="201" t="e">
        <f>VLOOKUP(C29,薪酬明细!A:A,2,0)</f>
        <v>#REF!</v>
      </c>
      <c r="AX29" s="201" t="b">
        <f t="shared" si="7"/>
        <v>1</v>
      </c>
      <c r="AY29" s="201" t="b">
        <f t="shared" si="8"/>
        <v>1</v>
      </c>
    </row>
    <row r="30" s="201" customFormat="1" spans="1:51">
      <c r="A30" s="163" t="s">
        <v>61</v>
      </c>
      <c r="B30" s="163" t="s">
        <v>306</v>
      </c>
      <c r="C30" s="163" t="str">
        <f t="shared" si="0"/>
        <v>开弈人力资源杨漾</v>
      </c>
      <c r="D30" s="163" t="s">
        <v>61</v>
      </c>
      <c r="E30" s="163"/>
      <c r="F30" s="228">
        <v>10000</v>
      </c>
      <c r="G30" s="228">
        <v>10000</v>
      </c>
      <c r="H30" s="229">
        <f t="shared" si="11"/>
        <v>800</v>
      </c>
      <c r="I30" s="163">
        <f t="shared" si="12"/>
        <v>200</v>
      </c>
      <c r="J30" s="163">
        <f t="shared" si="13"/>
        <v>50</v>
      </c>
      <c r="K30" s="163">
        <f t="shared" si="9"/>
        <v>700</v>
      </c>
      <c r="L30" s="230">
        <f t="shared" si="1"/>
        <v>500</v>
      </c>
      <c r="M30" s="229">
        <f t="shared" si="14"/>
        <v>1600</v>
      </c>
      <c r="N30" s="163">
        <f t="shared" si="15"/>
        <v>800</v>
      </c>
      <c r="O30" s="163">
        <f t="shared" si="16"/>
        <v>50</v>
      </c>
      <c r="P30" s="163">
        <f t="shared" si="17"/>
        <v>32</v>
      </c>
      <c r="Q30" s="163">
        <f t="shared" si="18"/>
        <v>100</v>
      </c>
      <c r="R30" s="163">
        <f t="shared" si="10"/>
        <v>700</v>
      </c>
      <c r="S30" s="163">
        <f t="shared" si="2"/>
        <v>500</v>
      </c>
      <c r="T30" s="230"/>
      <c r="U30" s="229">
        <f>VLOOKUP($D30,'HR|社保政策'!$A:P,6,0)</f>
        <v>0.16</v>
      </c>
      <c r="V30" s="163">
        <f>VLOOKUP($D30,'HR|社保政策'!$A:Q,7,0)</f>
        <v>0.005</v>
      </c>
      <c r="W30" s="231">
        <f>VLOOKUP($D30,'HR|社保政策'!$A:R,8,0)</f>
        <v>0.0032</v>
      </c>
      <c r="X30" s="163">
        <f>VLOOKUP($D30,'HR|社保政策'!$A:S,9,0)</f>
        <v>0.01</v>
      </c>
      <c r="Y30" s="163">
        <v>0.08</v>
      </c>
      <c r="Z30" s="163">
        <f>VLOOKUP($D30,'HR|社保政策'!$A:U,11,0)</f>
        <v>0.07</v>
      </c>
      <c r="AA30" s="163">
        <f>VLOOKUP($D30,'HR|社保政策'!$A:V,12,0)</f>
        <v>0.08</v>
      </c>
      <c r="AB30" s="163">
        <f>VLOOKUP($D30,'HR|社保政策'!$A:W,13,0)</f>
        <v>0.02</v>
      </c>
      <c r="AC30" s="163">
        <f>VLOOKUP($D30,'HR|社保政策'!$A:X,14,0)</f>
        <v>0</v>
      </c>
      <c r="AD30" s="232">
        <f>VLOOKUP($D30,'HR|社保政策'!$A:Y,15,0)</f>
        <v>0.005</v>
      </c>
      <c r="AE30" s="163">
        <f>VLOOKUP($D30,'HR|社保政策'!$A:Z,16,0)</f>
        <v>0.07</v>
      </c>
      <c r="AF30" s="233">
        <v>0.05</v>
      </c>
      <c r="AG30" s="163">
        <f t="shared" si="3"/>
        <v>2250</v>
      </c>
      <c r="AH30" s="163">
        <f t="shared" si="4"/>
        <v>3782</v>
      </c>
      <c r="AI30" s="228">
        <f t="shared" si="5"/>
        <v>6032</v>
      </c>
      <c r="AJ30" s="234"/>
      <c r="AK30" s="234"/>
      <c r="AL30" s="234"/>
      <c r="AM30" s="234" t="s">
        <v>273</v>
      </c>
      <c r="AN30" s="234" t="s">
        <v>273</v>
      </c>
      <c r="AO30" s="234" t="str">
        <f>VLOOKUP(B30,薪酬明细!I:I,1,0)</f>
        <v>杨漾</v>
      </c>
      <c r="AP30" s="201" t="str">
        <f>VLOOKUP(C30,薪酬明细!A:A,1,0)</f>
        <v>开弈人力资源杨漾</v>
      </c>
      <c r="AQ30" s="201" t="str">
        <f t="shared" si="6"/>
        <v>开弈人力资源杨漾</v>
      </c>
      <c r="AR30" s="201">
        <v>2250</v>
      </c>
      <c r="AS30" s="201">
        <f t="shared" si="19"/>
        <v>2250</v>
      </c>
      <c r="AT30" s="201">
        <f t="shared" si="20"/>
        <v>0</v>
      </c>
      <c r="AU30" s="201">
        <v>3875.6</v>
      </c>
      <c r="AV30" s="201">
        <f t="shared" si="21"/>
        <v>93.5999999999999</v>
      </c>
      <c r="AW30" s="201" t="e">
        <f>VLOOKUP(C30,薪酬明细!A:A,2,0)</f>
        <v>#REF!</v>
      </c>
      <c r="AX30" s="201" t="b">
        <f t="shared" si="7"/>
        <v>1</v>
      </c>
      <c r="AY30" s="201" t="b">
        <f t="shared" si="8"/>
        <v>1</v>
      </c>
    </row>
    <row r="31" s="201" customFormat="1" spans="1:51">
      <c r="A31" s="163" t="s">
        <v>61</v>
      </c>
      <c r="B31" s="163" t="s">
        <v>270</v>
      </c>
      <c r="C31" s="163" t="str">
        <f t="shared" si="0"/>
        <v>开弈人力资源王倩</v>
      </c>
      <c r="D31" s="163" t="s">
        <v>61</v>
      </c>
      <c r="E31" s="163"/>
      <c r="F31" s="228">
        <v>0</v>
      </c>
      <c r="G31" s="228">
        <v>0</v>
      </c>
      <c r="H31" s="229">
        <f t="shared" si="11"/>
        <v>0</v>
      </c>
      <c r="I31" s="163">
        <f t="shared" si="12"/>
        <v>0</v>
      </c>
      <c r="J31" s="163">
        <f t="shared" si="13"/>
        <v>0</v>
      </c>
      <c r="K31" s="163">
        <f t="shared" si="9"/>
        <v>0</v>
      </c>
      <c r="L31" s="230">
        <f t="shared" si="1"/>
        <v>0</v>
      </c>
      <c r="M31" s="229">
        <f t="shared" si="14"/>
        <v>0</v>
      </c>
      <c r="N31" s="163">
        <f t="shared" si="15"/>
        <v>0</v>
      </c>
      <c r="O31" s="163">
        <f t="shared" si="16"/>
        <v>0</v>
      </c>
      <c r="P31" s="163">
        <f t="shared" si="17"/>
        <v>0</v>
      </c>
      <c r="Q31" s="163">
        <f t="shared" si="18"/>
        <v>0</v>
      </c>
      <c r="R31" s="163">
        <f t="shared" si="10"/>
        <v>0</v>
      </c>
      <c r="S31" s="163">
        <f t="shared" si="2"/>
        <v>0</v>
      </c>
      <c r="T31" s="230"/>
      <c r="U31" s="229">
        <f>VLOOKUP($D31,'HR|社保政策'!$A:P,6,0)</f>
        <v>0.16</v>
      </c>
      <c r="V31" s="163">
        <f>VLOOKUP($D31,'HR|社保政策'!$A:Q,7,0)</f>
        <v>0.005</v>
      </c>
      <c r="W31" s="231">
        <f>VLOOKUP($D31,'HR|社保政策'!$A:R,8,0)</f>
        <v>0.0032</v>
      </c>
      <c r="X31" s="163">
        <f>VLOOKUP($D31,'HR|社保政策'!$A:S,9,0)</f>
        <v>0.01</v>
      </c>
      <c r="Y31" s="163">
        <v>0.08</v>
      </c>
      <c r="Z31" s="163">
        <f>VLOOKUP($D31,'HR|社保政策'!$A:U,11,0)</f>
        <v>0.07</v>
      </c>
      <c r="AA31" s="163">
        <f>VLOOKUP($D31,'HR|社保政策'!$A:V,12,0)</f>
        <v>0.08</v>
      </c>
      <c r="AB31" s="163">
        <f>VLOOKUP($D31,'HR|社保政策'!$A:W,13,0)</f>
        <v>0.02</v>
      </c>
      <c r="AC31" s="163">
        <f>VLOOKUP($D31,'HR|社保政策'!$A:X,14,0)</f>
        <v>0</v>
      </c>
      <c r="AD31" s="232">
        <f>VLOOKUP($D31,'HR|社保政策'!$A:Y,15,0)</f>
        <v>0.005</v>
      </c>
      <c r="AE31" s="163">
        <f>VLOOKUP($D31,'HR|社保政策'!$A:Z,16,0)</f>
        <v>0.07</v>
      </c>
      <c r="AF31" s="233"/>
      <c r="AG31" s="163">
        <f t="shared" si="3"/>
        <v>0</v>
      </c>
      <c r="AH31" s="163">
        <f t="shared" si="4"/>
        <v>0</v>
      </c>
      <c r="AI31" s="228">
        <f t="shared" si="5"/>
        <v>0</v>
      </c>
      <c r="AJ31" s="234"/>
      <c r="AK31" s="234"/>
      <c r="AL31" s="234"/>
      <c r="AM31" s="234"/>
      <c r="AN31" s="234"/>
      <c r="AO31" s="234" t="str">
        <f>VLOOKUP(B31,薪酬明细!I:I,1,0)</f>
        <v>王倩</v>
      </c>
      <c r="AP31" s="201" t="str">
        <f>VLOOKUP(C31,薪酬明细!A:A,1,0)</f>
        <v>开弈人力资源王倩</v>
      </c>
      <c r="AQ31" s="201" t="str">
        <f t="shared" si="6"/>
        <v>开弈人力资源王倩</v>
      </c>
      <c r="AR31" s="201">
        <v>0</v>
      </c>
      <c r="AS31" s="201">
        <f t="shared" si="19"/>
        <v>0</v>
      </c>
      <c r="AT31" s="201">
        <f t="shared" si="20"/>
        <v>0</v>
      </c>
      <c r="AU31" s="201">
        <v>0</v>
      </c>
      <c r="AV31" s="201">
        <f t="shared" si="21"/>
        <v>0</v>
      </c>
      <c r="AW31" s="201" t="e">
        <f>VLOOKUP(C31,薪酬明细!A:A,2,0)</f>
        <v>#REF!</v>
      </c>
      <c r="AX31" s="201" t="b">
        <f t="shared" si="7"/>
        <v>1</v>
      </c>
      <c r="AY31" s="201" t="b">
        <f t="shared" si="8"/>
        <v>1</v>
      </c>
    </row>
    <row r="32" s="201" customFormat="1" spans="1:51">
      <c r="A32" s="163" t="s">
        <v>61</v>
      </c>
      <c r="B32" s="163" t="s">
        <v>282</v>
      </c>
      <c r="C32" s="163" t="str">
        <f t="shared" si="0"/>
        <v>开弈人力资源曹保兵</v>
      </c>
      <c r="D32" s="163" t="s">
        <v>61</v>
      </c>
      <c r="E32" s="163" t="s">
        <v>263</v>
      </c>
      <c r="F32" s="228">
        <v>7460</v>
      </c>
      <c r="G32" s="228"/>
      <c r="H32" s="229">
        <f t="shared" si="11"/>
        <v>596.8</v>
      </c>
      <c r="I32" s="163">
        <f t="shared" si="12"/>
        <v>149.2</v>
      </c>
      <c r="J32" s="163">
        <f t="shared" si="13"/>
        <v>37.3</v>
      </c>
      <c r="K32" s="163">
        <f t="shared" si="9"/>
        <v>0</v>
      </c>
      <c r="L32" s="230">
        <f t="shared" si="1"/>
        <v>0</v>
      </c>
      <c r="M32" s="229">
        <f t="shared" si="14"/>
        <v>1193.6</v>
      </c>
      <c r="N32" s="163">
        <f t="shared" si="15"/>
        <v>596.8</v>
      </c>
      <c r="O32" s="163">
        <f t="shared" si="16"/>
        <v>37.3</v>
      </c>
      <c r="P32" s="163">
        <f t="shared" si="17"/>
        <v>23.87</v>
      </c>
      <c r="Q32" s="163">
        <f t="shared" si="18"/>
        <v>74.6</v>
      </c>
      <c r="R32" s="163">
        <f t="shared" si="10"/>
        <v>0</v>
      </c>
      <c r="S32" s="163">
        <f t="shared" si="2"/>
        <v>0</v>
      </c>
      <c r="T32" s="230"/>
      <c r="U32" s="229">
        <f>VLOOKUP($D32,'HR|社保政策'!$A:P,6,0)</f>
        <v>0.16</v>
      </c>
      <c r="V32" s="163">
        <f>VLOOKUP($D32,'HR|社保政策'!$A:Q,7,0)</f>
        <v>0.005</v>
      </c>
      <c r="W32" s="231">
        <f>VLOOKUP($D32,'HR|社保政策'!$A:R,8,0)</f>
        <v>0.0032</v>
      </c>
      <c r="X32" s="163">
        <f>VLOOKUP($D32,'HR|社保政策'!$A:S,9,0)</f>
        <v>0.01</v>
      </c>
      <c r="Y32" s="163">
        <v>0.08</v>
      </c>
      <c r="Z32" s="163">
        <f>VLOOKUP($D32,'HR|社保政策'!$A:U,11,0)</f>
        <v>0.07</v>
      </c>
      <c r="AA32" s="163">
        <f>VLOOKUP($D32,'HR|社保政策'!$A:V,12,0)</f>
        <v>0.08</v>
      </c>
      <c r="AB32" s="163">
        <f>VLOOKUP($D32,'HR|社保政策'!$A:W,13,0)</f>
        <v>0.02</v>
      </c>
      <c r="AC32" s="163">
        <f>VLOOKUP($D32,'HR|社保政策'!$A:X,14,0)</f>
        <v>0</v>
      </c>
      <c r="AD32" s="232">
        <f>VLOOKUP($D32,'HR|社保政策'!$A:Y,15,0)</f>
        <v>0.005</v>
      </c>
      <c r="AE32" s="163">
        <f>VLOOKUP($D32,'HR|社保政策'!$A:Z,16,0)</f>
        <v>0.07</v>
      </c>
      <c r="AF32" s="233"/>
      <c r="AG32" s="163">
        <f t="shared" si="3"/>
        <v>783.3</v>
      </c>
      <c r="AH32" s="163">
        <f t="shared" si="4"/>
        <v>1926.17</v>
      </c>
      <c r="AI32" s="228">
        <f t="shared" si="5"/>
        <v>2709.47</v>
      </c>
      <c r="AJ32" s="234"/>
      <c r="AK32" s="234"/>
      <c r="AL32" s="234"/>
      <c r="AM32" s="234" t="s">
        <v>273</v>
      </c>
      <c r="AN32" s="234"/>
      <c r="AO32" s="234" t="str">
        <f>VLOOKUP(B32,薪酬明细!I:I,1,0)</f>
        <v>曹保兵</v>
      </c>
      <c r="AP32" s="201" t="str">
        <f>VLOOKUP(C32,薪酬明细!A:A,1,0)</f>
        <v>开弈人力资源曹保兵</v>
      </c>
      <c r="AQ32" s="201" t="str">
        <f t="shared" si="6"/>
        <v>开弈人力资源曹保兵</v>
      </c>
      <c r="AR32" s="201">
        <v>684.6</v>
      </c>
      <c r="AS32" s="201">
        <f t="shared" si="19"/>
        <v>783.3</v>
      </c>
      <c r="AT32" s="201">
        <f t="shared" si="20"/>
        <v>-98.6999999999999</v>
      </c>
      <c r="AU32" s="201">
        <v>1738.3</v>
      </c>
      <c r="AV32" s="201">
        <f t="shared" si="21"/>
        <v>-187.87</v>
      </c>
      <c r="AW32" s="201" t="e">
        <f>VLOOKUP(C32,薪酬明细!A:A,2,0)</f>
        <v>#REF!</v>
      </c>
      <c r="AX32" s="201" t="b">
        <f t="shared" si="7"/>
        <v>1</v>
      </c>
      <c r="AY32" s="201" t="b">
        <f t="shared" si="8"/>
        <v>1</v>
      </c>
    </row>
    <row r="33" s="201" customFormat="1" spans="1:51">
      <c r="A33" s="163" t="s">
        <v>68</v>
      </c>
      <c r="B33" s="163" t="s">
        <v>582</v>
      </c>
      <c r="C33" s="163" t="str">
        <f t="shared" si="0"/>
        <v>智名信息张涛</v>
      </c>
      <c r="D33" s="163" t="s">
        <v>628</v>
      </c>
      <c r="E33" s="163"/>
      <c r="F33" s="228">
        <v>7460</v>
      </c>
      <c r="G33" s="228">
        <v>7384</v>
      </c>
      <c r="H33" s="229">
        <f t="shared" si="11"/>
        <v>596.8</v>
      </c>
      <c r="I33" s="163">
        <f t="shared" si="12"/>
        <v>149.2</v>
      </c>
      <c r="J33" s="163">
        <f t="shared" si="13"/>
        <v>37.3</v>
      </c>
      <c r="K33" s="163">
        <f t="shared" si="9"/>
        <v>517</v>
      </c>
      <c r="L33" s="230">
        <f t="shared" si="1"/>
        <v>0</v>
      </c>
      <c r="M33" s="229">
        <f t="shared" si="14"/>
        <v>1193.6</v>
      </c>
      <c r="N33" s="163">
        <f t="shared" si="15"/>
        <v>596.8</v>
      </c>
      <c r="O33" s="163">
        <f t="shared" si="16"/>
        <v>37.3</v>
      </c>
      <c r="P33" s="163">
        <f t="shared" si="17"/>
        <v>14.92</v>
      </c>
      <c r="Q33" s="163">
        <f t="shared" si="18"/>
        <v>74.6</v>
      </c>
      <c r="R33" s="163">
        <f t="shared" si="10"/>
        <v>517</v>
      </c>
      <c r="S33" s="163">
        <f t="shared" si="2"/>
        <v>0</v>
      </c>
      <c r="T33" s="230"/>
      <c r="U33" s="229">
        <f>VLOOKUP($D33,'HR|社保政策'!$A:P,6,0)</f>
        <v>0.16</v>
      </c>
      <c r="V33" s="163">
        <f>VLOOKUP($D33,'HR|社保政策'!$A:Q,7,0)</f>
        <v>0.005</v>
      </c>
      <c r="W33" s="231">
        <f>VLOOKUP($D33,'HR|社保政策'!$A:R,8,0)</f>
        <v>0.002</v>
      </c>
      <c r="X33" s="163">
        <f>VLOOKUP($D33,'HR|社保政策'!$A:S,9,0)</f>
        <v>0.01</v>
      </c>
      <c r="Y33" s="163">
        <v>0.08</v>
      </c>
      <c r="Z33" s="163">
        <f>VLOOKUP($D33,'HR|社保政策'!$A:U,11,0)</f>
        <v>0.07</v>
      </c>
      <c r="AA33" s="163">
        <f>VLOOKUP($D33,'HR|社保政策'!$A:V,12,0)</f>
        <v>0.08</v>
      </c>
      <c r="AB33" s="163">
        <f>VLOOKUP($D33,'HR|社保政策'!$A:W,13,0)</f>
        <v>0.02</v>
      </c>
      <c r="AC33" s="163">
        <f>VLOOKUP($D33,'HR|社保政策'!$A:X,14,0)</f>
        <v>0</v>
      </c>
      <c r="AD33" s="232">
        <f>VLOOKUP($D33,'HR|社保政策'!$A:Y,15,0)</f>
        <v>0.005</v>
      </c>
      <c r="AE33" s="163">
        <f>VLOOKUP($D33,'HR|社保政策'!$A:Z,16,0)</f>
        <v>0.07</v>
      </c>
      <c r="AF33" s="233"/>
      <c r="AG33" s="163">
        <f t="shared" si="3"/>
        <v>1300.3</v>
      </c>
      <c r="AH33" s="163">
        <f t="shared" si="4"/>
        <v>2434.22</v>
      </c>
      <c r="AI33" s="228">
        <f t="shared" si="5"/>
        <v>3734.52</v>
      </c>
      <c r="AJ33" s="234"/>
      <c r="AK33" s="234"/>
      <c r="AL33" s="234"/>
      <c r="AM33" s="234" t="s">
        <v>273</v>
      </c>
      <c r="AN33" s="234" t="s">
        <v>273</v>
      </c>
      <c r="AO33" s="234" t="str">
        <f>VLOOKUP(B33,薪酬明细!I:I,1,0)</f>
        <v>张涛</v>
      </c>
      <c r="AP33" s="201" t="str">
        <f>VLOOKUP(C33,薪酬明细!A:A,1,0)</f>
        <v>智名信息张涛</v>
      </c>
      <c r="AQ33" s="201" t="str">
        <f t="shared" si="6"/>
        <v>智名信息张涛</v>
      </c>
      <c r="AR33" s="201">
        <v>1140.6</v>
      </c>
      <c r="AS33" s="201">
        <f t="shared" si="19"/>
        <v>1300.3</v>
      </c>
      <c r="AT33" s="201">
        <f t="shared" si="20"/>
        <v>-159.7</v>
      </c>
      <c r="AU33" s="201">
        <v>2200.49</v>
      </c>
      <c r="AV33" s="201">
        <f t="shared" si="21"/>
        <v>-233.73</v>
      </c>
      <c r="AW33" s="201" t="e">
        <f>VLOOKUP(C33,薪酬明细!A:A,2,0)</f>
        <v>#REF!</v>
      </c>
      <c r="AX33" s="201" t="b">
        <f t="shared" si="7"/>
        <v>0</v>
      </c>
      <c r="AY33" s="201" t="b">
        <f t="shared" si="8"/>
        <v>1</v>
      </c>
    </row>
    <row r="34" s="201" customFormat="1" spans="1:51">
      <c r="A34" s="163" t="s">
        <v>57</v>
      </c>
      <c r="B34" s="163" t="s">
        <v>105</v>
      </c>
      <c r="C34" s="163" t="str">
        <f t="shared" si="0"/>
        <v>开弈信息黄欢欢</v>
      </c>
      <c r="D34" s="163" t="s">
        <v>57</v>
      </c>
      <c r="E34" s="163"/>
      <c r="F34" s="228">
        <v>25000</v>
      </c>
      <c r="G34" s="228">
        <v>10000</v>
      </c>
      <c r="H34" s="229">
        <f t="shared" si="11"/>
        <v>2000</v>
      </c>
      <c r="I34" s="163">
        <f t="shared" si="12"/>
        <v>500</v>
      </c>
      <c r="J34" s="163">
        <f t="shared" si="13"/>
        <v>125</v>
      </c>
      <c r="K34" s="163">
        <f t="shared" si="9"/>
        <v>700</v>
      </c>
      <c r="L34" s="230">
        <f t="shared" si="1"/>
        <v>0</v>
      </c>
      <c r="M34" s="229">
        <f t="shared" si="14"/>
        <v>4000</v>
      </c>
      <c r="N34" s="163">
        <f t="shared" si="15"/>
        <v>2000</v>
      </c>
      <c r="O34" s="163">
        <f t="shared" si="16"/>
        <v>125</v>
      </c>
      <c r="P34" s="163">
        <f t="shared" si="17"/>
        <v>50</v>
      </c>
      <c r="Q34" s="163">
        <f t="shared" si="18"/>
        <v>250</v>
      </c>
      <c r="R34" s="163">
        <f t="shared" si="10"/>
        <v>700</v>
      </c>
      <c r="S34" s="163">
        <f t="shared" si="2"/>
        <v>0</v>
      </c>
      <c r="T34" s="230"/>
      <c r="U34" s="229">
        <f>VLOOKUP($D34,'HR|社保政策'!$A:P,6,0)</f>
        <v>0.16</v>
      </c>
      <c r="V34" s="163">
        <f>VLOOKUP($D34,'HR|社保政策'!$A:Q,7,0)</f>
        <v>0.005</v>
      </c>
      <c r="W34" s="231">
        <f>VLOOKUP($D34,'HR|社保政策'!$A:R,8,0)</f>
        <v>0.002</v>
      </c>
      <c r="X34" s="163">
        <f>VLOOKUP($D34,'HR|社保政策'!$A:S,9,0)</f>
        <v>0.01</v>
      </c>
      <c r="Y34" s="163">
        <v>0.08</v>
      </c>
      <c r="Z34" s="163">
        <f>VLOOKUP($D34,'HR|社保政策'!$A:U,11,0)</f>
        <v>0.07</v>
      </c>
      <c r="AA34" s="163">
        <f>VLOOKUP($D34,'HR|社保政策'!$A:V,12,0)</f>
        <v>0.08</v>
      </c>
      <c r="AB34" s="163">
        <f>VLOOKUP($D34,'HR|社保政策'!$A:W,13,0)</f>
        <v>0.02</v>
      </c>
      <c r="AC34" s="163">
        <f>VLOOKUP($D34,'HR|社保政策'!$A:X,14,0)</f>
        <v>0</v>
      </c>
      <c r="AD34" s="232">
        <f>VLOOKUP($D34,'HR|社保政策'!$A:Y,15,0)</f>
        <v>0.005</v>
      </c>
      <c r="AE34" s="163">
        <f>VLOOKUP($D34,'HR|社保政策'!$A:Z,16,0)</f>
        <v>0.07</v>
      </c>
      <c r="AF34" s="233"/>
      <c r="AG34" s="163">
        <f t="shared" si="3"/>
        <v>3325</v>
      </c>
      <c r="AH34" s="163">
        <f t="shared" si="4"/>
        <v>7125</v>
      </c>
      <c r="AI34" s="228">
        <f t="shared" si="5"/>
        <v>10450</v>
      </c>
      <c r="AJ34" s="234"/>
      <c r="AK34" s="234"/>
      <c r="AL34" s="234"/>
      <c r="AM34" s="234" t="s">
        <v>273</v>
      </c>
      <c r="AN34" s="234" t="s">
        <v>273</v>
      </c>
      <c r="AO34" s="234" t="str">
        <f>VLOOKUP(B34,薪酬明细!I:I,1,0)</f>
        <v>黄欢欢</v>
      </c>
      <c r="AP34" s="201" t="str">
        <f>VLOOKUP(C34,薪酬明细!A:A,1,0)</f>
        <v>开弈信息黄欢欢</v>
      </c>
      <c r="AQ34" s="201" t="str">
        <f t="shared" si="6"/>
        <v>开弈信息黄欢欢</v>
      </c>
      <c r="AR34" s="201">
        <v>1750</v>
      </c>
      <c r="AS34" s="201">
        <f t="shared" si="19"/>
        <v>3325</v>
      </c>
      <c r="AT34" s="201">
        <f t="shared" si="20"/>
        <v>-1575</v>
      </c>
      <c r="AU34" s="201">
        <v>3375.6</v>
      </c>
      <c r="AV34" s="201">
        <f t="shared" si="21"/>
        <v>-3749.4</v>
      </c>
      <c r="AW34" s="201" t="e">
        <f>VLOOKUP(C34,薪酬明细!A:A,2,0)</f>
        <v>#REF!</v>
      </c>
      <c r="AX34" s="201" t="b">
        <f t="shared" si="7"/>
        <v>1</v>
      </c>
      <c r="AY34" s="201" t="b">
        <f t="shared" si="8"/>
        <v>1</v>
      </c>
    </row>
    <row r="35" s="201" customFormat="1" spans="1:51">
      <c r="A35" s="163" t="s">
        <v>57</v>
      </c>
      <c r="B35" s="163" t="s">
        <v>397</v>
      </c>
      <c r="C35" s="163" t="str">
        <f t="shared" si="0"/>
        <v>开弈信息沈明明</v>
      </c>
      <c r="D35" s="163" t="s">
        <v>57</v>
      </c>
      <c r="E35" s="163"/>
      <c r="F35" s="228">
        <v>7460</v>
      </c>
      <c r="G35" s="228">
        <v>7384</v>
      </c>
      <c r="H35" s="229">
        <f t="shared" si="11"/>
        <v>596.8</v>
      </c>
      <c r="I35" s="163">
        <f t="shared" si="12"/>
        <v>149.2</v>
      </c>
      <c r="J35" s="163">
        <f t="shared" si="13"/>
        <v>37.3</v>
      </c>
      <c r="K35" s="163">
        <f t="shared" si="9"/>
        <v>517</v>
      </c>
      <c r="L35" s="230">
        <f t="shared" si="1"/>
        <v>0</v>
      </c>
      <c r="M35" s="229">
        <f t="shared" si="14"/>
        <v>1193.6</v>
      </c>
      <c r="N35" s="163">
        <f t="shared" si="15"/>
        <v>596.8</v>
      </c>
      <c r="O35" s="163">
        <f t="shared" si="16"/>
        <v>37.3</v>
      </c>
      <c r="P35" s="163">
        <f t="shared" si="17"/>
        <v>14.92</v>
      </c>
      <c r="Q35" s="163">
        <f t="shared" si="18"/>
        <v>74.6</v>
      </c>
      <c r="R35" s="163">
        <f t="shared" si="10"/>
        <v>517</v>
      </c>
      <c r="S35" s="163">
        <f t="shared" si="2"/>
        <v>0</v>
      </c>
      <c r="T35" s="230"/>
      <c r="U35" s="229">
        <f>VLOOKUP($D35,'HR|社保政策'!$A:P,6,0)</f>
        <v>0.16</v>
      </c>
      <c r="V35" s="163">
        <f>VLOOKUP($D35,'HR|社保政策'!$A:Q,7,0)</f>
        <v>0.005</v>
      </c>
      <c r="W35" s="231">
        <f>VLOOKUP($D35,'HR|社保政策'!$A:R,8,0)</f>
        <v>0.002</v>
      </c>
      <c r="X35" s="163">
        <f>VLOOKUP($D35,'HR|社保政策'!$A:S,9,0)</f>
        <v>0.01</v>
      </c>
      <c r="Y35" s="163">
        <v>0.08</v>
      </c>
      <c r="Z35" s="163">
        <f>VLOOKUP($D35,'HR|社保政策'!$A:U,11,0)</f>
        <v>0.07</v>
      </c>
      <c r="AA35" s="163">
        <f>VLOOKUP($D35,'HR|社保政策'!$A:V,12,0)</f>
        <v>0.08</v>
      </c>
      <c r="AB35" s="163">
        <f>VLOOKUP($D35,'HR|社保政策'!$A:W,13,0)</f>
        <v>0.02</v>
      </c>
      <c r="AC35" s="163">
        <f>VLOOKUP($D35,'HR|社保政策'!$A:X,14,0)</f>
        <v>0</v>
      </c>
      <c r="AD35" s="232">
        <f>VLOOKUP($D35,'HR|社保政策'!$A:Y,15,0)</f>
        <v>0.005</v>
      </c>
      <c r="AE35" s="163">
        <f>VLOOKUP($D35,'HR|社保政策'!$A:Z,16,0)</f>
        <v>0.07</v>
      </c>
      <c r="AF35" s="233"/>
      <c r="AG35" s="163">
        <f t="shared" si="3"/>
        <v>1300.3</v>
      </c>
      <c r="AH35" s="163">
        <f t="shared" si="4"/>
        <v>2434.22</v>
      </c>
      <c r="AI35" s="228">
        <f t="shared" si="5"/>
        <v>3734.52</v>
      </c>
      <c r="AJ35" s="234"/>
      <c r="AK35" s="234"/>
      <c r="AL35" s="234"/>
      <c r="AM35" s="234" t="s">
        <v>273</v>
      </c>
      <c r="AN35" s="234" t="s">
        <v>273</v>
      </c>
      <c r="AO35" s="234" t="str">
        <f>VLOOKUP(B35,薪酬明细!I:I,1,0)</f>
        <v>沈明明</v>
      </c>
      <c r="AP35" s="201" t="str">
        <f>VLOOKUP(C35,薪酬明细!A:A,1,0)</f>
        <v>开弈信息沈明明</v>
      </c>
      <c r="AQ35" s="201" t="str">
        <f t="shared" si="6"/>
        <v>开弈信息沈明明</v>
      </c>
      <c r="AR35" s="201">
        <v>1140.6</v>
      </c>
      <c r="AS35" s="201">
        <f t="shared" si="19"/>
        <v>1300.3</v>
      </c>
      <c r="AT35" s="201">
        <f t="shared" si="20"/>
        <v>-159.7</v>
      </c>
      <c r="AU35" s="201">
        <v>2194.3</v>
      </c>
      <c r="AV35" s="201">
        <f t="shared" si="21"/>
        <v>-239.92</v>
      </c>
      <c r="AW35" s="201" t="e">
        <f>VLOOKUP(C35,薪酬明细!A:A,2,0)</f>
        <v>#REF!</v>
      </c>
      <c r="AX35" s="201" t="b">
        <f t="shared" si="7"/>
        <v>1</v>
      </c>
      <c r="AY35" s="201" t="b">
        <f t="shared" si="8"/>
        <v>1</v>
      </c>
    </row>
    <row r="36" s="201" customFormat="1" spans="1:51">
      <c r="A36" s="163" t="s">
        <v>57</v>
      </c>
      <c r="B36" s="163" t="s">
        <v>108</v>
      </c>
      <c r="C36" s="163" t="str">
        <f t="shared" si="0"/>
        <v>开弈信息黄燕婷</v>
      </c>
      <c r="D36" s="163" t="s">
        <v>57</v>
      </c>
      <c r="E36" s="163"/>
      <c r="F36" s="228">
        <v>7460</v>
      </c>
      <c r="G36" s="228">
        <v>7460</v>
      </c>
      <c r="H36" s="229">
        <f t="shared" si="11"/>
        <v>596.8</v>
      </c>
      <c r="I36" s="163">
        <f t="shared" si="12"/>
        <v>149.2</v>
      </c>
      <c r="J36" s="163">
        <f t="shared" si="13"/>
        <v>37.3</v>
      </c>
      <c r="K36" s="163">
        <f t="shared" si="9"/>
        <v>522</v>
      </c>
      <c r="L36" s="230">
        <f t="shared" si="1"/>
        <v>0</v>
      </c>
      <c r="M36" s="229">
        <f t="shared" si="14"/>
        <v>1193.6</v>
      </c>
      <c r="N36" s="163">
        <f t="shared" si="15"/>
        <v>596.8</v>
      </c>
      <c r="O36" s="163">
        <f t="shared" si="16"/>
        <v>37.3</v>
      </c>
      <c r="P36" s="163">
        <f t="shared" si="17"/>
        <v>14.92</v>
      </c>
      <c r="Q36" s="163">
        <f t="shared" si="18"/>
        <v>74.6</v>
      </c>
      <c r="R36" s="163">
        <f t="shared" si="10"/>
        <v>522</v>
      </c>
      <c r="S36" s="163">
        <f t="shared" si="2"/>
        <v>0</v>
      </c>
      <c r="T36" s="230"/>
      <c r="U36" s="229">
        <f>VLOOKUP($D36,'HR|社保政策'!$A:P,6,0)</f>
        <v>0.16</v>
      </c>
      <c r="V36" s="163">
        <f>VLOOKUP($D36,'HR|社保政策'!$A:Q,7,0)</f>
        <v>0.005</v>
      </c>
      <c r="W36" s="231">
        <f>VLOOKUP($D36,'HR|社保政策'!$A:R,8,0)</f>
        <v>0.002</v>
      </c>
      <c r="X36" s="163">
        <f>VLOOKUP($D36,'HR|社保政策'!$A:S,9,0)</f>
        <v>0.01</v>
      </c>
      <c r="Y36" s="163">
        <v>0.08</v>
      </c>
      <c r="Z36" s="163">
        <f>VLOOKUP($D36,'HR|社保政策'!$A:U,11,0)</f>
        <v>0.07</v>
      </c>
      <c r="AA36" s="163">
        <f>VLOOKUP($D36,'HR|社保政策'!$A:V,12,0)</f>
        <v>0.08</v>
      </c>
      <c r="AB36" s="163">
        <f>VLOOKUP($D36,'HR|社保政策'!$A:W,13,0)</f>
        <v>0.02</v>
      </c>
      <c r="AC36" s="163">
        <f>VLOOKUP($D36,'HR|社保政策'!$A:X,14,0)</f>
        <v>0</v>
      </c>
      <c r="AD36" s="232">
        <f>VLOOKUP($D36,'HR|社保政策'!$A:Y,15,0)</f>
        <v>0.005</v>
      </c>
      <c r="AE36" s="163">
        <f>VLOOKUP($D36,'HR|社保政策'!$A:Z,16,0)</f>
        <v>0.07</v>
      </c>
      <c r="AF36" s="233"/>
      <c r="AG36" s="163">
        <f t="shared" si="3"/>
        <v>1305.3</v>
      </c>
      <c r="AH36" s="163">
        <f t="shared" si="4"/>
        <v>2439.22</v>
      </c>
      <c r="AI36" s="228">
        <f t="shared" si="5"/>
        <v>3744.52</v>
      </c>
      <c r="AJ36" s="234"/>
      <c r="AK36" s="234"/>
      <c r="AL36" s="234"/>
      <c r="AM36" s="234" t="s">
        <v>273</v>
      </c>
      <c r="AN36" s="234" t="s">
        <v>273</v>
      </c>
      <c r="AO36" s="234" t="str">
        <f>VLOOKUP(B36,薪酬明细!I:I,1,0)</f>
        <v>黄燕婷</v>
      </c>
      <c r="AP36" s="201" t="str">
        <f>VLOOKUP(C36,薪酬明细!A:A,1,0)</f>
        <v>开弈信息黄燕婷</v>
      </c>
      <c r="AQ36" s="201" t="str">
        <f t="shared" si="6"/>
        <v>开弈信息黄燕婷</v>
      </c>
      <c r="AR36" s="201">
        <v>1140.6</v>
      </c>
      <c r="AS36" s="201">
        <f t="shared" si="19"/>
        <v>1305.3</v>
      </c>
      <c r="AT36" s="201">
        <f t="shared" si="20"/>
        <v>-164.7</v>
      </c>
      <c r="AU36" s="201">
        <v>2194.3</v>
      </c>
      <c r="AV36" s="201">
        <f t="shared" si="21"/>
        <v>-244.92</v>
      </c>
      <c r="AW36" s="201" t="e">
        <f>VLOOKUP(C36,薪酬明细!A:A,2,0)</f>
        <v>#REF!</v>
      </c>
      <c r="AX36" s="201" t="b">
        <f t="shared" si="7"/>
        <v>1</v>
      </c>
      <c r="AY36" s="201" t="b">
        <f t="shared" si="8"/>
        <v>1</v>
      </c>
    </row>
    <row r="37" s="201" customFormat="1" spans="1:51">
      <c r="A37" s="163" t="s">
        <v>75</v>
      </c>
      <c r="B37" s="163" t="s">
        <v>400</v>
      </c>
      <c r="C37" s="163" t="str">
        <f t="shared" si="0"/>
        <v>人力资源研究院王妤扬</v>
      </c>
      <c r="D37" s="163" t="s">
        <v>75</v>
      </c>
      <c r="E37" s="163"/>
      <c r="F37" s="228">
        <v>7460</v>
      </c>
      <c r="G37" s="228">
        <v>7384</v>
      </c>
      <c r="H37" s="229">
        <f t="shared" si="11"/>
        <v>596.8</v>
      </c>
      <c r="I37" s="163">
        <f t="shared" si="12"/>
        <v>149.2</v>
      </c>
      <c r="J37" s="163">
        <f t="shared" si="13"/>
        <v>37.3</v>
      </c>
      <c r="K37" s="163">
        <f t="shared" si="9"/>
        <v>517</v>
      </c>
      <c r="L37" s="230">
        <f t="shared" si="1"/>
        <v>0</v>
      </c>
      <c r="M37" s="229">
        <f t="shared" si="14"/>
        <v>1193.6</v>
      </c>
      <c r="N37" s="163">
        <f t="shared" si="15"/>
        <v>596.8</v>
      </c>
      <c r="O37" s="163">
        <f t="shared" si="16"/>
        <v>37.3</v>
      </c>
      <c r="P37" s="163">
        <f t="shared" si="17"/>
        <v>23.87</v>
      </c>
      <c r="Q37" s="163">
        <f t="shared" si="18"/>
        <v>74.6</v>
      </c>
      <c r="R37" s="163">
        <f t="shared" si="10"/>
        <v>517</v>
      </c>
      <c r="S37" s="163">
        <f t="shared" si="2"/>
        <v>0</v>
      </c>
      <c r="T37" s="230"/>
      <c r="U37" s="229">
        <f>VLOOKUP($D37,'HR|社保政策'!$A:P,6,0)</f>
        <v>0.16</v>
      </c>
      <c r="V37" s="163">
        <f>VLOOKUP($D37,'HR|社保政策'!$A:Q,7,0)</f>
        <v>0.005</v>
      </c>
      <c r="W37" s="231">
        <f>VLOOKUP($D37,'HR|社保政策'!$A:R,8,0)</f>
        <v>0.0032</v>
      </c>
      <c r="X37" s="163">
        <f>VLOOKUP($D37,'HR|社保政策'!$A:S,9,0)</f>
        <v>0.01</v>
      </c>
      <c r="Y37" s="163">
        <v>0.08</v>
      </c>
      <c r="Z37" s="163">
        <f>VLOOKUP($D37,'HR|社保政策'!$A:U,11,0)</f>
        <v>0.07</v>
      </c>
      <c r="AA37" s="163">
        <f>VLOOKUP($D37,'HR|社保政策'!$A:V,12,0)</f>
        <v>0.08</v>
      </c>
      <c r="AB37" s="163">
        <f>VLOOKUP($D37,'HR|社保政策'!$A:W,13,0)</f>
        <v>0.02</v>
      </c>
      <c r="AC37" s="163">
        <f>VLOOKUP($D37,'HR|社保政策'!$A:X,14,0)</f>
        <v>0</v>
      </c>
      <c r="AD37" s="232">
        <f>VLOOKUP($D37,'HR|社保政策'!$A:Y,15,0)</f>
        <v>0.005</v>
      </c>
      <c r="AE37" s="163">
        <f>VLOOKUP($D37,'HR|社保政策'!$A:Z,16,0)</f>
        <v>0.07</v>
      </c>
      <c r="AF37" s="233"/>
      <c r="AG37" s="163">
        <f t="shared" si="3"/>
        <v>1300.3</v>
      </c>
      <c r="AH37" s="163">
        <f t="shared" si="4"/>
        <v>2443.17</v>
      </c>
      <c r="AI37" s="228">
        <f t="shared" si="5"/>
        <v>3743.47</v>
      </c>
      <c r="AJ37" s="234"/>
      <c r="AK37" s="234"/>
      <c r="AL37" s="234"/>
      <c r="AM37" s="234" t="s">
        <v>273</v>
      </c>
      <c r="AN37" s="234" t="s">
        <v>273</v>
      </c>
      <c r="AO37" s="234" t="str">
        <f>VLOOKUP(B37,薪酬明细!I:I,1,0)</f>
        <v>王妤扬</v>
      </c>
      <c r="AP37" s="201" t="str">
        <f>VLOOKUP(C37,薪酬明细!A:A,1,0)</f>
        <v>人力资源研究院王妤扬</v>
      </c>
      <c r="AQ37" s="201" t="str">
        <f t="shared" si="6"/>
        <v>人力资源研究院王妤扬</v>
      </c>
      <c r="AR37" s="201">
        <v>1140.6</v>
      </c>
      <c r="AS37" s="201">
        <f t="shared" si="19"/>
        <v>1300.3</v>
      </c>
      <c r="AT37" s="201">
        <f t="shared" si="20"/>
        <v>-159.7</v>
      </c>
      <c r="AU37" s="201">
        <v>2194.3</v>
      </c>
      <c r="AV37" s="201">
        <f t="shared" si="21"/>
        <v>-248.87</v>
      </c>
      <c r="AW37" s="201" t="e">
        <f>VLOOKUP(C37,薪酬明细!A:A,2,0)</f>
        <v>#REF!</v>
      </c>
      <c r="AX37" s="201" t="b">
        <f t="shared" si="7"/>
        <v>1</v>
      </c>
      <c r="AY37" s="201" t="b">
        <f t="shared" si="8"/>
        <v>1</v>
      </c>
    </row>
    <row r="38" s="201" customFormat="1" spans="1:51">
      <c r="A38" s="163" t="s">
        <v>57</v>
      </c>
      <c r="B38" s="163" t="s">
        <v>134</v>
      </c>
      <c r="C38" s="163" t="str">
        <f t="shared" si="0"/>
        <v>开弈信息张毅</v>
      </c>
      <c r="D38" s="163" t="s">
        <v>57</v>
      </c>
      <c r="E38" s="163"/>
      <c r="F38" s="228">
        <v>20000</v>
      </c>
      <c r="G38" s="228">
        <v>20000</v>
      </c>
      <c r="H38" s="229">
        <f t="shared" si="11"/>
        <v>1600</v>
      </c>
      <c r="I38" s="163">
        <f t="shared" si="12"/>
        <v>400</v>
      </c>
      <c r="J38" s="163">
        <f t="shared" si="13"/>
        <v>100</v>
      </c>
      <c r="K38" s="163">
        <f t="shared" si="9"/>
        <v>1400</v>
      </c>
      <c r="L38" s="230">
        <f t="shared" si="1"/>
        <v>0</v>
      </c>
      <c r="M38" s="229">
        <f t="shared" si="14"/>
        <v>3200</v>
      </c>
      <c r="N38" s="163">
        <f t="shared" si="15"/>
        <v>1600</v>
      </c>
      <c r="O38" s="163">
        <f t="shared" si="16"/>
        <v>100</v>
      </c>
      <c r="P38" s="163">
        <f t="shared" si="17"/>
        <v>40</v>
      </c>
      <c r="Q38" s="163">
        <f t="shared" si="18"/>
        <v>200</v>
      </c>
      <c r="R38" s="163">
        <f t="shared" si="10"/>
        <v>1400</v>
      </c>
      <c r="S38" s="163">
        <f t="shared" si="2"/>
        <v>0</v>
      </c>
      <c r="T38" s="230"/>
      <c r="U38" s="229">
        <f>VLOOKUP($D38,'HR|社保政策'!$A:P,6,0)</f>
        <v>0.16</v>
      </c>
      <c r="V38" s="163">
        <f>VLOOKUP($D38,'HR|社保政策'!$A:Q,7,0)</f>
        <v>0.005</v>
      </c>
      <c r="W38" s="231">
        <f>VLOOKUP($D38,'HR|社保政策'!$A:R,8,0)</f>
        <v>0.002</v>
      </c>
      <c r="X38" s="163">
        <f>VLOOKUP($D38,'HR|社保政策'!$A:S,9,0)</f>
        <v>0.01</v>
      </c>
      <c r="Y38" s="163">
        <v>0.08</v>
      </c>
      <c r="Z38" s="163">
        <f>VLOOKUP($D38,'HR|社保政策'!$A:U,11,0)</f>
        <v>0.07</v>
      </c>
      <c r="AA38" s="163">
        <f>VLOOKUP($D38,'HR|社保政策'!$A:V,12,0)</f>
        <v>0.08</v>
      </c>
      <c r="AB38" s="163">
        <f>VLOOKUP($D38,'HR|社保政策'!$A:W,13,0)</f>
        <v>0.02</v>
      </c>
      <c r="AC38" s="163">
        <f>VLOOKUP($D38,'HR|社保政策'!$A:X,14,0)</f>
        <v>0</v>
      </c>
      <c r="AD38" s="232">
        <f>VLOOKUP($D38,'HR|社保政策'!$A:Y,15,0)</f>
        <v>0.005</v>
      </c>
      <c r="AE38" s="163">
        <f>VLOOKUP($D38,'HR|社保政策'!$A:Z,16,0)</f>
        <v>0.07</v>
      </c>
      <c r="AF38" s="233"/>
      <c r="AG38" s="163">
        <f t="shared" si="3"/>
        <v>3500</v>
      </c>
      <c r="AH38" s="163">
        <f t="shared" si="4"/>
        <v>6540</v>
      </c>
      <c r="AI38" s="228">
        <f t="shared" si="5"/>
        <v>10040</v>
      </c>
      <c r="AJ38" s="234"/>
      <c r="AK38" s="234"/>
      <c r="AL38" s="234"/>
      <c r="AM38" s="234" t="s">
        <v>273</v>
      </c>
      <c r="AN38" s="234" t="s">
        <v>273</v>
      </c>
      <c r="AO38" s="234" t="str">
        <f>VLOOKUP(B38,薪酬明细!I:I,1,0)</f>
        <v>张毅</v>
      </c>
      <c r="AP38" s="201" t="str">
        <f>VLOOKUP(C38,薪酬明细!A:A,1,0)</f>
        <v>开弈信息张毅</v>
      </c>
      <c r="AQ38" s="201" t="str">
        <f t="shared" si="6"/>
        <v>开弈信息张毅</v>
      </c>
      <c r="AR38" s="201">
        <v>3500</v>
      </c>
      <c r="AS38" s="201">
        <f t="shared" si="19"/>
        <v>3500</v>
      </c>
      <c r="AT38" s="201">
        <f t="shared" si="20"/>
        <v>0</v>
      </c>
      <c r="AU38" s="201">
        <v>6732</v>
      </c>
      <c r="AV38" s="201">
        <f t="shared" si="21"/>
        <v>192</v>
      </c>
      <c r="AW38" s="201" t="e">
        <f>VLOOKUP(C38,薪酬明细!A:A,2,0)</f>
        <v>#REF!</v>
      </c>
      <c r="AX38" s="201" t="b">
        <f t="shared" si="7"/>
        <v>1</v>
      </c>
      <c r="AY38" s="201" t="b">
        <f t="shared" si="8"/>
        <v>1</v>
      </c>
    </row>
    <row r="39" s="201" customFormat="1" spans="1:51">
      <c r="A39" s="163" t="s">
        <v>57</v>
      </c>
      <c r="B39" s="163" t="s">
        <v>270</v>
      </c>
      <c r="C39" s="163" t="str">
        <f t="shared" si="0"/>
        <v>开弈信息王倩</v>
      </c>
      <c r="D39" s="163" t="s">
        <v>57</v>
      </c>
      <c r="E39" s="163"/>
      <c r="F39" s="228">
        <v>0</v>
      </c>
      <c r="G39" s="228">
        <v>0</v>
      </c>
      <c r="H39" s="229">
        <f t="shared" si="11"/>
        <v>0</v>
      </c>
      <c r="I39" s="163">
        <f t="shared" si="12"/>
        <v>0</v>
      </c>
      <c r="J39" s="163">
        <f t="shared" si="13"/>
        <v>0</v>
      </c>
      <c r="K39" s="163">
        <f t="shared" si="9"/>
        <v>0</v>
      </c>
      <c r="L39" s="230">
        <f t="shared" si="1"/>
        <v>0</v>
      </c>
      <c r="M39" s="229">
        <f t="shared" si="14"/>
        <v>0</v>
      </c>
      <c r="N39" s="163">
        <f t="shared" si="15"/>
        <v>0</v>
      </c>
      <c r="O39" s="163">
        <f t="shared" si="16"/>
        <v>0</v>
      </c>
      <c r="P39" s="163">
        <f t="shared" si="17"/>
        <v>0</v>
      </c>
      <c r="Q39" s="163">
        <f t="shared" si="18"/>
        <v>0</v>
      </c>
      <c r="R39" s="163">
        <f t="shared" si="10"/>
        <v>0</v>
      </c>
      <c r="S39" s="163">
        <f t="shared" si="2"/>
        <v>0</v>
      </c>
      <c r="T39" s="230"/>
      <c r="U39" s="229">
        <f>VLOOKUP($D39,'HR|社保政策'!$A:P,6,0)</f>
        <v>0.16</v>
      </c>
      <c r="V39" s="163">
        <f>VLOOKUP($D39,'HR|社保政策'!$A:Q,7,0)</f>
        <v>0.005</v>
      </c>
      <c r="W39" s="231">
        <f>VLOOKUP($D39,'HR|社保政策'!$A:R,8,0)</f>
        <v>0.002</v>
      </c>
      <c r="X39" s="163">
        <f>VLOOKUP($D39,'HR|社保政策'!$A:S,9,0)</f>
        <v>0.01</v>
      </c>
      <c r="Y39" s="163">
        <v>0.08</v>
      </c>
      <c r="Z39" s="163">
        <f>VLOOKUP($D39,'HR|社保政策'!$A:U,11,0)</f>
        <v>0.07</v>
      </c>
      <c r="AA39" s="163">
        <f>VLOOKUP($D39,'HR|社保政策'!$A:V,12,0)</f>
        <v>0.08</v>
      </c>
      <c r="AB39" s="163">
        <f>VLOOKUP($D39,'HR|社保政策'!$A:W,13,0)</f>
        <v>0.02</v>
      </c>
      <c r="AC39" s="163">
        <f>VLOOKUP($D39,'HR|社保政策'!$A:X,14,0)</f>
        <v>0</v>
      </c>
      <c r="AD39" s="232">
        <f>VLOOKUP($D39,'HR|社保政策'!$A:Y,15,0)</f>
        <v>0.005</v>
      </c>
      <c r="AE39" s="163">
        <f>VLOOKUP($D39,'HR|社保政策'!$A:Z,16,0)</f>
        <v>0.07</v>
      </c>
      <c r="AF39" s="233"/>
      <c r="AG39" s="163">
        <f t="shared" si="3"/>
        <v>0</v>
      </c>
      <c r="AH39" s="163">
        <f t="shared" si="4"/>
        <v>0</v>
      </c>
      <c r="AI39" s="228">
        <f t="shared" si="5"/>
        <v>0</v>
      </c>
      <c r="AJ39" s="234"/>
      <c r="AK39" s="234"/>
      <c r="AL39" s="234"/>
      <c r="AM39" s="234"/>
      <c r="AN39" s="234"/>
      <c r="AO39" s="234" t="str">
        <f>VLOOKUP(B39,薪酬明细!I:I,1,0)</f>
        <v>王倩</v>
      </c>
      <c r="AP39" s="201" t="str">
        <f>VLOOKUP(C39,薪酬明细!A:A,1,0)</f>
        <v>开弈信息王倩</v>
      </c>
      <c r="AQ39" s="201" t="str">
        <f t="shared" si="6"/>
        <v>开弈信息王倩</v>
      </c>
      <c r="AR39" s="201">
        <v>0</v>
      </c>
      <c r="AS39" s="201">
        <f t="shared" si="19"/>
        <v>0</v>
      </c>
      <c r="AT39" s="201">
        <f t="shared" si="20"/>
        <v>0</v>
      </c>
      <c r="AU39" s="201">
        <v>0</v>
      </c>
      <c r="AV39" s="201">
        <f t="shared" si="21"/>
        <v>0</v>
      </c>
      <c r="AW39" s="201" t="e">
        <f>VLOOKUP(C39,薪酬明细!A:A,2,0)</f>
        <v>#REF!</v>
      </c>
      <c r="AX39" s="201" t="b">
        <f t="shared" si="7"/>
        <v>1</v>
      </c>
      <c r="AY39" s="201" t="b">
        <f t="shared" si="8"/>
        <v>1</v>
      </c>
    </row>
    <row r="40" s="201" customFormat="1" spans="1:51">
      <c r="A40" s="163" t="s">
        <v>65</v>
      </c>
      <c r="B40" s="163" t="s">
        <v>392</v>
      </c>
      <c r="C40" s="163" t="str">
        <f t="shared" si="0"/>
        <v>弈享天津杜宪</v>
      </c>
      <c r="D40" s="163" t="s">
        <v>629</v>
      </c>
      <c r="E40" s="163"/>
      <c r="F40" s="228">
        <v>0</v>
      </c>
      <c r="G40" s="228">
        <v>0</v>
      </c>
      <c r="H40" s="229">
        <f t="shared" si="11"/>
        <v>0</v>
      </c>
      <c r="I40" s="163">
        <f t="shared" si="12"/>
        <v>0</v>
      </c>
      <c r="J40" s="163">
        <f t="shared" si="13"/>
        <v>0</v>
      </c>
      <c r="K40" s="163">
        <f t="shared" si="9"/>
        <v>0</v>
      </c>
      <c r="L40" s="230">
        <f t="shared" si="1"/>
        <v>0</v>
      </c>
      <c r="M40" s="229">
        <f t="shared" si="14"/>
        <v>0</v>
      </c>
      <c r="N40" s="163">
        <f t="shared" si="15"/>
        <v>0</v>
      </c>
      <c r="O40" s="163">
        <f t="shared" si="16"/>
        <v>0</v>
      </c>
      <c r="P40" s="163">
        <f t="shared" si="17"/>
        <v>0</v>
      </c>
      <c r="Q40" s="163">
        <f t="shared" si="18"/>
        <v>0</v>
      </c>
      <c r="R40" s="163">
        <f t="shared" si="10"/>
        <v>0</v>
      </c>
      <c r="S40" s="163">
        <f t="shared" si="2"/>
        <v>0</v>
      </c>
      <c r="T40" s="230"/>
      <c r="U40" s="229">
        <f>VLOOKUP($D40,'HR|社保政策'!$A:P,6,0)</f>
        <v>0</v>
      </c>
      <c r="V40" s="163">
        <f>VLOOKUP($D40,'HR|社保政策'!$A:Q,7,0)</f>
        <v>0</v>
      </c>
      <c r="W40" s="231">
        <f>VLOOKUP($D40,'HR|社保政策'!$A:R,8,0)</f>
        <v>0</v>
      </c>
      <c r="X40" s="163">
        <f>VLOOKUP($D40,'HR|社保政策'!$A:S,9,0)</f>
        <v>0</v>
      </c>
      <c r="Y40" s="163">
        <f>VLOOKUP($D40,'HR|社保政策'!$A:T,10,0)</f>
        <v>0</v>
      </c>
      <c r="Z40" s="163">
        <f>VLOOKUP($D40,'HR|社保政策'!$A:U,11,0)</f>
        <v>0</v>
      </c>
      <c r="AA40" s="163">
        <f>VLOOKUP($D40,'HR|社保政策'!$A:V,12,0)</f>
        <v>0</v>
      </c>
      <c r="AB40" s="163">
        <f>VLOOKUP($D40,'HR|社保政策'!$A:W,13,0)</f>
        <v>0</v>
      </c>
      <c r="AC40" s="163">
        <f>VLOOKUP($D40,'HR|社保政策'!$A:X,14,0)</f>
        <v>0</v>
      </c>
      <c r="AD40" s="232">
        <f>VLOOKUP($D40,'HR|社保政策'!$A:Y,15,0)</f>
        <v>0</v>
      </c>
      <c r="AE40" s="163">
        <f>VLOOKUP($D40,'HR|社保政策'!$A:Z,16,0)</f>
        <v>0</v>
      </c>
      <c r="AF40" s="233"/>
      <c r="AG40" s="163">
        <f t="shared" si="3"/>
        <v>0</v>
      </c>
      <c r="AH40" s="163">
        <f t="shared" si="4"/>
        <v>0</v>
      </c>
      <c r="AI40" s="228">
        <f t="shared" si="5"/>
        <v>0</v>
      </c>
      <c r="AJ40" s="234"/>
      <c r="AK40" s="234"/>
      <c r="AL40" s="234"/>
      <c r="AM40" s="234"/>
      <c r="AN40" s="234"/>
      <c r="AO40" s="234" t="str">
        <f>VLOOKUP(B40,薪酬明细!I:I,1,0)</f>
        <v>杜宪</v>
      </c>
      <c r="AP40" s="201" t="str">
        <f>VLOOKUP(C40,薪酬明细!A:A,1,0)</f>
        <v>弈享天津杜宪</v>
      </c>
      <c r="AQ40" s="201" t="str">
        <f t="shared" si="6"/>
        <v>弈享天津杜宪</v>
      </c>
      <c r="AR40" s="201">
        <v>0</v>
      </c>
      <c r="AS40" s="201">
        <f t="shared" si="19"/>
        <v>0</v>
      </c>
      <c r="AT40" s="201">
        <f t="shared" si="20"/>
        <v>0</v>
      </c>
      <c r="AU40" s="201">
        <v>0</v>
      </c>
      <c r="AV40" s="201">
        <f t="shared" si="21"/>
        <v>0</v>
      </c>
      <c r="AW40" s="201" t="e">
        <f>VLOOKUP(C40,薪酬明细!A:A,2,0)</f>
        <v>#REF!</v>
      </c>
      <c r="AX40" s="201" t="b">
        <f t="shared" si="7"/>
        <v>0</v>
      </c>
      <c r="AY40" s="201" t="b">
        <f t="shared" si="8"/>
        <v>1</v>
      </c>
    </row>
    <row r="41" s="201" customFormat="1" spans="1:51">
      <c r="A41" s="163" t="s">
        <v>58</v>
      </c>
      <c r="B41" s="163" t="s">
        <v>134</v>
      </c>
      <c r="C41" s="163" t="str">
        <f t="shared" si="0"/>
        <v>开弈中国张毅</v>
      </c>
      <c r="D41" s="163" t="s">
        <v>623</v>
      </c>
      <c r="E41" s="163"/>
      <c r="F41" s="228">
        <v>0</v>
      </c>
      <c r="G41" s="228">
        <v>0</v>
      </c>
      <c r="H41" s="229">
        <f>IF(OR($D41={"开弈信息","开弈投资","开弈人才","开弈营销","开弈人力资源","弈工分企业外包","开弈企业服务外包"}),ROUNDUP(TRUNC($F41*AA41,2),1),ROUND($F41*AA41,2))</f>
        <v>0</v>
      </c>
      <c r="I41" s="163">
        <f>IF(OR($D41={"开弈信息","开弈投资","开弈人才","开弈营销","开弈人力资源","弈工分企业外包","开弈企业服务外包"}),ROUNDUP(TRUNC($F41*AB41,2),1)+AC41,ROUND($F41*AB41,2)+AC41)</f>
        <v>0</v>
      </c>
      <c r="J41" s="163">
        <f>IF(OR($D41={"开弈信息","开弈投资","开弈人才","开弈营销","开弈人力资源","弈工分企业外包","开弈企业服务外包"}),ROUNDUP(TRUNC($F41*AD41,2),1),ROUND($F41*AD41,2))</f>
        <v>0</v>
      </c>
      <c r="K41" s="163">
        <f t="shared" si="9"/>
        <v>0</v>
      </c>
      <c r="L41" s="230">
        <f t="shared" si="1"/>
        <v>0</v>
      </c>
      <c r="M41" s="229">
        <f>IF(OR($D41={"开弈信息","开弈投资","开弈人才","开弈营销","开弈人力资源","弈工分企业外包","开弈企业服务外包"}),ROUNDUP(TRUNC($F41*U41,2),1),ROUND($F41*U41,2))</f>
        <v>0</v>
      </c>
      <c r="N41" s="163">
        <f>IF(OR($D41={"开弈信息","开弈投资","开弈人才","开弈营销","开弈人力资源","弈工分企业外包","开弈企业服务外包"}),ROUNDUP(TRUNC($F41*Y41,2),1),ROUND($F41*Y41,2))</f>
        <v>0</v>
      </c>
      <c r="O41" s="163">
        <f>IF(OR($D41={"开弈信息","开弈投资","开弈人才","开弈营销","开弈人力资源","弈工分企业外包","开弈企业服务外包"}),ROUNDUP(TRUNC($F41*V41,2),1),ROUND($F41*V41,2))</f>
        <v>0</v>
      </c>
      <c r="P41" s="163">
        <f>IF(OR($D41={"开弈信息","开弈投资","开弈人才","开弈营销","开弈人力资源","弈工分企业外包","开弈企业服务外包"}),ROUNDUP(TRUNC($F41*W41,2),1),ROUND($F41*W41,2))</f>
        <v>0</v>
      </c>
      <c r="Q41" s="163">
        <f>IF(OR($D41={"开弈信息","开弈投资","开弈人才","开弈营销","开弈人力资源","弈工分企业外包","开弈企业服务外包"}),ROUNDUP(TRUNC($F41*X41,2),1),ROUND($F41*X41,2))</f>
        <v>0</v>
      </c>
      <c r="R41" s="163">
        <f t="shared" si="10"/>
        <v>0</v>
      </c>
      <c r="S41" s="163">
        <f t="shared" si="2"/>
        <v>0</v>
      </c>
      <c r="T41" s="230"/>
      <c r="U41" s="229">
        <f>VLOOKUP($D41,'HR|社保政策'!$A:P,6,0)</f>
        <v>0</v>
      </c>
      <c r="V41" s="163">
        <f>VLOOKUP($D41,'HR|社保政策'!$A:Q,7,0)</f>
        <v>0</v>
      </c>
      <c r="W41" s="231">
        <f>VLOOKUP($D41,'HR|社保政策'!$A:R,8,0)</f>
        <v>0</v>
      </c>
      <c r="X41" s="163">
        <f>VLOOKUP($D41,'HR|社保政策'!$A:S,9,0)</f>
        <v>0</v>
      </c>
      <c r="Y41" s="163">
        <f>VLOOKUP($D41,'HR|社保政策'!$A:T,10,0)</f>
        <v>0</v>
      </c>
      <c r="Z41" s="163">
        <f>VLOOKUP($D41,'HR|社保政策'!$A:U,11,0)</f>
        <v>0</v>
      </c>
      <c r="AA41" s="163">
        <f>VLOOKUP($D41,'HR|社保政策'!$A:V,12,0)</f>
        <v>0</v>
      </c>
      <c r="AB41" s="163">
        <f>VLOOKUP($D41,'HR|社保政策'!$A:W,13,0)</f>
        <v>0</v>
      </c>
      <c r="AC41" s="163">
        <f>VLOOKUP($D41,'HR|社保政策'!$A:X,14,0)</f>
        <v>0</v>
      </c>
      <c r="AD41" s="232">
        <f>VLOOKUP($D41,'HR|社保政策'!$A:Y,15,0)</f>
        <v>0</v>
      </c>
      <c r="AE41" s="163">
        <f>VLOOKUP($D41,'HR|社保政策'!$A:Z,16,0)</f>
        <v>0</v>
      </c>
      <c r="AF41" s="233"/>
      <c r="AG41" s="163">
        <f t="shared" si="3"/>
        <v>0</v>
      </c>
      <c r="AH41" s="163">
        <f t="shared" si="4"/>
        <v>0</v>
      </c>
      <c r="AI41" s="228">
        <f t="shared" si="5"/>
        <v>0</v>
      </c>
      <c r="AJ41" s="234"/>
      <c r="AK41" s="234"/>
      <c r="AL41" s="234"/>
      <c r="AM41" s="234"/>
      <c r="AN41" s="234"/>
      <c r="AO41" s="234" t="str">
        <f>VLOOKUP(B41,薪酬明细!I:I,1,0)</f>
        <v>张毅</v>
      </c>
      <c r="AP41" s="201" t="str">
        <f>VLOOKUP(C41,薪酬明细!A:A,1,0)</f>
        <v>开弈中国张毅</v>
      </c>
      <c r="AQ41" s="201" t="str">
        <f t="shared" si="6"/>
        <v>开弈中国张毅</v>
      </c>
      <c r="AW41" s="201" t="e">
        <f>VLOOKUP(C41,薪酬明细!A:A,2,0)</f>
        <v>#REF!</v>
      </c>
      <c r="AX41" s="201" t="b">
        <f t="shared" si="7"/>
        <v>0</v>
      </c>
      <c r="AY41" s="201" t="b">
        <f t="shared" si="8"/>
        <v>1</v>
      </c>
    </row>
    <row r="42" s="201" customFormat="1" spans="1:51">
      <c r="A42" s="163" t="s">
        <v>58</v>
      </c>
      <c r="B42" s="163" t="s">
        <v>400</v>
      </c>
      <c r="C42" s="163" t="str">
        <f t="shared" si="0"/>
        <v>开弈中国王妤扬</v>
      </c>
      <c r="D42" s="163" t="s">
        <v>623</v>
      </c>
      <c r="E42" s="163"/>
      <c r="F42" s="228">
        <v>0</v>
      </c>
      <c r="G42" s="228">
        <v>0</v>
      </c>
      <c r="H42" s="229">
        <f>IF(OR($D42={"开弈信息","开弈投资","开弈人才","开弈营销","开弈人力资源","弈工分企业外包","开弈企业服务外包"}),ROUNDUP(TRUNC($F42*AA42,2),1),ROUND($F42*AA42,2))</f>
        <v>0</v>
      </c>
      <c r="I42" s="163">
        <f>IF(OR($D42={"开弈信息","开弈投资","开弈人才","开弈营销","开弈人力资源","弈工分企业外包","开弈企业服务外包"}),ROUNDUP(TRUNC($F42*AB42,2),1)+AC42,ROUND($F42*AB42,2)+AC42)</f>
        <v>0</v>
      </c>
      <c r="J42" s="163">
        <f>IF(OR($D42={"开弈信息","开弈投资","开弈人才","开弈营销","开弈人力资源","弈工分企业外包","开弈企业服务外包"}),ROUNDUP(TRUNC($F42*AD42,2),1),ROUND($F42*AD42,2))</f>
        <v>0</v>
      </c>
      <c r="K42" s="163">
        <f t="shared" si="9"/>
        <v>0</v>
      </c>
      <c r="L42" s="230">
        <f t="shared" si="1"/>
        <v>0</v>
      </c>
      <c r="M42" s="229">
        <f>IF(OR($D42={"开弈信息","开弈投资","开弈人才","开弈营销","开弈人力资源","弈工分企业外包","开弈企业服务外包"}),ROUNDUP(TRUNC($F42*U42,2),1),ROUND($F42*U42,2))</f>
        <v>0</v>
      </c>
      <c r="N42" s="163">
        <f>IF(OR($D42={"开弈信息","开弈投资","开弈人才","开弈营销","开弈人力资源","弈工分企业外包","开弈企业服务外包"}),ROUNDUP(TRUNC($F42*Y42,2),1),ROUND($F42*Y42,2))</f>
        <v>0</v>
      </c>
      <c r="O42" s="163">
        <f>IF(OR($D42={"开弈信息","开弈投资","开弈人才","开弈营销","开弈人力资源","弈工分企业外包","开弈企业服务外包"}),ROUNDUP(TRUNC($F42*V42,2),1),ROUND($F42*V42,2))</f>
        <v>0</v>
      </c>
      <c r="P42" s="163">
        <f>IF(OR($D42={"开弈信息","开弈投资","开弈人才","开弈营销","开弈人力资源","弈工分企业外包","开弈企业服务外包"}),ROUNDUP(TRUNC($F42*W42,2),1),ROUND($F42*W42,2))</f>
        <v>0</v>
      </c>
      <c r="Q42" s="163">
        <f>IF(OR($D42={"开弈信息","开弈投资","开弈人才","开弈营销","开弈人力资源","弈工分企业外包","开弈企业服务外包"}),ROUNDUP(TRUNC($F42*X42,2),1),ROUND($F42*X42,2))</f>
        <v>0</v>
      </c>
      <c r="R42" s="163">
        <f t="shared" si="10"/>
        <v>0</v>
      </c>
      <c r="S42" s="163">
        <f t="shared" si="2"/>
        <v>0</v>
      </c>
      <c r="T42" s="230"/>
      <c r="U42" s="229">
        <f>VLOOKUP($D42,'HR|社保政策'!$A:P,6,0)</f>
        <v>0</v>
      </c>
      <c r="V42" s="163">
        <f>VLOOKUP($D42,'HR|社保政策'!$A:Q,7,0)</f>
        <v>0</v>
      </c>
      <c r="W42" s="231">
        <f>VLOOKUP($D42,'HR|社保政策'!$A:R,8,0)</f>
        <v>0</v>
      </c>
      <c r="X42" s="163">
        <f>VLOOKUP($D42,'HR|社保政策'!$A:S,9,0)</f>
        <v>0</v>
      </c>
      <c r="Y42" s="163">
        <f>VLOOKUP($D42,'HR|社保政策'!$A:T,10,0)</f>
        <v>0</v>
      </c>
      <c r="Z42" s="163">
        <f>VLOOKUP($D42,'HR|社保政策'!$A:U,11,0)</f>
        <v>0</v>
      </c>
      <c r="AA42" s="163">
        <f>VLOOKUP($D42,'HR|社保政策'!$A:V,12,0)</f>
        <v>0</v>
      </c>
      <c r="AB42" s="163">
        <f>VLOOKUP($D42,'HR|社保政策'!$A:W,13,0)</f>
        <v>0</v>
      </c>
      <c r="AC42" s="163">
        <f>VLOOKUP($D42,'HR|社保政策'!$A:X,14,0)</f>
        <v>0</v>
      </c>
      <c r="AD42" s="232">
        <f>VLOOKUP($D42,'HR|社保政策'!$A:Y,15,0)</f>
        <v>0</v>
      </c>
      <c r="AE42" s="163">
        <f>VLOOKUP($D42,'HR|社保政策'!$A:Z,16,0)</f>
        <v>0</v>
      </c>
      <c r="AF42" s="233"/>
      <c r="AG42" s="163">
        <f t="shared" si="3"/>
        <v>0</v>
      </c>
      <c r="AH42" s="163">
        <f t="shared" si="4"/>
        <v>0</v>
      </c>
      <c r="AI42" s="228">
        <f t="shared" si="5"/>
        <v>0</v>
      </c>
      <c r="AJ42" s="234"/>
      <c r="AK42" s="234"/>
      <c r="AL42" s="234"/>
      <c r="AM42" s="234"/>
      <c r="AN42" s="234"/>
      <c r="AO42" s="234" t="str">
        <f>VLOOKUP(B42,薪酬明细!I:I,1,0)</f>
        <v>王妤扬</v>
      </c>
      <c r="AP42" s="201" t="str">
        <f>VLOOKUP(C42,薪酬明细!A:A,1,0)</f>
        <v>开弈中国王妤扬</v>
      </c>
      <c r="AQ42" s="201" t="str">
        <f t="shared" si="6"/>
        <v>开弈中国王妤扬</v>
      </c>
      <c r="AW42" s="201" t="e">
        <f>VLOOKUP(C42,薪酬明细!A:A,2,0)</f>
        <v>#REF!</v>
      </c>
      <c r="AX42" s="201" t="b">
        <f t="shared" si="7"/>
        <v>0</v>
      </c>
      <c r="AY42" s="201" t="b">
        <f t="shared" si="8"/>
        <v>1</v>
      </c>
    </row>
    <row r="43" s="201" customFormat="1" spans="1:51">
      <c r="A43" s="163" t="s">
        <v>63</v>
      </c>
      <c r="B43" s="163" t="s">
        <v>427</v>
      </c>
      <c r="C43" s="163" t="str">
        <f t="shared" si="0"/>
        <v>靠普人力季嘉莉</v>
      </c>
      <c r="D43" s="163" t="s">
        <v>32</v>
      </c>
      <c r="E43" s="163"/>
      <c r="F43" s="228">
        <v>7460</v>
      </c>
      <c r="G43" s="228">
        <v>7384</v>
      </c>
      <c r="H43" s="229">
        <f>ROUND($F43*AA43,2)</f>
        <v>596.8</v>
      </c>
      <c r="I43" s="163">
        <f>ROUND($F43*AB43,2)</f>
        <v>149.2</v>
      </c>
      <c r="J43" s="163">
        <f>ROUND($F43*AD43,2)</f>
        <v>37.3</v>
      </c>
      <c r="K43" s="163">
        <f t="shared" si="9"/>
        <v>517</v>
      </c>
      <c r="L43" s="230">
        <f t="shared" si="1"/>
        <v>369</v>
      </c>
      <c r="M43" s="229">
        <f>ROUND($F43*U43,2)</f>
        <v>1193.6</v>
      </c>
      <c r="N43" s="163">
        <f>ROUND($F43*Y43,2)</f>
        <v>596.8</v>
      </c>
      <c r="O43" s="163">
        <f>ROUND($F43*V43,2)</f>
        <v>37.3</v>
      </c>
      <c r="P43" s="163">
        <f>ROUND($F43*W43,2)</f>
        <v>23.87</v>
      </c>
      <c r="Q43" s="163">
        <f>ROUND($F43*X43,2)</f>
        <v>74.6</v>
      </c>
      <c r="R43" s="163">
        <f t="shared" si="10"/>
        <v>517</v>
      </c>
      <c r="S43" s="163">
        <f t="shared" si="2"/>
        <v>369</v>
      </c>
      <c r="T43" s="230"/>
      <c r="U43" s="229">
        <f>VLOOKUP($D43,'HR|社保政策'!$A:P,6,0)</f>
        <v>0.16</v>
      </c>
      <c r="V43" s="163">
        <f>VLOOKUP($D43,'HR|社保政策'!$A:Q,7,0)</f>
        <v>0.005</v>
      </c>
      <c r="W43" s="231">
        <f>VLOOKUP($D43,'HR|社保政策'!$A:R,8,0)</f>
        <v>0.0032</v>
      </c>
      <c r="X43" s="163">
        <f>VLOOKUP($D43,'HR|社保政策'!$A:S,9,0)</f>
        <v>0.01</v>
      </c>
      <c r="Y43" s="163">
        <v>0.08</v>
      </c>
      <c r="Z43" s="163">
        <f>VLOOKUP($D43,'HR|社保政策'!$A:U,11,0)</f>
        <v>0.07</v>
      </c>
      <c r="AA43" s="163">
        <f>VLOOKUP($D43,'HR|社保政策'!$A:V,12,0)</f>
        <v>0.08</v>
      </c>
      <c r="AB43" s="163">
        <f>VLOOKUP($D43,'HR|社保政策'!$A:W,13,0)</f>
        <v>0.02</v>
      </c>
      <c r="AC43" s="163">
        <f>VLOOKUP($D43,'HR|社保政策'!$A:X,14,0)</f>
        <v>0</v>
      </c>
      <c r="AD43" s="232">
        <f>VLOOKUP($D43,'HR|社保政策'!$A:Y,15,0)</f>
        <v>0.005</v>
      </c>
      <c r="AE43" s="163">
        <f>VLOOKUP($D43,'HR|社保政策'!$A:Z,16,0)</f>
        <v>0.07</v>
      </c>
      <c r="AF43" s="233">
        <v>0.05</v>
      </c>
      <c r="AG43" s="163">
        <f t="shared" si="3"/>
        <v>1669.3</v>
      </c>
      <c r="AH43" s="163">
        <f t="shared" si="4"/>
        <v>2812.17</v>
      </c>
      <c r="AI43" s="228">
        <f t="shared" si="5"/>
        <v>4481.47</v>
      </c>
      <c r="AJ43" s="234"/>
      <c r="AK43" s="234"/>
      <c r="AL43" s="234"/>
      <c r="AM43" s="234" t="s">
        <v>273</v>
      </c>
      <c r="AN43" s="234" t="s">
        <v>273</v>
      </c>
      <c r="AO43" s="234" t="str">
        <f>VLOOKUP(B43,薪酬明细!I:I,1,0)</f>
        <v>季嘉莉</v>
      </c>
      <c r="AP43" s="201" t="str">
        <f>VLOOKUP(C43,薪酬明细!A:A,1,0)</f>
        <v>靠普人力季嘉莉</v>
      </c>
      <c r="AQ43" s="201" t="str">
        <f t="shared" si="6"/>
        <v>靠普人力季嘉莉</v>
      </c>
      <c r="AR43" s="201">
        <v>1466.6</v>
      </c>
      <c r="AS43" s="201">
        <f>H43+I43+J43+K43+L43</f>
        <v>1669.3</v>
      </c>
      <c r="AT43" s="201">
        <f>AR43-AS43</f>
        <v>-202.7</v>
      </c>
      <c r="AU43" s="201">
        <v>2526.49</v>
      </c>
      <c r="AV43" s="201">
        <f>AU43-M43-N43-O43-P43-Q43-R43-S43</f>
        <v>-285.68</v>
      </c>
      <c r="AW43" s="201" t="e">
        <f>VLOOKUP(C43,薪酬明细!A:A,2,0)</f>
        <v>#REF!</v>
      </c>
      <c r="AX43" s="201" t="b">
        <f t="shared" si="7"/>
        <v>0</v>
      </c>
      <c r="AY43" s="201" t="b">
        <f t="shared" si="8"/>
        <v>1</v>
      </c>
    </row>
    <row r="44" s="201" customFormat="1" spans="1:51">
      <c r="A44" s="163" t="s">
        <v>61</v>
      </c>
      <c r="B44" s="163" t="s">
        <v>392</v>
      </c>
      <c r="C44" s="163" t="str">
        <f t="shared" si="0"/>
        <v>开弈人力资源杜宪</v>
      </c>
      <c r="D44" s="163" t="s">
        <v>61</v>
      </c>
      <c r="E44" s="163"/>
      <c r="F44" s="228">
        <v>0</v>
      </c>
      <c r="G44" s="228">
        <v>0</v>
      </c>
      <c r="H44" s="229">
        <f>IF(OR($D44={"开弈信息","开弈投资","开弈人才","开弈营销","开弈人力资源","弈工分企业外包","开弈企业服务外包","智名"}),ROUNDUP(TRUNC($F44*AA44,2),1),ROUND($F44*AA44,2))</f>
        <v>0</v>
      </c>
      <c r="I44" s="163">
        <f>IF(OR($D44={"开弈信息","开弈投资","开弈人才","开弈营销","开弈人力资源","弈工分企业外包","开弈企业服务外包"}),ROUNDUP(TRUNC($F44*AB44,2),1)+AC44,ROUND($F44*AB44,2)+AC44)</f>
        <v>0</v>
      </c>
      <c r="J44" s="163">
        <f>IF(OR($D44={"开弈信息","开弈投资","开弈人才","开弈营销","开弈人力资源","弈工分企业外包","开弈企业服务外包"}),ROUNDUP(TRUNC($F44*AD44,2),1),ROUND($F44*AD44,2))</f>
        <v>0</v>
      </c>
      <c r="K44" s="163">
        <f t="shared" si="9"/>
        <v>0</v>
      </c>
      <c r="L44" s="230">
        <f t="shared" si="1"/>
        <v>0</v>
      </c>
      <c r="M44" s="229">
        <f>IF(OR($D44={"开弈信息","开弈投资","开弈人才","开弈营销","开弈人力资源","弈工分企业外包","开弈企业服务外包"}),ROUNDUP(TRUNC($F44*U44,2),1),ROUND($F44*U44,2))</f>
        <v>0</v>
      </c>
      <c r="N44" s="163">
        <f>IF(OR($D44={"开弈信息","开弈投资","开弈人才","开弈营销","开弈人力资源","弈工分企业外包","开弈企业服务外包"}),ROUNDUP(TRUNC($F44*Y44,2),1),ROUND($F44*Y44,2))</f>
        <v>0</v>
      </c>
      <c r="O44" s="163">
        <f>IF(OR($D44={"开弈信息","开弈投资","开弈人才","开弈营销","开弈人力资源","弈工分企业外包","开弈企业服务外包"}),ROUNDUP(TRUNC($F44*V44,2),1),ROUND($F44*V44,2))</f>
        <v>0</v>
      </c>
      <c r="P44" s="163">
        <f>IF(OR($D44={"开弈信息","开弈投资","开弈人才","开弈营销","开弈人力资源","弈工分企业外包","开弈企业服务外包"}),ROUNDUP(TRUNC($F44*W44,2),1),ROUND($F44*W44,2))</f>
        <v>0</v>
      </c>
      <c r="Q44" s="163">
        <f>IF(OR($D44={"开弈信息","开弈投资","开弈人才","开弈营销","开弈人力资源","弈工分企业外包","开弈企业服务外包"}),ROUNDUP(TRUNC($F44*X44,2),1),ROUND($F44*X44,2))</f>
        <v>0</v>
      </c>
      <c r="R44" s="163">
        <f t="shared" si="10"/>
        <v>0</v>
      </c>
      <c r="S44" s="163">
        <f t="shared" si="2"/>
        <v>0</v>
      </c>
      <c r="T44" s="230"/>
      <c r="U44" s="229">
        <f>VLOOKUP($D44,'HR|社保政策'!$A:P,6,0)</f>
        <v>0.16</v>
      </c>
      <c r="V44" s="163">
        <f>VLOOKUP($D44,'HR|社保政策'!$A:Q,7,0)</f>
        <v>0.005</v>
      </c>
      <c r="W44" s="231">
        <f>VLOOKUP($D44,'HR|社保政策'!$A:R,8,0)</f>
        <v>0.0032</v>
      </c>
      <c r="X44" s="163">
        <f>VLOOKUP($D44,'HR|社保政策'!$A:S,9,0)</f>
        <v>0.01</v>
      </c>
      <c r="Y44" s="163">
        <f>VLOOKUP($D44,'HR|社保政策'!$A:T,10,0)</f>
        <v>0.09</v>
      </c>
      <c r="Z44" s="163">
        <f>VLOOKUP($D44,'HR|社保政策'!$A:U,11,0)</f>
        <v>0.07</v>
      </c>
      <c r="AA44" s="163">
        <f>VLOOKUP($D44,'HR|社保政策'!$A:V,12,0)</f>
        <v>0.08</v>
      </c>
      <c r="AB44" s="163">
        <f>VLOOKUP($D44,'HR|社保政策'!$A:W,13,0)</f>
        <v>0.02</v>
      </c>
      <c r="AC44" s="163">
        <f>VLOOKUP($D44,'HR|社保政策'!$A:X,14,0)</f>
        <v>0</v>
      </c>
      <c r="AD44" s="232">
        <f>VLOOKUP($D44,'HR|社保政策'!$A:Y,15,0)</f>
        <v>0.005</v>
      </c>
      <c r="AE44" s="163">
        <f>VLOOKUP($D44,'HR|社保政策'!$A:Z,16,0)</f>
        <v>0.07</v>
      </c>
      <c r="AF44" s="233"/>
      <c r="AG44" s="163">
        <f t="shared" si="3"/>
        <v>0</v>
      </c>
      <c r="AH44" s="163">
        <f t="shared" si="4"/>
        <v>0</v>
      </c>
      <c r="AI44" s="228">
        <f t="shared" si="5"/>
        <v>0</v>
      </c>
      <c r="AJ44" s="234"/>
      <c r="AK44" s="234"/>
      <c r="AL44" s="234"/>
      <c r="AM44" s="234"/>
      <c r="AN44" s="234"/>
      <c r="AO44" s="234" t="str">
        <f>VLOOKUP(B44,薪酬明细!I:I,1,0)</f>
        <v>杜宪</v>
      </c>
      <c r="AP44" s="201" t="str">
        <f>VLOOKUP(C44,薪酬明细!A:A,1,0)</f>
        <v>开弈人力资源杜宪</v>
      </c>
      <c r="AQ44" s="201" t="str">
        <f t="shared" si="6"/>
        <v>开弈人力资源杜宪</v>
      </c>
      <c r="AW44" s="201" t="e">
        <f>VLOOKUP(C44,薪酬明细!A:A,2,0)</f>
        <v>#REF!</v>
      </c>
      <c r="AX44" s="201" t="b">
        <f t="shared" si="7"/>
        <v>1</v>
      </c>
      <c r="AY44" s="201" t="b">
        <f t="shared" si="8"/>
        <v>1</v>
      </c>
    </row>
    <row r="45" s="201" customFormat="1" spans="1:51">
      <c r="A45" s="163" t="s">
        <v>69</v>
      </c>
      <c r="B45" s="163" t="s">
        <v>433</v>
      </c>
      <c r="C45" s="163" t="str">
        <f t="shared" si="0"/>
        <v>深圳和弈王雷</v>
      </c>
      <c r="D45" s="163" t="s">
        <v>630</v>
      </c>
      <c r="E45" s="163"/>
      <c r="F45" s="228">
        <v>5000</v>
      </c>
      <c r="G45" s="228">
        <v>5000</v>
      </c>
      <c r="H45" s="229">
        <f>IF(OR($D45={"开弈信息","开弈投资","开弈人才","开弈营销","开弈人力资源","弈工分企业外包","开弈企业服务外包"}),ROUNDUP(TRUNC($F45*AA45,2),1),ROUND($F45*AA45,2))</f>
        <v>400</v>
      </c>
      <c r="I45" s="163">
        <v>134.54</v>
      </c>
      <c r="J45" s="163">
        <v>10</v>
      </c>
      <c r="K45" s="163">
        <f t="shared" si="9"/>
        <v>250</v>
      </c>
      <c r="L45" s="230">
        <f t="shared" si="1"/>
        <v>0</v>
      </c>
      <c r="M45" s="229">
        <v>850</v>
      </c>
      <c r="N45" s="163">
        <f>403.62</f>
        <v>403.62</v>
      </c>
      <c r="O45" s="163">
        <v>40</v>
      </c>
      <c r="P45" s="163">
        <v>10</v>
      </c>
      <c r="Q45" s="163">
        <v>33.64</v>
      </c>
      <c r="R45" s="163">
        <f t="shared" si="10"/>
        <v>250</v>
      </c>
      <c r="S45" s="163">
        <f t="shared" si="2"/>
        <v>0</v>
      </c>
      <c r="T45" s="230"/>
      <c r="U45" s="229">
        <f>VLOOKUP($D45,'HR|社保政策'!$A:P,6,0)</f>
        <v>0.16</v>
      </c>
      <c r="V45" s="163">
        <f>VLOOKUP($D45,'HR|社保政策'!$A:Q,7,0)</f>
        <v>0.007</v>
      </c>
      <c r="W45" s="231">
        <f>VLOOKUP($D45,'HR|社保政策'!$A:R,8,0)</f>
        <v>0.0007</v>
      </c>
      <c r="X45" s="163">
        <f>VLOOKUP($D45,'HR|社保政策'!$A:S,9,0)</f>
        <v>0.0045</v>
      </c>
      <c r="Y45" s="163">
        <f>VLOOKUP($D45,'HR|社保政策'!$A:T,10,0)</f>
        <v>0.052</v>
      </c>
      <c r="Z45" s="163">
        <f>VLOOKUP($D45,'HR|社保政策'!$A:U,11,0)</f>
        <v>0.05</v>
      </c>
      <c r="AA45" s="163">
        <f>VLOOKUP($D45,'HR|社保政策'!$A:V,12,0)</f>
        <v>0.08</v>
      </c>
      <c r="AB45" s="163">
        <f>VLOOKUP($D45,'HR|社保政策'!$A:W,13,0)</f>
        <v>0.02</v>
      </c>
      <c r="AC45" s="163">
        <f>VLOOKUP($D45,'HR|社保政策'!$A:X,14,0)</f>
        <v>0</v>
      </c>
      <c r="AD45" s="232">
        <f>VLOOKUP($D45,'HR|社保政策'!$A:Y,15,0)</f>
        <v>0.003</v>
      </c>
      <c r="AE45" s="163">
        <f>VLOOKUP($D45,'HR|社保政策'!$A:Z,16,0)</f>
        <v>0.05</v>
      </c>
      <c r="AF45" s="233"/>
      <c r="AG45" s="163">
        <f t="shared" si="3"/>
        <v>794.54</v>
      </c>
      <c r="AH45" s="163">
        <f t="shared" si="4"/>
        <v>1587.26</v>
      </c>
      <c r="AI45" s="228">
        <f t="shared" si="5"/>
        <v>2381.8</v>
      </c>
      <c r="AJ45" s="234">
        <v>2200</v>
      </c>
      <c r="AK45" s="234">
        <v>6972</v>
      </c>
      <c r="AL45" s="234" t="str">
        <f t="shared" ref="AL45:AL51" si="22">A45</f>
        <v>深圳和弈</v>
      </c>
      <c r="AM45" s="234" t="s">
        <v>273</v>
      </c>
      <c r="AN45" s="234" t="s">
        <v>273</v>
      </c>
      <c r="AO45" s="234" t="str">
        <f>VLOOKUP(B45,薪酬明细!I:I,1,0)</f>
        <v>王雷</v>
      </c>
      <c r="AP45" s="201" t="str">
        <f>VLOOKUP(C45,薪酬明细!A:A,1,0)</f>
        <v>深圳和弈王雷</v>
      </c>
      <c r="AQ45" s="201" t="str">
        <f t="shared" si="6"/>
        <v>深圳和弈王雷</v>
      </c>
      <c r="AW45" s="201" t="e">
        <f>VLOOKUP(C45,薪酬明细!A:A,2,0)</f>
        <v>#REF!</v>
      </c>
      <c r="AX45" s="201" t="b">
        <f t="shared" si="7"/>
        <v>0</v>
      </c>
      <c r="AY45" s="201" t="b">
        <f t="shared" si="8"/>
        <v>1</v>
      </c>
    </row>
    <row r="46" s="201" customFormat="1" spans="1:51">
      <c r="A46" s="163" t="s">
        <v>69</v>
      </c>
      <c r="B46" s="163" t="s">
        <v>270</v>
      </c>
      <c r="C46" s="163" t="str">
        <f t="shared" si="0"/>
        <v>深圳和弈王倩</v>
      </c>
      <c r="D46" s="163" t="s">
        <v>630</v>
      </c>
      <c r="E46" s="163"/>
      <c r="F46" s="228">
        <v>0</v>
      </c>
      <c r="G46" s="228">
        <v>0</v>
      </c>
      <c r="H46" s="229">
        <f>IF(OR($D46={"开弈信息","开弈投资","开弈人才","开弈营销","开弈人力资源","弈工分企业外包","开弈企业服务外包"}),ROUNDUP(TRUNC($F46*AA46,2),1),ROUND($F46*AA46,2))</f>
        <v>0</v>
      </c>
      <c r="I46" s="163">
        <f>IF(OR($D46={"开弈信息","开弈投资","开弈人才","开弈营销","开弈人力资源","弈工分企业外包","开弈企业服务外包"}),ROUNDUP(TRUNC($F46*AB46,2),1)+AC46,ROUND($F46*AB46,2)+AC46)</f>
        <v>0</v>
      </c>
      <c r="J46" s="163">
        <f>IF(OR($D46={"开弈信息","开弈投资","开弈人才","开弈营销","开弈人力资源","弈工分企业外包","开弈企业服务外包"}),ROUNDUP(TRUNC($F46*AD46,2),1),ROUND($F46*AD46,2))</f>
        <v>0</v>
      </c>
      <c r="K46" s="163">
        <f t="shared" si="9"/>
        <v>0</v>
      </c>
      <c r="L46" s="230">
        <f t="shared" si="1"/>
        <v>0</v>
      </c>
      <c r="M46" s="229">
        <f>IF(OR($D46={"开弈信息","开弈投资","开弈人才","开弈营销","开弈人力资源","弈工分企业外包","开弈企业服务外包"}),ROUNDUP(TRUNC($F46*U46,2),1),ROUND($F46*U46,2))</f>
        <v>0</v>
      </c>
      <c r="N46" s="163">
        <f>IF(OR($D46={"开弈信息","开弈投资","开弈人才","开弈营销","开弈人力资源","弈工分企业外包","开弈企业服务外包"}),ROUNDUP(TRUNC($F46*Y46,2),1),ROUND($F46*Y46,2))</f>
        <v>0</v>
      </c>
      <c r="O46" s="163">
        <f>IF(OR($D46={"开弈信息","开弈投资","开弈人才","开弈营销","开弈人力资源","弈工分企业外包","开弈企业服务外包"}),ROUNDUP(TRUNC($F46*V46,2),1),ROUND($F46*V46,2))</f>
        <v>0</v>
      </c>
      <c r="P46" s="163">
        <f>IF(OR($D46={"开弈信息","开弈投资","开弈人才","开弈营销","开弈人力资源","弈工分企业外包","开弈企业服务外包"}),ROUNDUP(TRUNC($F46*W46,2),1),ROUND($F46*W46,2))</f>
        <v>0</v>
      </c>
      <c r="Q46" s="163">
        <f>IF(OR($D46={"开弈信息","开弈投资","开弈人才","开弈营销","开弈人力资源","弈工分企业外包","开弈企业服务外包"}),ROUNDUP(TRUNC($F46*X46,2),1),ROUND($F46*X46,2))</f>
        <v>0</v>
      </c>
      <c r="R46" s="163">
        <f t="shared" si="10"/>
        <v>0</v>
      </c>
      <c r="S46" s="163">
        <f t="shared" si="2"/>
        <v>0</v>
      </c>
      <c r="T46" s="230"/>
      <c r="U46" s="229">
        <f>VLOOKUP($D46,'HR|社保政策'!$A:P,6,0)</f>
        <v>0.16</v>
      </c>
      <c r="V46" s="163">
        <f>VLOOKUP($D46,'HR|社保政策'!$A:Q,7,0)</f>
        <v>0.007</v>
      </c>
      <c r="W46" s="231">
        <f>VLOOKUP($D46,'HR|社保政策'!$A:R,8,0)</f>
        <v>0.0007</v>
      </c>
      <c r="X46" s="163">
        <f>VLOOKUP($D46,'HR|社保政策'!$A:S,9,0)</f>
        <v>0.0045</v>
      </c>
      <c r="Y46" s="163">
        <f>VLOOKUP($D46,'HR|社保政策'!$A:T,10,0)</f>
        <v>0.052</v>
      </c>
      <c r="Z46" s="163">
        <f>VLOOKUP($D46,'HR|社保政策'!$A:U,11,0)</f>
        <v>0.05</v>
      </c>
      <c r="AA46" s="163">
        <f>VLOOKUP($D46,'HR|社保政策'!$A:V,12,0)</f>
        <v>0.08</v>
      </c>
      <c r="AB46" s="163">
        <f>VLOOKUP($D46,'HR|社保政策'!$A:W,13,0)</f>
        <v>0.02</v>
      </c>
      <c r="AC46" s="163">
        <f>VLOOKUP($D46,'HR|社保政策'!$A:X,14,0)</f>
        <v>0</v>
      </c>
      <c r="AD46" s="232">
        <f>VLOOKUP($D46,'HR|社保政策'!$A:Y,15,0)</f>
        <v>0.003</v>
      </c>
      <c r="AE46" s="163">
        <f>VLOOKUP($D46,'HR|社保政策'!$A:Z,16,0)</f>
        <v>0.05</v>
      </c>
      <c r="AF46" s="233"/>
      <c r="AG46" s="163">
        <f t="shared" si="3"/>
        <v>0</v>
      </c>
      <c r="AH46" s="163">
        <f t="shared" si="4"/>
        <v>0</v>
      </c>
      <c r="AI46" s="228">
        <f t="shared" si="5"/>
        <v>0</v>
      </c>
      <c r="AJ46" s="234"/>
      <c r="AK46" s="234"/>
      <c r="AL46" s="234" t="str">
        <f t="shared" si="22"/>
        <v>深圳和弈</v>
      </c>
      <c r="AM46" s="234"/>
      <c r="AN46" s="234"/>
      <c r="AO46" s="234" t="str">
        <f>VLOOKUP(B46,薪酬明细!I:I,1,0)</f>
        <v>王倩</v>
      </c>
      <c r="AP46" s="201" t="str">
        <f>VLOOKUP(C46,薪酬明细!A:A,1,0)</f>
        <v>深圳和弈王倩</v>
      </c>
      <c r="AQ46" s="201" t="str">
        <f t="shared" si="6"/>
        <v>深圳和弈王倩</v>
      </c>
      <c r="AW46" s="201" t="e">
        <f>VLOOKUP(C46,薪酬明细!A:A,2,0)</f>
        <v>#REF!</v>
      </c>
      <c r="AX46" s="201" t="b">
        <f t="shared" si="7"/>
        <v>0</v>
      </c>
      <c r="AY46" s="201" t="b">
        <f t="shared" si="8"/>
        <v>1</v>
      </c>
    </row>
    <row r="47" s="201" customFormat="1" spans="1:51">
      <c r="A47" s="163" t="s">
        <v>67</v>
      </c>
      <c r="B47" s="163" t="s">
        <v>447</v>
      </c>
      <c r="C47" s="163" t="str">
        <f t="shared" si="0"/>
        <v>天津英才陈一卓</v>
      </c>
      <c r="D47" s="163" t="s">
        <v>631</v>
      </c>
      <c r="E47" s="163"/>
      <c r="F47" s="228">
        <v>5124</v>
      </c>
      <c r="G47" s="228">
        <v>6000</v>
      </c>
      <c r="H47" s="229">
        <f>IF(OR($D47={"开弈信息","开弈投资","开弈人才","开弈营销","开弈人力资源","弈工分企业外包","开弈企业服务外包"}),ROUNDUP(TRUNC($F47*AA47,2),1),ROUND($F47*AA47,2))</f>
        <v>409.92</v>
      </c>
      <c r="I47" s="163" cm="1">
        <f t="array" ref="I47">IF(OR($D47={"开弈信息","开弈投资","开弈人才","开弈营销","开弈人力资源","弈工分企业外包","开弈企业服务外包"}),ROUNDUP(TRUNC($F47*AB47,2),1)+AC47,ROUND($F47*AB47,2)+AC47)+22</f>
        <v>124.48</v>
      </c>
      <c r="J47" s="163">
        <f>IF(OR($D47={"开弈信息","开弈投资","开弈人才","开弈营销","开弈人力资源","弈工分企业外包","开弈企业服务外包"}),ROUNDUP(TRUNC($F47*AD47,2),1),ROUND($F47*AD47,2))</f>
        <v>25.62</v>
      </c>
      <c r="K47" s="163">
        <f t="shared" si="9"/>
        <v>660</v>
      </c>
      <c r="L47" s="230">
        <f t="shared" si="1"/>
        <v>0</v>
      </c>
      <c r="M47" s="229">
        <f>IF(OR($D47={"开弈信息","开弈投资","开弈人才","开弈营销","开弈人力资源","弈工分企业外包","开弈企业服务外包"}),ROUNDUP(TRUNC($F47*U47,2),1),ROUND($F47*U47,2))</f>
        <v>819.84</v>
      </c>
      <c r="N47" s="163">
        <f>IF(OR($D47={"开弈信息","开弈投资","开弈人才","开弈营销","开弈人力资源","弈工分企业外包","开弈企业服务外包"}),ROUNDUP(TRUNC($F47*Y47,2),1),ROUND($F47*Y47,2))</f>
        <v>512.4</v>
      </c>
      <c r="O47" s="163">
        <f>IF(OR($D47={"开弈信息","开弈投资","开弈人才","开弈营销","开弈人力资源","弈工分企业外包","开弈企业服务外包"}),ROUNDUP(TRUNC($F47*V47,2),1),ROUND($F47*V47,2))</f>
        <v>25.62</v>
      </c>
      <c r="P47" s="163">
        <f>IF(OR($D47={"开弈信息","开弈投资","开弈人才","开弈营销","开弈人力资源","弈工分企业外包","开弈企业服务外包"}),ROUNDUP(TRUNC($F47*W47,2),1),ROUND($F47*W47,2))</f>
        <v>10.25</v>
      </c>
      <c r="Q47" s="163">
        <f>IF(OR($D47={"开弈信息","开弈投资","开弈人才","开弈营销","开弈人力资源","弈工分企业外包","开弈企业服务外包"}),ROUNDUP(TRUNC($F47*X47,2),1),ROUND($F47*X47,2))</f>
        <v>25.62</v>
      </c>
      <c r="R47" s="163">
        <f t="shared" si="10"/>
        <v>660</v>
      </c>
      <c r="S47" s="163">
        <f t="shared" si="2"/>
        <v>0</v>
      </c>
      <c r="T47" s="230"/>
      <c r="U47" s="229">
        <f>VLOOKUP($D47,'HR|社保政策'!$A:P,6,0)</f>
        <v>0.16</v>
      </c>
      <c r="V47" s="163">
        <f>VLOOKUP($D47,'HR|社保政策'!$A:Q,7,0)</f>
        <v>0.005</v>
      </c>
      <c r="W47" s="231">
        <f>VLOOKUP($D47,'HR|社保政策'!$A:R,8,0)</f>
        <v>0.002</v>
      </c>
      <c r="X47" s="163">
        <f>VLOOKUP($D47,'HR|社保政策'!$A:S,9,0)</f>
        <v>0.005</v>
      </c>
      <c r="Y47" s="163">
        <f>VLOOKUP($D47,'HR|社保政策'!$A:T,10,0)</f>
        <v>0.1</v>
      </c>
      <c r="Z47" s="163">
        <f>VLOOKUP($D47,'HR|社保政策'!$A:U,11,0)</f>
        <v>0.11</v>
      </c>
      <c r="AA47" s="163">
        <f>VLOOKUP($D47,'HR|社保政策'!$A:V,12,0)</f>
        <v>0.08</v>
      </c>
      <c r="AB47" s="163">
        <f>VLOOKUP($D47,'HR|社保政策'!$A:W,13,0)</f>
        <v>0.02</v>
      </c>
      <c r="AC47" s="163">
        <f>VLOOKUP($D47,'HR|社保政策'!$A:X,14,0)</f>
        <v>0</v>
      </c>
      <c r="AD47" s="232">
        <f>VLOOKUP($D47,'HR|社保政策'!$A:Y,15,0)</f>
        <v>0.005</v>
      </c>
      <c r="AE47" s="163">
        <f>VLOOKUP($D47,'HR|社保政策'!$A:Z,16,0)</f>
        <v>0.11</v>
      </c>
      <c r="AF47" s="233"/>
      <c r="AG47" s="163">
        <f t="shared" si="3"/>
        <v>1220.02</v>
      </c>
      <c r="AH47" s="163">
        <f t="shared" si="4"/>
        <v>2053.73</v>
      </c>
      <c r="AI47" s="228">
        <f t="shared" si="5"/>
        <v>3273.75</v>
      </c>
      <c r="AJ47" s="234"/>
      <c r="AK47" s="234"/>
      <c r="AL47" s="234" t="str">
        <f t="shared" si="22"/>
        <v>天津英才</v>
      </c>
      <c r="AM47" s="234" t="s">
        <v>273</v>
      </c>
      <c r="AN47" s="234" t="s">
        <v>273</v>
      </c>
      <c r="AO47" s="234" t="str">
        <f>VLOOKUP(B47,薪酬明细!I:I,1,0)</f>
        <v>陈一卓</v>
      </c>
      <c r="AP47" s="201" t="str">
        <f>VLOOKUP(C47,薪酬明细!A:A,1,0)</f>
        <v>天津英才陈一卓</v>
      </c>
      <c r="AQ47" s="201" t="str">
        <f t="shared" si="6"/>
        <v>天津英才陈一卓</v>
      </c>
      <c r="AW47" s="201" t="e">
        <f>VLOOKUP(C47,薪酬明细!A:A,2,0)</f>
        <v>#REF!</v>
      </c>
      <c r="AX47" s="201" t="b">
        <f t="shared" si="7"/>
        <v>0</v>
      </c>
      <c r="AY47" s="201" t="b">
        <f t="shared" si="8"/>
        <v>1</v>
      </c>
    </row>
    <row r="48" s="201" customFormat="1" spans="1:51">
      <c r="A48" s="163" t="s">
        <v>67</v>
      </c>
      <c r="B48" s="163" t="s">
        <v>446</v>
      </c>
      <c r="C48" s="163" t="str">
        <f t="shared" si="0"/>
        <v>天津英才郭双红</v>
      </c>
      <c r="D48" s="163" t="s">
        <v>623</v>
      </c>
      <c r="E48" s="163"/>
      <c r="F48" s="228">
        <v>0</v>
      </c>
      <c r="G48" s="228">
        <v>0</v>
      </c>
      <c r="H48" s="229">
        <f>IF(OR($D48={"开弈信息","开弈投资","开弈人才","开弈营销","开弈人力资源","弈工分企业外包","开弈企业服务外包"}),ROUNDUP(TRUNC($F48*AA48,2),1),ROUND($F48*AA48,2))</f>
        <v>0</v>
      </c>
      <c r="I48" s="163">
        <f>IF(OR($D48={"开弈信息","开弈投资","开弈人才","开弈营销","开弈人力资源","弈工分企业外包","开弈企业服务外包"}),ROUNDUP(TRUNC($F48*AB48,2),1)+AC48,ROUND($F48*AB48,2)+AC48)</f>
        <v>0</v>
      </c>
      <c r="J48" s="163">
        <f>IF(OR($D48={"开弈信息","开弈投资","开弈人才","开弈营销","开弈人力资源","弈工分企业外包","开弈企业服务外包"}),ROUNDUP(TRUNC($F48*AD48,2),1),ROUND($F48*AD48,2))</f>
        <v>0</v>
      </c>
      <c r="K48" s="163">
        <f t="shared" si="9"/>
        <v>0</v>
      </c>
      <c r="L48" s="230">
        <f t="shared" si="1"/>
        <v>0</v>
      </c>
      <c r="M48" s="229">
        <f>IF(OR($D48={"开弈信息","开弈投资","开弈人才","开弈营销","开弈人力资源","弈工分企业外包","开弈企业服务外包"}),ROUNDUP(TRUNC($F48*U48,2),1),ROUND($F48*U48,2))</f>
        <v>0</v>
      </c>
      <c r="N48" s="163">
        <f>IF(OR($D48={"开弈信息","开弈投资","开弈人才","开弈营销","开弈人力资源","弈工分企业外包","开弈企业服务外包"}),ROUNDUP(TRUNC($F48*Y48,2),1),ROUND($F48*Y48,2))</f>
        <v>0</v>
      </c>
      <c r="O48" s="163">
        <f>IF(OR($D48={"开弈信息","开弈投资","开弈人才","开弈营销","开弈人力资源","弈工分企业外包","开弈企业服务外包"}),ROUNDUP(TRUNC($F48*V48,2),1),ROUND($F48*V48,2))</f>
        <v>0</v>
      </c>
      <c r="P48" s="163">
        <f>IF(OR($D48={"开弈信息","开弈投资","开弈人才","开弈营销","开弈人力资源","弈工分企业外包","开弈企业服务外包"}),ROUNDUP(TRUNC($F48*W48,2),1),ROUND($F48*W48,2))</f>
        <v>0</v>
      </c>
      <c r="Q48" s="163">
        <f>IF(OR($D48={"开弈信息","开弈投资","开弈人才","开弈营销","开弈人力资源","弈工分企业外包","开弈企业服务外包"}),ROUNDUP(TRUNC($F48*X48,2),1),ROUND($F48*X48,2))</f>
        <v>0</v>
      </c>
      <c r="R48" s="163">
        <f t="shared" si="10"/>
        <v>0</v>
      </c>
      <c r="S48" s="163">
        <f t="shared" si="2"/>
        <v>0</v>
      </c>
      <c r="T48" s="230"/>
      <c r="U48" s="229">
        <f>VLOOKUP($D48,'HR|社保政策'!$A:P,6,0)</f>
        <v>0</v>
      </c>
      <c r="V48" s="163">
        <f>VLOOKUP($D48,'HR|社保政策'!$A:Q,7,0)</f>
        <v>0</v>
      </c>
      <c r="W48" s="231">
        <f>VLOOKUP($D48,'HR|社保政策'!$A:R,8,0)</f>
        <v>0</v>
      </c>
      <c r="X48" s="163">
        <f>VLOOKUP($D48,'HR|社保政策'!$A:S,9,0)</f>
        <v>0</v>
      </c>
      <c r="Y48" s="163">
        <f>VLOOKUP($D48,'HR|社保政策'!$A:T,10,0)</f>
        <v>0</v>
      </c>
      <c r="Z48" s="163">
        <f>VLOOKUP($D48,'HR|社保政策'!$A:U,11,0)</f>
        <v>0</v>
      </c>
      <c r="AA48" s="163">
        <f>VLOOKUP($D48,'HR|社保政策'!$A:V,12,0)</f>
        <v>0</v>
      </c>
      <c r="AB48" s="163">
        <f>VLOOKUP($D48,'HR|社保政策'!$A:W,13,0)</f>
        <v>0</v>
      </c>
      <c r="AC48" s="163">
        <f>VLOOKUP($D48,'HR|社保政策'!$A:X,14,0)</f>
        <v>0</v>
      </c>
      <c r="AD48" s="232">
        <f>VLOOKUP($D48,'HR|社保政策'!$A:Y,15,0)</f>
        <v>0</v>
      </c>
      <c r="AE48" s="163">
        <f>VLOOKUP($D48,'HR|社保政策'!$A:Z,16,0)</f>
        <v>0</v>
      </c>
      <c r="AF48" s="233"/>
      <c r="AG48" s="163">
        <f t="shared" si="3"/>
        <v>0</v>
      </c>
      <c r="AH48" s="163">
        <f t="shared" si="4"/>
        <v>0</v>
      </c>
      <c r="AI48" s="228">
        <f t="shared" si="5"/>
        <v>0</v>
      </c>
      <c r="AJ48" s="234"/>
      <c r="AK48" s="234"/>
      <c r="AL48" s="234" t="str">
        <f t="shared" si="22"/>
        <v>天津英才</v>
      </c>
      <c r="AM48" s="234"/>
      <c r="AN48" s="234"/>
      <c r="AO48" s="234" t="str">
        <f>VLOOKUP(B48,薪酬明细!I:I,1,0)</f>
        <v>郭双红</v>
      </c>
      <c r="AP48" s="201" t="str">
        <f>VLOOKUP(C48,薪酬明细!A:A,1,0)</f>
        <v>天津英才郭双红</v>
      </c>
      <c r="AQ48" s="201" t="str">
        <f t="shared" si="6"/>
        <v>天津英才郭双红</v>
      </c>
      <c r="AS48" s="201">
        <f>H48+I48+J48+K48+L48</f>
        <v>0</v>
      </c>
      <c r="AT48" s="201">
        <f>AR48-AS48</f>
        <v>0</v>
      </c>
      <c r="AW48" s="201" t="e">
        <f>VLOOKUP(C48,薪酬明细!A:A,2,0)</f>
        <v>#REF!</v>
      </c>
      <c r="AX48" s="201" t="b">
        <f t="shared" si="7"/>
        <v>0</v>
      </c>
      <c r="AY48" s="201" t="b">
        <f t="shared" si="8"/>
        <v>1</v>
      </c>
    </row>
    <row r="49" s="201" customFormat="1" spans="1:51">
      <c r="A49" s="163" t="s">
        <v>67</v>
      </c>
      <c r="B49" s="163" t="s">
        <v>453</v>
      </c>
      <c r="C49" s="163" t="str">
        <f t="shared" si="0"/>
        <v>天津英才周梓荣</v>
      </c>
      <c r="D49" s="163" t="s">
        <v>631</v>
      </c>
      <c r="E49" s="163"/>
      <c r="F49" s="228">
        <v>5124</v>
      </c>
      <c r="G49" s="228">
        <v>5013</v>
      </c>
      <c r="H49" s="229">
        <f>IF(OR($D49={"开弈信息","开弈投资","开弈人才","开弈营销","开弈人力资源","弈工分企业外包","开弈企业服务外包"}),ROUNDUP(TRUNC($F49*AA49,2),1),ROUND($F49*AA49,2))</f>
        <v>409.92</v>
      </c>
      <c r="I49" s="163" cm="1">
        <f t="array" ref="I49">IF(OR($D49={"开弈信息","开弈投资","开弈人才","开弈营销","开弈人力资源","弈工分企业外包","开弈企业服务外包"}),ROUNDUP(TRUNC($F49*AB49,2),1)+AC49,ROUND($F49*AB49,2)+AC49)+22</f>
        <v>124.48</v>
      </c>
      <c r="J49" s="163">
        <f>IF(OR($D49={"开弈信息","开弈投资","开弈人才","开弈营销","开弈人力资源","弈工分企业外包","开弈企业服务外包"}),ROUNDUP(TRUNC($F49*AD49,2),1),ROUND($F49*AD49,2))</f>
        <v>25.62</v>
      </c>
      <c r="K49" s="163">
        <f t="shared" si="9"/>
        <v>551</v>
      </c>
      <c r="L49" s="230">
        <f t="shared" si="1"/>
        <v>0</v>
      </c>
      <c r="M49" s="229">
        <f>IF(OR($D49={"开弈信息","开弈投资","开弈人才","开弈营销","开弈人力资源","弈工分企业外包","开弈企业服务外包"}),ROUNDUP(TRUNC($F49*U49,2),1),ROUND($F49*U49,2))</f>
        <v>819.84</v>
      </c>
      <c r="N49" s="163">
        <f>IF(OR($D49={"开弈信息","开弈投资","开弈人才","开弈营销","开弈人力资源","弈工分企业外包","开弈企业服务外包"}),ROUNDUP(TRUNC($F49*Y49,2),1),ROUND($F49*Y49,2))</f>
        <v>512.4</v>
      </c>
      <c r="O49" s="163">
        <f>IF(OR($D49={"开弈信息","开弈投资","开弈人才","开弈营销","开弈人力资源","弈工分企业外包","开弈企业服务外包"}),ROUNDUP(TRUNC($F49*V49,2),1),ROUND($F49*V49,2))</f>
        <v>25.62</v>
      </c>
      <c r="P49" s="163">
        <f>IF(OR($D49={"开弈信息","开弈投资","开弈人才","开弈营销","开弈人力资源","弈工分企业外包","开弈企业服务外包"}),ROUNDUP(TRUNC($F49*W49,2),1),ROUND($F49*W49,2))</f>
        <v>10.25</v>
      </c>
      <c r="Q49" s="163">
        <f>IF(OR($D49={"开弈信息","开弈投资","开弈人才","开弈营销","开弈人力资源","弈工分企业外包","开弈企业服务外包"}),ROUNDUP(TRUNC($F49*X49,2),1),ROUND($F49*X49,2))</f>
        <v>25.62</v>
      </c>
      <c r="R49" s="163">
        <f t="shared" si="10"/>
        <v>551</v>
      </c>
      <c r="S49" s="163">
        <f t="shared" si="2"/>
        <v>0</v>
      </c>
      <c r="T49" s="230"/>
      <c r="U49" s="229">
        <f>VLOOKUP($D49,'HR|社保政策'!$A:P,6,0)</f>
        <v>0.16</v>
      </c>
      <c r="V49" s="163">
        <f>VLOOKUP($D49,'HR|社保政策'!$A:Q,7,0)</f>
        <v>0.005</v>
      </c>
      <c r="W49" s="231">
        <f>VLOOKUP($D49,'HR|社保政策'!$A:R,8,0)</f>
        <v>0.002</v>
      </c>
      <c r="X49" s="163">
        <f>VLOOKUP($D49,'HR|社保政策'!$A:S,9,0)</f>
        <v>0.005</v>
      </c>
      <c r="Y49" s="163">
        <f>VLOOKUP($D49,'HR|社保政策'!$A:T,10,0)</f>
        <v>0.1</v>
      </c>
      <c r="Z49" s="163">
        <f>VLOOKUP($D49,'HR|社保政策'!$A:U,11,0)</f>
        <v>0.11</v>
      </c>
      <c r="AA49" s="163">
        <f>VLOOKUP($D49,'HR|社保政策'!$A:V,12,0)</f>
        <v>0.08</v>
      </c>
      <c r="AB49" s="163">
        <f>VLOOKUP($D49,'HR|社保政策'!$A:W,13,0)</f>
        <v>0.02</v>
      </c>
      <c r="AC49" s="163">
        <f>VLOOKUP($D49,'HR|社保政策'!$A:X,14,0)</f>
        <v>0</v>
      </c>
      <c r="AD49" s="232">
        <f>VLOOKUP($D49,'HR|社保政策'!$A:Y,15,0)</f>
        <v>0.005</v>
      </c>
      <c r="AE49" s="163">
        <f>VLOOKUP($D49,'HR|社保政策'!$A:Z,16,0)</f>
        <v>0.11</v>
      </c>
      <c r="AF49" s="233"/>
      <c r="AG49" s="163">
        <f t="shared" si="3"/>
        <v>1111.02</v>
      </c>
      <c r="AH49" s="163">
        <f t="shared" si="4"/>
        <v>1944.73</v>
      </c>
      <c r="AI49" s="228">
        <f t="shared" si="5"/>
        <v>3055.75</v>
      </c>
      <c r="AJ49" s="234"/>
      <c r="AK49" s="234"/>
      <c r="AL49" s="234" t="str">
        <f t="shared" si="22"/>
        <v>天津英才</v>
      </c>
      <c r="AM49" s="234" t="s">
        <v>273</v>
      </c>
      <c r="AN49" s="234" t="s">
        <v>273</v>
      </c>
      <c r="AO49" s="234" t="str">
        <f>VLOOKUP(B49,薪酬明细!I:I,1,0)</f>
        <v>周梓荣</v>
      </c>
      <c r="AP49" s="201" t="str">
        <f>VLOOKUP(C49,薪酬明细!A:A,1,0)</f>
        <v>天津英才周梓荣</v>
      </c>
      <c r="AQ49" s="201" t="str">
        <f t="shared" si="6"/>
        <v>天津英才周梓荣</v>
      </c>
      <c r="AW49" s="201" t="e">
        <f>VLOOKUP(C49,薪酬明细!A:A,2,0)</f>
        <v>#REF!</v>
      </c>
      <c r="AX49" s="201" t="b">
        <f t="shared" si="7"/>
        <v>0</v>
      </c>
      <c r="AY49" s="201" t="b">
        <f t="shared" si="8"/>
        <v>1</v>
      </c>
    </row>
    <row r="50" s="201" customFormat="1" spans="1:51">
      <c r="A50" s="163" t="s">
        <v>67</v>
      </c>
      <c r="B50" s="163" t="s">
        <v>451</v>
      </c>
      <c r="C50" s="163" t="str">
        <f t="shared" si="0"/>
        <v>天津英才吴靖娴</v>
      </c>
      <c r="D50" s="163" t="s">
        <v>631</v>
      </c>
      <c r="E50" s="163"/>
      <c r="F50" s="228">
        <v>5124</v>
      </c>
      <c r="G50" s="228">
        <v>5013</v>
      </c>
      <c r="H50" s="229">
        <f>IF(OR($D50={"开弈信息","开弈投资","开弈人才","开弈营销","开弈人力资源","弈工分企业外包","开弈企业服务外包","智名"}),ROUNDUP(TRUNC($F50*AA50,2),1),ROUND($F50*AA50,2))</f>
        <v>409.92</v>
      </c>
      <c r="I50" s="163" cm="1">
        <f t="array" ref="I50">IF(OR($D50={"开弈信息","开弈投资","开弈人才","开弈营销","开弈人力资源","弈工分企业外包","开弈企业服务外包"}),ROUNDUP(TRUNC($F50*AB50,2),1)+AC50,ROUND($F50*AB50,2)+AC50)+22</f>
        <v>124.48</v>
      </c>
      <c r="J50" s="163">
        <f>IF(OR($D50={"开弈信息","开弈投资","开弈人才","开弈营销","开弈人力资源","弈工分企业外包","开弈企业服务外包"}),ROUNDUP(TRUNC($F50*AD50,2),1),ROUND($F50*AD50,2))</f>
        <v>25.62</v>
      </c>
      <c r="K50" s="163">
        <f t="shared" si="9"/>
        <v>551</v>
      </c>
      <c r="L50" s="230">
        <f t="shared" si="1"/>
        <v>0</v>
      </c>
      <c r="M50" s="229">
        <f>IF(OR($D50={"开弈信息","开弈投资","开弈人才","开弈营销","开弈人力资源","弈工分企业外包","开弈企业服务外包"}),ROUNDUP(TRUNC($F50*U50,2),1),ROUND($F50*U50,2))</f>
        <v>819.84</v>
      </c>
      <c r="N50" s="163">
        <f>IF(OR($D50={"开弈信息","开弈投资","开弈人才","开弈营销","开弈人力资源","弈工分企业外包","开弈企业服务外包"}),ROUNDUP(TRUNC($F50*Y50,2),1),ROUND($F50*Y50,2))</f>
        <v>512.4</v>
      </c>
      <c r="O50" s="163">
        <f>IF(OR($D50={"开弈信息","开弈投资","开弈人才","开弈营销","开弈人力资源","弈工分企业外包","开弈企业服务外包"}),ROUNDUP(TRUNC($F50*V50,2),1),ROUND($F50*V50,2))</f>
        <v>25.62</v>
      </c>
      <c r="P50" s="163">
        <f>IF(OR($D50={"开弈信息","开弈投资","开弈人才","开弈营销","开弈人力资源","弈工分企业外包","开弈企业服务外包"}),ROUNDUP(TRUNC($F50*W50,2),1),ROUND($F50*W50,2))</f>
        <v>10.25</v>
      </c>
      <c r="Q50" s="163">
        <f>IF(OR($D50={"开弈信息","开弈投资","开弈人才","开弈营销","开弈人力资源","弈工分企业外包","开弈企业服务外包"}),ROUNDUP(TRUNC($F50*X50,2),1),ROUND($F50*X50,2))</f>
        <v>25.62</v>
      </c>
      <c r="R50" s="163">
        <f t="shared" si="10"/>
        <v>551</v>
      </c>
      <c r="S50" s="163">
        <f t="shared" si="2"/>
        <v>0</v>
      </c>
      <c r="T50" s="230"/>
      <c r="U50" s="229">
        <f>VLOOKUP($D50,'HR|社保政策'!$A:P,6,0)</f>
        <v>0.16</v>
      </c>
      <c r="V50" s="163">
        <f>VLOOKUP($D50,'HR|社保政策'!$A:Q,7,0)</f>
        <v>0.005</v>
      </c>
      <c r="W50" s="231">
        <f>VLOOKUP($D50,'HR|社保政策'!$A:R,8,0)</f>
        <v>0.002</v>
      </c>
      <c r="X50" s="163">
        <f>VLOOKUP($D50,'HR|社保政策'!$A:S,9,0)</f>
        <v>0.005</v>
      </c>
      <c r="Y50" s="163">
        <f>VLOOKUP($D50,'HR|社保政策'!$A:T,10,0)</f>
        <v>0.1</v>
      </c>
      <c r="Z50" s="163">
        <f>VLOOKUP($D50,'HR|社保政策'!$A:U,11,0)</f>
        <v>0.11</v>
      </c>
      <c r="AA50" s="163">
        <f>VLOOKUP($D50,'HR|社保政策'!$A:V,12,0)</f>
        <v>0.08</v>
      </c>
      <c r="AB50" s="163">
        <f>VLOOKUP($D50,'HR|社保政策'!$A:W,13,0)</f>
        <v>0.02</v>
      </c>
      <c r="AC50" s="163">
        <f>VLOOKUP($D50,'HR|社保政策'!$A:X,14,0)</f>
        <v>0</v>
      </c>
      <c r="AD50" s="232">
        <f>VLOOKUP($D50,'HR|社保政策'!$A:Y,15,0)</f>
        <v>0.005</v>
      </c>
      <c r="AE50" s="163">
        <f>VLOOKUP($D50,'HR|社保政策'!$A:Z,16,0)</f>
        <v>0.11</v>
      </c>
      <c r="AF50" s="233"/>
      <c r="AG50" s="163">
        <f t="shared" si="3"/>
        <v>1111.02</v>
      </c>
      <c r="AH50" s="163">
        <f t="shared" si="4"/>
        <v>1944.73</v>
      </c>
      <c r="AI50" s="228">
        <f t="shared" si="5"/>
        <v>3055.75</v>
      </c>
      <c r="AJ50" s="234"/>
      <c r="AK50" s="234"/>
      <c r="AL50" s="234" t="str">
        <f t="shared" si="22"/>
        <v>天津英才</v>
      </c>
      <c r="AM50" s="234" t="s">
        <v>273</v>
      </c>
      <c r="AN50" s="234"/>
      <c r="AO50" s="234" t="str">
        <f>VLOOKUP(B50,薪酬明细!I:I,1,0)</f>
        <v>吴靖娴</v>
      </c>
      <c r="AP50" s="201" t="str">
        <f>VLOOKUP(C50,薪酬明细!A:A,1,0)</f>
        <v>天津英才吴靖娴</v>
      </c>
      <c r="AQ50" s="201" t="str">
        <f t="shared" si="6"/>
        <v>天津英才吴靖娴</v>
      </c>
      <c r="AW50" s="201" t="e">
        <f>VLOOKUP(C50,薪酬明细!A:A,2,0)</f>
        <v>#REF!</v>
      </c>
      <c r="AX50" s="201" t="b">
        <f t="shared" si="7"/>
        <v>0</v>
      </c>
      <c r="AY50" s="201" t="b">
        <f t="shared" si="8"/>
        <v>1</v>
      </c>
    </row>
    <row r="51" s="201" customFormat="1" spans="1:51">
      <c r="A51" s="163" t="s">
        <v>67</v>
      </c>
      <c r="B51" s="163" t="s">
        <v>270</v>
      </c>
      <c r="C51" s="163" t="str">
        <f t="shared" si="0"/>
        <v>天津英才王倩</v>
      </c>
      <c r="D51" s="163" t="s">
        <v>631</v>
      </c>
      <c r="E51" s="163"/>
      <c r="F51" s="228">
        <v>0</v>
      </c>
      <c r="G51" s="228">
        <v>0</v>
      </c>
      <c r="H51" s="229">
        <f>IF(OR($D51={"开弈信息","开弈投资","开弈人才","开弈营销","开弈人力资源","弈工分企业外包","开弈企业服务外包"}),ROUNDUP(TRUNC($F51*AA51,2),1),ROUND($F51*AA51,2))</f>
        <v>0</v>
      </c>
      <c r="I51" s="163">
        <f>IF(OR($D51={"开弈信息","开弈投资","开弈人才","开弈营销","开弈人力资源","弈工分企业外包","开弈企业服务外包"}),ROUNDUP(TRUNC($F51*AB51,2),1)+AC51,ROUND($F51*AB51,2)+AC51)</f>
        <v>0</v>
      </c>
      <c r="J51" s="163">
        <f>IF(OR($D51={"开弈信息","开弈投资","开弈人才","开弈营销","开弈人力资源","弈工分企业外包","开弈企业服务外包"}),ROUNDUP(TRUNC($F51*AD51,2),1),ROUND($F51*AD51,2))</f>
        <v>0</v>
      </c>
      <c r="K51" s="163">
        <f t="shared" si="9"/>
        <v>0</v>
      </c>
      <c r="L51" s="230">
        <f t="shared" si="1"/>
        <v>0</v>
      </c>
      <c r="M51" s="229">
        <f>IF(OR($D51={"开弈信息","开弈投资","开弈人才","开弈营销","开弈人力资源","弈工分企业外包","开弈企业服务外包"}),ROUNDUP(TRUNC($F51*U51,2),1),ROUND($F51*U51,2))</f>
        <v>0</v>
      </c>
      <c r="N51" s="163">
        <f>IF(OR($D51={"开弈信息","开弈投资","开弈人才","开弈营销","开弈人力资源","弈工分企业外包","开弈企业服务外包"}),ROUNDUP(TRUNC($F51*Y51,2),1),ROUND($F51*Y51,2))</f>
        <v>0</v>
      </c>
      <c r="O51" s="163">
        <f>IF(OR($D51={"开弈信息","开弈投资","开弈人才","开弈营销","开弈人力资源","弈工分企业外包","开弈企业服务外包"}),ROUNDUP(TRUNC($F51*V51,2),1),ROUND($F51*V51,2))</f>
        <v>0</v>
      </c>
      <c r="P51" s="163">
        <f>IF(OR($D51={"开弈信息","开弈投资","开弈人才","开弈营销","开弈人力资源","弈工分企业外包","开弈企业服务外包"}),ROUNDUP(TRUNC($F51*W51,2),1),ROUND($F51*W51,2))</f>
        <v>0</v>
      </c>
      <c r="Q51" s="163">
        <f>IF(OR($D51={"开弈信息","开弈投资","开弈人才","开弈营销","开弈人力资源","弈工分企业外包","开弈企业服务外包"}),ROUNDUP(TRUNC($F51*X51,2),1),ROUND($F51*X51,2))</f>
        <v>0</v>
      </c>
      <c r="R51" s="163">
        <f t="shared" si="10"/>
        <v>0</v>
      </c>
      <c r="S51" s="163">
        <f t="shared" si="2"/>
        <v>0</v>
      </c>
      <c r="T51" s="230"/>
      <c r="U51" s="229">
        <f>VLOOKUP($D51,'HR|社保政策'!$A:P,6,0)</f>
        <v>0.16</v>
      </c>
      <c r="V51" s="163">
        <f>VLOOKUP($D51,'HR|社保政策'!$A:Q,7,0)</f>
        <v>0.005</v>
      </c>
      <c r="W51" s="231">
        <f>VLOOKUP($D51,'HR|社保政策'!$A:R,8,0)</f>
        <v>0.002</v>
      </c>
      <c r="X51" s="163">
        <f>VLOOKUP($D51,'HR|社保政策'!$A:S,9,0)</f>
        <v>0.005</v>
      </c>
      <c r="Y51" s="163">
        <f>VLOOKUP($D51,'HR|社保政策'!$A:T,10,0)</f>
        <v>0.1</v>
      </c>
      <c r="Z51" s="163">
        <f>VLOOKUP($D51,'HR|社保政策'!$A:U,11,0)</f>
        <v>0.11</v>
      </c>
      <c r="AA51" s="163">
        <f>VLOOKUP($D51,'HR|社保政策'!$A:V,12,0)</f>
        <v>0.08</v>
      </c>
      <c r="AB51" s="163">
        <f>VLOOKUP($D51,'HR|社保政策'!$A:W,13,0)</f>
        <v>0.02</v>
      </c>
      <c r="AC51" s="163">
        <f>VLOOKUP($D51,'HR|社保政策'!$A:X,14,0)</f>
        <v>0</v>
      </c>
      <c r="AD51" s="232">
        <f>VLOOKUP($D51,'HR|社保政策'!$A:Y,15,0)</f>
        <v>0.005</v>
      </c>
      <c r="AE51" s="163">
        <f>VLOOKUP($D51,'HR|社保政策'!$A:Z,16,0)</f>
        <v>0.11</v>
      </c>
      <c r="AF51" s="233"/>
      <c r="AG51" s="163">
        <f t="shared" si="3"/>
        <v>0</v>
      </c>
      <c r="AH51" s="163">
        <f t="shared" si="4"/>
        <v>0</v>
      </c>
      <c r="AI51" s="228">
        <f t="shared" si="5"/>
        <v>0</v>
      </c>
      <c r="AJ51" s="234"/>
      <c r="AK51" s="234"/>
      <c r="AL51" s="234" t="str">
        <f t="shared" si="22"/>
        <v>天津英才</v>
      </c>
      <c r="AM51" s="234"/>
      <c r="AN51" s="234"/>
      <c r="AO51" s="234" t="str">
        <f>VLOOKUP(B51,薪酬明细!I:I,1,0)</f>
        <v>王倩</v>
      </c>
      <c r="AP51" s="201" t="str">
        <f>VLOOKUP(C51,薪酬明细!A:A,1,0)</f>
        <v>天津英才王倩</v>
      </c>
      <c r="AQ51" s="201" t="str">
        <f t="shared" si="6"/>
        <v>天津英才王倩</v>
      </c>
      <c r="AS51" s="201">
        <f>H51+I51+J51+K51+L51</f>
        <v>0</v>
      </c>
      <c r="AT51" s="201">
        <f>AR51-AS51</f>
        <v>0</v>
      </c>
      <c r="AW51" s="201" t="e">
        <f>VLOOKUP(C51,薪酬明细!A:A,2,0)</f>
        <v>#REF!</v>
      </c>
      <c r="AX51" s="201" t="b">
        <f t="shared" si="7"/>
        <v>0</v>
      </c>
      <c r="AY51" s="201" t="b">
        <f t="shared" si="8"/>
        <v>1</v>
      </c>
    </row>
    <row r="52" s="201" customFormat="1" spans="1:51">
      <c r="A52" s="163" t="s">
        <v>76</v>
      </c>
      <c r="B52" s="163" t="s">
        <v>517</v>
      </c>
      <c r="C52" s="163" t="str">
        <f t="shared" si="0"/>
        <v>弈工分文化季文菊</v>
      </c>
      <c r="D52" s="163" t="s">
        <v>623</v>
      </c>
      <c r="E52" s="163"/>
      <c r="F52" s="228">
        <v>0</v>
      </c>
      <c r="G52" s="228">
        <v>0</v>
      </c>
      <c r="H52" s="229">
        <f>ROUND($F52*AA52,2)</f>
        <v>0</v>
      </c>
      <c r="I52" s="163">
        <f>ROUND($F52*AB52,2)</f>
        <v>0</v>
      </c>
      <c r="J52" s="163">
        <f>ROUND($F52*AD52,2)</f>
        <v>0</v>
      </c>
      <c r="K52" s="163">
        <f t="shared" si="9"/>
        <v>0</v>
      </c>
      <c r="L52" s="230">
        <f t="shared" si="1"/>
        <v>0</v>
      </c>
      <c r="M52" s="229">
        <f>ROUND($F52*U52,2)</f>
        <v>0</v>
      </c>
      <c r="N52" s="163">
        <f>ROUND($F52*Y52,2)</f>
        <v>0</v>
      </c>
      <c r="O52" s="163">
        <f>ROUND($F52*V52,2)</f>
        <v>0</v>
      </c>
      <c r="P52" s="163">
        <f>ROUND($F52*W52,2)</f>
        <v>0</v>
      </c>
      <c r="Q52" s="163">
        <f>ROUND($F52*X52,2)</f>
        <v>0</v>
      </c>
      <c r="R52" s="163">
        <f t="shared" si="10"/>
        <v>0</v>
      </c>
      <c r="S52" s="163">
        <f t="shared" si="2"/>
        <v>0</v>
      </c>
      <c r="T52" s="230"/>
      <c r="U52" s="229">
        <f>VLOOKUP($D52,'HR|社保政策'!$A:P,6,0)</f>
        <v>0</v>
      </c>
      <c r="V52" s="163">
        <f>VLOOKUP($D52,'HR|社保政策'!$A:Q,7,0)</f>
        <v>0</v>
      </c>
      <c r="W52" s="231">
        <f>VLOOKUP($D52,'HR|社保政策'!$A:R,8,0)</f>
        <v>0</v>
      </c>
      <c r="X52" s="163">
        <f>VLOOKUP($D52,'HR|社保政策'!$A:S,9,0)</f>
        <v>0</v>
      </c>
      <c r="Y52" s="163">
        <f>VLOOKUP($D52,'HR|社保政策'!$A:T,10,0)</f>
        <v>0</v>
      </c>
      <c r="Z52" s="163">
        <f>VLOOKUP($D52,'HR|社保政策'!$A:U,11,0)</f>
        <v>0</v>
      </c>
      <c r="AA52" s="163">
        <f>VLOOKUP($D52,'HR|社保政策'!$A:V,12,0)</f>
        <v>0</v>
      </c>
      <c r="AB52" s="163">
        <f>VLOOKUP($D52,'HR|社保政策'!$A:W,13,0)</f>
        <v>0</v>
      </c>
      <c r="AC52" s="163">
        <f>VLOOKUP($D52,'HR|社保政策'!$A:X,14,0)</f>
        <v>0</v>
      </c>
      <c r="AD52" s="232">
        <f>VLOOKUP($D52,'HR|社保政策'!$A:Y,15,0)</f>
        <v>0</v>
      </c>
      <c r="AE52" s="163">
        <f>VLOOKUP($D52,'HR|社保政策'!$A:Z,16,0)</f>
        <v>0</v>
      </c>
      <c r="AF52" s="233"/>
      <c r="AG52" s="163">
        <f t="shared" si="3"/>
        <v>0</v>
      </c>
      <c r="AH52" s="163">
        <f t="shared" si="4"/>
        <v>0</v>
      </c>
      <c r="AI52" s="228">
        <f t="shared" si="5"/>
        <v>0</v>
      </c>
      <c r="AJ52" s="234"/>
      <c r="AK52" s="234"/>
      <c r="AL52" s="234"/>
      <c r="AM52" s="234"/>
      <c r="AN52" s="234"/>
      <c r="AO52" s="234" t="str">
        <f>VLOOKUP(B52,薪酬明细!I:I,1,0)</f>
        <v>季文菊</v>
      </c>
      <c r="AP52" s="201" t="str">
        <f>VLOOKUP(C52,薪酬明细!A:A,1,0)</f>
        <v>弈工分文化季文菊</v>
      </c>
      <c r="AQ52" s="201" t="str">
        <f t="shared" si="6"/>
        <v>弈工分文化季文菊</v>
      </c>
      <c r="AR52" s="201">
        <v>0</v>
      </c>
      <c r="AS52" s="201">
        <f>H52+I52+J52+K52+L52</f>
        <v>0</v>
      </c>
      <c r="AT52" s="201">
        <f>AR52-AS52</f>
        <v>0</v>
      </c>
      <c r="AU52" s="201">
        <v>0</v>
      </c>
      <c r="AV52" s="201">
        <f>AU52-M52-N52-O52-P52-Q52-R52-S52</f>
        <v>0</v>
      </c>
      <c r="AW52" s="201" t="e">
        <f>VLOOKUP(C52,薪酬明细!A:A,2,0)</f>
        <v>#REF!</v>
      </c>
      <c r="AX52" s="201" t="b">
        <f t="shared" si="7"/>
        <v>0</v>
      </c>
      <c r="AY52" s="201" t="b">
        <f t="shared" si="8"/>
        <v>1</v>
      </c>
    </row>
    <row r="53" s="201" customFormat="1" spans="1:51">
      <c r="A53" s="163" t="s">
        <v>65</v>
      </c>
      <c r="B53" s="163" t="s">
        <v>453</v>
      </c>
      <c r="C53" s="163" t="str">
        <f t="shared" si="0"/>
        <v>弈享天津周梓荣</v>
      </c>
      <c r="D53" s="163" t="s">
        <v>629</v>
      </c>
      <c r="E53" s="163"/>
      <c r="F53" s="228">
        <v>0</v>
      </c>
      <c r="G53" s="228">
        <v>0</v>
      </c>
      <c r="H53" s="229"/>
      <c r="I53" s="163"/>
      <c r="J53" s="163"/>
      <c r="K53" s="163"/>
      <c r="L53" s="230"/>
      <c r="M53" s="229"/>
      <c r="N53" s="163"/>
      <c r="O53" s="163"/>
      <c r="P53" s="163"/>
      <c r="Q53" s="163"/>
      <c r="R53" s="163"/>
      <c r="S53" s="163"/>
      <c r="T53" s="230"/>
      <c r="U53" s="229"/>
      <c r="V53" s="163"/>
      <c r="W53" s="231"/>
      <c r="X53" s="163"/>
      <c r="Y53" s="163"/>
      <c r="Z53" s="163"/>
      <c r="AA53" s="163"/>
      <c r="AB53" s="163"/>
      <c r="AC53" s="163"/>
      <c r="AD53" s="232"/>
      <c r="AE53" s="163"/>
      <c r="AF53" s="233"/>
      <c r="AG53" s="163"/>
      <c r="AH53" s="163"/>
      <c r="AI53" s="228"/>
      <c r="AJ53" s="234"/>
      <c r="AK53" s="234"/>
      <c r="AL53" s="234" t="str">
        <f>A53</f>
        <v>弈享天津</v>
      </c>
      <c r="AM53" s="234"/>
      <c r="AN53" s="234"/>
      <c r="AO53" s="234" t="str">
        <f>VLOOKUP(B53,薪酬明细!I:I,1,0)</f>
        <v>周梓荣</v>
      </c>
      <c r="AP53" s="201" t="str">
        <f>VLOOKUP(C53,薪酬明细!A:A,1,0)</f>
        <v>弈享天津周梓荣</v>
      </c>
      <c r="AQ53" s="201" t="str">
        <f t="shared" si="6"/>
        <v>弈享天津周梓荣</v>
      </c>
      <c r="AW53" s="201" t="e">
        <f>VLOOKUP(C53,薪酬明细!A:A,2,0)</f>
        <v>#REF!</v>
      </c>
      <c r="AX53" s="201" t="b">
        <f t="shared" si="7"/>
        <v>0</v>
      </c>
      <c r="AY53" s="201" t="b">
        <f t="shared" si="8"/>
        <v>1</v>
      </c>
    </row>
    <row r="54" s="201" customFormat="1" spans="1:51">
      <c r="A54" s="163" t="s">
        <v>61</v>
      </c>
      <c r="B54" s="163" t="s">
        <v>632</v>
      </c>
      <c r="C54" s="163" t="str">
        <f t="shared" si="0"/>
        <v>开弈人力资源李欣怡</v>
      </c>
      <c r="D54" s="163" t="s">
        <v>61</v>
      </c>
      <c r="E54" s="163"/>
      <c r="F54" s="228">
        <v>7460</v>
      </c>
      <c r="G54" s="228">
        <v>7384</v>
      </c>
      <c r="H54" s="229">
        <f t="shared" ref="H54:H105" si="23">ROUND($F54*AA54,2)</f>
        <v>596.8</v>
      </c>
      <c r="I54" s="163">
        <f t="shared" ref="I54:I105" si="24">ROUND($F54*AB54,2)</f>
        <v>149.2</v>
      </c>
      <c r="J54" s="163">
        <f t="shared" ref="J54:J105" si="25">ROUND($F54*AD54,2)</f>
        <v>37.3</v>
      </c>
      <c r="K54" s="163">
        <f t="shared" ref="K54:K105" si="26">IF(D54="深圳",ROUND(G54*AE54,1),ROUND(G54*AE54,0))</f>
        <v>517</v>
      </c>
      <c r="L54" s="230">
        <f t="shared" ref="L54:L105" si="27">ROUND(G54*AF54,0)</f>
        <v>0</v>
      </c>
      <c r="M54" s="229">
        <f t="shared" ref="M54:M105" si="28">ROUND($F54*U54,2)</f>
        <v>1193.6</v>
      </c>
      <c r="N54" s="163">
        <f t="shared" ref="N54:N105" si="29">ROUND($F54*Y54,2)</f>
        <v>596.8</v>
      </c>
      <c r="O54" s="163">
        <f t="shared" ref="O54:O105" si="30">ROUND($F54*V54,2)</f>
        <v>37.3</v>
      </c>
      <c r="P54" s="163">
        <f t="shared" ref="P54:P105" si="31">ROUND($F54*W54,2)</f>
        <v>23.87</v>
      </c>
      <c r="Q54" s="163">
        <f t="shared" ref="Q54:Q105" si="32">ROUND($F54*X54,2)</f>
        <v>74.6</v>
      </c>
      <c r="R54" s="163">
        <f t="shared" ref="R54:R105" si="33">K54</f>
        <v>517</v>
      </c>
      <c r="S54" s="163">
        <f t="shared" ref="S54:S105" si="34">L54</f>
        <v>0</v>
      </c>
      <c r="T54" s="230"/>
      <c r="U54" s="229">
        <f>VLOOKUP($D54,'HR|社保政策'!$A:P,6,0)</f>
        <v>0.16</v>
      </c>
      <c r="V54" s="163">
        <f>VLOOKUP($D54,'HR|社保政策'!$A:Q,7,0)</f>
        <v>0.005</v>
      </c>
      <c r="W54" s="231">
        <f>VLOOKUP($D54,'HR|社保政策'!$A:R,8,0)</f>
        <v>0.0032</v>
      </c>
      <c r="X54" s="163">
        <f>VLOOKUP($D54,'HR|社保政策'!$A:S,9,0)</f>
        <v>0.01</v>
      </c>
      <c r="Y54" s="163">
        <v>0.08</v>
      </c>
      <c r="Z54" s="163">
        <f>VLOOKUP($D54,'HR|社保政策'!$A:U,11,0)</f>
        <v>0.07</v>
      </c>
      <c r="AA54" s="163">
        <f>VLOOKUP($D54,'HR|社保政策'!$A:V,12,0)</f>
        <v>0.08</v>
      </c>
      <c r="AB54" s="163">
        <f>VLOOKUP($D54,'HR|社保政策'!$A:W,13,0)</f>
        <v>0.02</v>
      </c>
      <c r="AC54" s="163">
        <f>VLOOKUP($D54,'HR|社保政策'!$A:X,14,0)</f>
        <v>0</v>
      </c>
      <c r="AD54" s="232">
        <f>VLOOKUP($D54,'HR|社保政策'!$A:Y,15,0)</f>
        <v>0.005</v>
      </c>
      <c r="AE54" s="163">
        <f>VLOOKUP($D54,'HR|社保政策'!$A:Z,16,0)</f>
        <v>0.07</v>
      </c>
      <c r="AF54" s="233"/>
      <c r="AG54" s="163">
        <f t="shared" ref="AG54:AG78" si="35">H54+I54+J54+K54+L54</f>
        <v>1300.3</v>
      </c>
      <c r="AH54" s="163">
        <f t="shared" ref="AH54:AH78" si="36">M54+N54+O54+P54+Q54+R54+S54</f>
        <v>2443.17</v>
      </c>
      <c r="AI54" s="228">
        <f t="shared" ref="AI54:AI78" si="37">AG54+AH54</f>
        <v>3743.47</v>
      </c>
      <c r="AJ54" s="234"/>
      <c r="AK54" s="234"/>
      <c r="AL54" s="234"/>
      <c r="AM54" s="234"/>
      <c r="AN54" s="234"/>
      <c r="AO54" s="234" t="e">
        <f>VLOOKUP(B54,薪酬明细!I:I,1,0)</f>
        <v>#N/A</v>
      </c>
      <c r="AP54" s="201" t="e">
        <f>VLOOKUP(C54,薪酬明细!A:A,1,0)</f>
        <v>#N/A</v>
      </c>
      <c r="AQ54" s="201" t="str">
        <f t="shared" si="6"/>
        <v>开弈人力资源李欣怡</v>
      </c>
      <c r="AR54" s="201">
        <v>1140.6</v>
      </c>
      <c r="AS54" s="201">
        <f t="shared" ref="AS54:AS117" si="38">H54+I54+J54+K54+L54</f>
        <v>1300.3</v>
      </c>
      <c r="AT54" s="201">
        <f t="shared" ref="AT54:AT117" si="39">AR54-AS54</f>
        <v>-159.7</v>
      </c>
      <c r="AU54" s="201">
        <v>2200.49</v>
      </c>
      <c r="AV54" s="201">
        <f t="shared" ref="AV54:AV117" si="40">AU54-M54-N54-O54-P54-Q54-R54-S54</f>
        <v>-242.68</v>
      </c>
      <c r="AW54" s="201" t="e">
        <f>VLOOKUP(C54,薪酬明细!A:A,2,0)</f>
        <v>#N/A</v>
      </c>
      <c r="AX54" s="201" t="b">
        <f t="shared" si="7"/>
        <v>1</v>
      </c>
      <c r="AY54" s="201" t="b">
        <f t="shared" si="8"/>
        <v>1</v>
      </c>
    </row>
    <row r="55" s="201" customFormat="1" spans="1:51">
      <c r="A55" s="163" t="s">
        <v>61</v>
      </c>
      <c r="B55" s="163" t="s">
        <v>429</v>
      </c>
      <c r="C55" s="163" t="str">
        <f t="shared" si="0"/>
        <v>开弈人力资源张家喜</v>
      </c>
      <c r="D55" s="163" t="s">
        <v>61</v>
      </c>
      <c r="E55" s="163" t="s">
        <v>263</v>
      </c>
      <c r="F55" s="228">
        <v>7460</v>
      </c>
      <c r="G55" s="228"/>
      <c r="H55" s="229">
        <f t="shared" si="23"/>
        <v>596.8</v>
      </c>
      <c r="I55" s="163">
        <f t="shared" si="24"/>
        <v>149.2</v>
      </c>
      <c r="J55" s="163">
        <f t="shared" si="25"/>
        <v>37.3</v>
      </c>
      <c r="K55" s="163">
        <f t="shared" si="26"/>
        <v>0</v>
      </c>
      <c r="L55" s="230">
        <f t="shared" si="27"/>
        <v>0</v>
      </c>
      <c r="M55" s="229">
        <f t="shared" si="28"/>
        <v>1193.6</v>
      </c>
      <c r="N55" s="163">
        <f t="shared" si="29"/>
        <v>596.8</v>
      </c>
      <c r="O55" s="163">
        <f t="shared" si="30"/>
        <v>37.3</v>
      </c>
      <c r="P55" s="163">
        <f t="shared" si="31"/>
        <v>23.87</v>
      </c>
      <c r="Q55" s="163">
        <f t="shared" si="32"/>
        <v>74.6</v>
      </c>
      <c r="R55" s="163">
        <f t="shared" si="33"/>
        <v>0</v>
      </c>
      <c r="S55" s="163">
        <f t="shared" si="34"/>
        <v>0</v>
      </c>
      <c r="T55" s="230"/>
      <c r="U55" s="229">
        <f>VLOOKUP($D55,'HR|社保政策'!$A:P,6,0)</f>
        <v>0.16</v>
      </c>
      <c r="V55" s="163">
        <f>VLOOKUP($D55,'HR|社保政策'!$A:Q,7,0)</f>
        <v>0.005</v>
      </c>
      <c r="W55" s="231">
        <f>VLOOKUP($D55,'HR|社保政策'!$A:R,8,0)</f>
        <v>0.0032</v>
      </c>
      <c r="X55" s="163">
        <f>VLOOKUP($D55,'HR|社保政策'!$A:S,9,0)</f>
        <v>0.01</v>
      </c>
      <c r="Y55" s="163">
        <v>0.08</v>
      </c>
      <c r="Z55" s="163">
        <f>VLOOKUP($D55,'HR|社保政策'!$A:U,11,0)</f>
        <v>0.07</v>
      </c>
      <c r="AA55" s="163">
        <f>VLOOKUP($D55,'HR|社保政策'!$A:V,12,0)</f>
        <v>0.08</v>
      </c>
      <c r="AB55" s="163">
        <f>VLOOKUP($D55,'HR|社保政策'!$A:W,13,0)</f>
        <v>0.02</v>
      </c>
      <c r="AC55" s="163">
        <f>VLOOKUP($D55,'HR|社保政策'!$A:X,14,0)</f>
        <v>0</v>
      </c>
      <c r="AD55" s="232">
        <f>VLOOKUP($D55,'HR|社保政策'!$A:Y,15,0)</f>
        <v>0.005</v>
      </c>
      <c r="AE55" s="163">
        <f>VLOOKUP($D55,'HR|社保政策'!$A:Z,16,0)</f>
        <v>0.07</v>
      </c>
      <c r="AF55" s="233"/>
      <c r="AG55" s="163">
        <f t="shared" si="35"/>
        <v>783.3</v>
      </c>
      <c r="AH55" s="163">
        <f t="shared" si="36"/>
        <v>1926.17</v>
      </c>
      <c r="AI55" s="228">
        <f t="shared" si="37"/>
        <v>2709.47</v>
      </c>
      <c r="AJ55" s="234"/>
      <c r="AK55" s="234"/>
      <c r="AL55" s="234"/>
      <c r="AM55" s="234"/>
      <c r="AN55" s="234"/>
      <c r="AO55" s="234" t="str">
        <f>VLOOKUP(B55,薪酬明细!I:I,1,0)</f>
        <v>张家喜</v>
      </c>
      <c r="AP55" s="201" t="str">
        <f>VLOOKUP(C55,薪酬明细!A:A,1,0)</f>
        <v>开弈人力资源张家喜</v>
      </c>
      <c r="AQ55" s="201" t="str">
        <f t="shared" si="6"/>
        <v>开弈人力资源张家喜</v>
      </c>
      <c r="AR55" s="201">
        <v>684.6</v>
      </c>
      <c r="AS55" s="201">
        <f t="shared" si="38"/>
        <v>783.3</v>
      </c>
      <c r="AT55" s="201">
        <f t="shared" si="39"/>
        <v>-98.6999999999999</v>
      </c>
      <c r="AU55" s="201">
        <v>1738.3</v>
      </c>
      <c r="AV55" s="201">
        <f t="shared" si="40"/>
        <v>-187.87</v>
      </c>
      <c r="AW55" s="201" t="e">
        <f>VLOOKUP(C55,薪酬明细!A:A,2,0)</f>
        <v>#REF!</v>
      </c>
      <c r="AX55" s="201" t="b">
        <f t="shared" si="7"/>
        <v>1</v>
      </c>
      <c r="AY55" s="201" t="b">
        <f t="shared" si="8"/>
        <v>1</v>
      </c>
    </row>
    <row r="56" s="201" customFormat="1" spans="1:51">
      <c r="A56" s="163" t="s">
        <v>63</v>
      </c>
      <c r="B56" s="163" t="s">
        <v>324</v>
      </c>
      <c r="C56" s="163" t="str">
        <f t="shared" si="0"/>
        <v>靠普人力毛华英</v>
      </c>
      <c r="D56" s="163" t="s">
        <v>32</v>
      </c>
      <c r="E56" s="163"/>
      <c r="F56" s="228">
        <v>7460</v>
      </c>
      <c r="G56" s="228">
        <v>7384</v>
      </c>
      <c r="H56" s="229">
        <f t="shared" si="23"/>
        <v>596.8</v>
      </c>
      <c r="I56" s="163">
        <f t="shared" si="24"/>
        <v>149.2</v>
      </c>
      <c r="J56" s="163">
        <f t="shared" si="25"/>
        <v>37.3</v>
      </c>
      <c r="K56" s="163">
        <f t="shared" si="26"/>
        <v>517</v>
      </c>
      <c r="L56" s="230">
        <f t="shared" si="27"/>
        <v>0</v>
      </c>
      <c r="M56" s="229">
        <f t="shared" si="28"/>
        <v>1193.6</v>
      </c>
      <c r="N56" s="163">
        <f t="shared" si="29"/>
        <v>596.8</v>
      </c>
      <c r="O56" s="163">
        <f t="shared" si="30"/>
        <v>37.3</v>
      </c>
      <c r="P56" s="163">
        <f t="shared" si="31"/>
        <v>23.87</v>
      </c>
      <c r="Q56" s="163">
        <f t="shared" si="32"/>
        <v>74.6</v>
      </c>
      <c r="R56" s="163">
        <f t="shared" si="33"/>
        <v>517</v>
      </c>
      <c r="S56" s="163">
        <f t="shared" si="34"/>
        <v>0</v>
      </c>
      <c r="T56" s="230"/>
      <c r="U56" s="229">
        <f>VLOOKUP($D56,'HR|社保政策'!$A:P,6,0)</f>
        <v>0.16</v>
      </c>
      <c r="V56" s="163">
        <f>VLOOKUP($D56,'HR|社保政策'!$A:Q,7,0)</f>
        <v>0.005</v>
      </c>
      <c r="W56" s="231">
        <f>VLOOKUP($D56,'HR|社保政策'!$A:R,8,0)</f>
        <v>0.0032</v>
      </c>
      <c r="X56" s="163">
        <f>VLOOKUP($D56,'HR|社保政策'!$A:S,9,0)</f>
        <v>0.01</v>
      </c>
      <c r="Y56" s="163">
        <v>0.08</v>
      </c>
      <c r="Z56" s="163">
        <f>VLOOKUP($D56,'HR|社保政策'!$A:U,11,0)</f>
        <v>0.07</v>
      </c>
      <c r="AA56" s="163">
        <f>VLOOKUP($D56,'HR|社保政策'!$A:V,12,0)</f>
        <v>0.08</v>
      </c>
      <c r="AB56" s="163">
        <f>VLOOKUP($D56,'HR|社保政策'!$A:W,13,0)</f>
        <v>0.02</v>
      </c>
      <c r="AC56" s="163">
        <f>VLOOKUP($D56,'HR|社保政策'!$A:X,14,0)</f>
        <v>0</v>
      </c>
      <c r="AD56" s="232">
        <f>VLOOKUP($D56,'HR|社保政策'!$A:Y,15,0)</f>
        <v>0.005</v>
      </c>
      <c r="AE56" s="163">
        <f>VLOOKUP($D56,'HR|社保政策'!$A:Z,16,0)</f>
        <v>0.07</v>
      </c>
      <c r="AF56" s="233"/>
      <c r="AG56" s="163">
        <f t="shared" si="35"/>
        <v>1300.3</v>
      </c>
      <c r="AH56" s="163">
        <f t="shared" si="36"/>
        <v>2443.17</v>
      </c>
      <c r="AI56" s="228">
        <f t="shared" si="37"/>
        <v>3743.47</v>
      </c>
      <c r="AJ56" s="234"/>
      <c r="AK56" s="234"/>
      <c r="AL56" s="234"/>
      <c r="AM56" s="234"/>
      <c r="AN56" s="234"/>
      <c r="AO56" s="234" t="str">
        <f>VLOOKUP(B56,薪酬明细!I:I,1,0)</f>
        <v>毛华英</v>
      </c>
      <c r="AP56" s="201" t="str">
        <f>VLOOKUP(C56,薪酬明细!A:A,1,0)</f>
        <v>靠普人力毛华英</v>
      </c>
      <c r="AQ56" s="201" t="str">
        <f t="shared" si="6"/>
        <v>靠普人力毛华英</v>
      </c>
      <c r="AR56" s="201">
        <v>0</v>
      </c>
      <c r="AS56" s="201">
        <f t="shared" si="38"/>
        <v>1300.3</v>
      </c>
      <c r="AT56" s="201">
        <f t="shared" si="39"/>
        <v>-1300.3</v>
      </c>
      <c r="AU56" s="201">
        <v>0</v>
      </c>
      <c r="AV56" s="201">
        <f t="shared" si="40"/>
        <v>-2443.17</v>
      </c>
      <c r="AW56" s="201" t="e">
        <f>VLOOKUP(C56,薪酬明细!A:A,2,0)</f>
        <v>#REF!</v>
      </c>
      <c r="AX56" s="201" t="b">
        <f t="shared" si="7"/>
        <v>0</v>
      </c>
      <c r="AY56" s="201" t="b">
        <f t="shared" si="8"/>
        <v>1</v>
      </c>
    </row>
    <row r="57" s="201" customFormat="1" spans="1:51">
      <c r="A57" s="163" t="s">
        <v>61</v>
      </c>
      <c r="B57" s="163" t="s">
        <v>633</v>
      </c>
      <c r="C57" s="163" t="str">
        <f t="shared" si="0"/>
        <v>开弈人力资源俞慧敏</v>
      </c>
      <c r="D57" s="163" t="s">
        <v>61</v>
      </c>
      <c r="E57" s="163"/>
      <c r="F57" s="228">
        <v>7460</v>
      </c>
      <c r="G57" s="228">
        <v>7384</v>
      </c>
      <c r="H57" s="229">
        <f t="shared" si="23"/>
        <v>596.8</v>
      </c>
      <c r="I57" s="163">
        <f t="shared" si="24"/>
        <v>149.2</v>
      </c>
      <c r="J57" s="163">
        <f t="shared" si="25"/>
        <v>37.3</v>
      </c>
      <c r="K57" s="163">
        <f t="shared" si="26"/>
        <v>517</v>
      </c>
      <c r="L57" s="230">
        <f t="shared" si="27"/>
        <v>0</v>
      </c>
      <c r="M57" s="229">
        <f t="shared" si="28"/>
        <v>1193.6</v>
      </c>
      <c r="N57" s="163">
        <f t="shared" si="29"/>
        <v>596.8</v>
      </c>
      <c r="O57" s="163">
        <f t="shared" si="30"/>
        <v>37.3</v>
      </c>
      <c r="P57" s="163">
        <f t="shared" si="31"/>
        <v>23.87</v>
      </c>
      <c r="Q57" s="163">
        <f t="shared" si="32"/>
        <v>74.6</v>
      </c>
      <c r="R57" s="163">
        <f t="shared" si="33"/>
        <v>517</v>
      </c>
      <c r="S57" s="163">
        <f t="shared" si="34"/>
        <v>0</v>
      </c>
      <c r="T57" s="230"/>
      <c r="U57" s="229">
        <f>VLOOKUP($D57,'HR|社保政策'!$A:P,6,0)</f>
        <v>0.16</v>
      </c>
      <c r="V57" s="163">
        <f>VLOOKUP($D57,'HR|社保政策'!$A:Q,7,0)</f>
        <v>0.005</v>
      </c>
      <c r="W57" s="231">
        <f>VLOOKUP($D57,'HR|社保政策'!$A:R,8,0)</f>
        <v>0.0032</v>
      </c>
      <c r="X57" s="163">
        <f>VLOOKUP($D57,'HR|社保政策'!$A:S,9,0)</f>
        <v>0.01</v>
      </c>
      <c r="Y57" s="163">
        <v>0.08</v>
      </c>
      <c r="Z57" s="163">
        <f>VLOOKUP($D57,'HR|社保政策'!$A:U,11,0)</f>
        <v>0.07</v>
      </c>
      <c r="AA57" s="163">
        <f>VLOOKUP($D57,'HR|社保政策'!$A:V,12,0)</f>
        <v>0.08</v>
      </c>
      <c r="AB57" s="163">
        <f>VLOOKUP($D57,'HR|社保政策'!$A:W,13,0)</f>
        <v>0.02</v>
      </c>
      <c r="AC57" s="163">
        <f>VLOOKUP($D57,'HR|社保政策'!$A:X,14,0)</f>
        <v>0</v>
      </c>
      <c r="AD57" s="232">
        <f>VLOOKUP($D57,'HR|社保政策'!$A:Y,15,0)</f>
        <v>0.005</v>
      </c>
      <c r="AE57" s="163">
        <f>VLOOKUP($D57,'HR|社保政策'!$A:Z,16,0)</f>
        <v>0.07</v>
      </c>
      <c r="AF57" s="233"/>
      <c r="AG57" s="163">
        <f t="shared" si="35"/>
        <v>1300.3</v>
      </c>
      <c r="AH57" s="163">
        <f t="shared" si="36"/>
        <v>2443.17</v>
      </c>
      <c r="AI57" s="228">
        <f t="shared" si="37"/>
        <v>3743.47</v>
      </c>
      <c r="AJ57" s="234"/>
      <c r="AK57" s="234"/>
      <c r="AL57" s="234"/>
      <c r="AM57" s="234"/>
      <c r="AN57" s="234"/>
      <c r="AO57" s="234" t="e">
        <f>VLOOKUP(B57,薪酬明细!I:I,1,0)</f>
        <v>#N/A</v>
      </c>
      <c r="AP57" s="201" t="e">
        <f>VLOOKUP(C57,薪酬明细!A:A,1,0)</f>
        <v>#N/A</v>
      </c>
      <c r="AQ57" s="201" t="str">
        <f t="shared" si="6"/>
        <v>开弈人力资源俞慧敏</v>
      </c>
      <c r="AR57" s="201">
        <v>0</v>
      </c>
      <c r="AS57" s="201">
        <f t="shared" si="38"/>
        <v>1300.3</v>
      </c>
      <c r="AT57" s="201">
        <f t="shared" si="39"/>
        <v>-1300.3</v>
      </c>
      <c r="AU57" s="201">
        <v>0</v>
      </c>
      <c r="AV57" s="201">
        <f t="shared" si="40"/>
        <v>-2443.17</v>
      </c>
      <c r="AW57" s="201" t="e">
        <f>VLOOKUP(C57,薪酬明细!A:A,2,0)</f>
        <v>#N/A</v>
      </c>
      <c r="AX57" s="201" t="b">
        <f t="shared" si="7"/>
        <v>1</v>
      </c>
      <c r="AY57" s="201" t="b">
        <f t="shared" si="8"/>
        <v>1</v>
      </c>
    </row>
    <row r="58" s="201" customFormat="1" spans="1:51">
      <c r="A58" s="163" t="s">
        <v>61</v>
      </c>
      <c r="B58" s="163" t="s">
        <v>290</v>
      </c>
      <c r="C58" s="163" t="str">
        <f t="shared" si="0"/>
        <v>开弈人力资源施宏宇</v>
      </c>
      <c r="D58" s="163" t="s">
        <v>61</v>
      </c>
      <c r="E58" s="163" t="s">
        <v>263</v>
      </c>
      <c r="F58" s="228">
        <v>7460</v>
      </c>
      <c r="G58" s="228">
        <v>2690</v>
      </c>
      <c r="H58" s="229">
        <f t="shared" si="23"/>
        <v>596.8</v>
      </c>
      <c r="I58" s="163">
        <f t="shared" si="24"/>
        <v>149.2</v>
      </c>
      <c r="J58" s="163">
        <f t="shared" si="25"/>
        <v>37.3</v>
      </c>
      <c r="K58" s="163">
        <f t="shared" si="26"/>
        <v>188</v>
      </c>
      <c r="L58" s="230">
        <f t="shared" si="27"/>
        <v>0</v>
      </c>
      <c r="M58" s="229">
        <f t="shared" si="28"/>
        <v>1193.6</v>
      </c>
      <c r="N58" s="163">
        <f t="shared" si="29"/>
        <v>596.8</v>
      </c>
      <c r="O58" s="163">
        <f t="shared" si="30"/>
        <v>37.3</v>
      </c>
      <c r="P58" s="163">
        <f t="shared" si="31"/>
        <v>23.87</v>
      </c>
      <c r="Q58" s="163">
        <f t="shared" si="32"/>
        <v>74.6</v>
      </c>
      <c r="R58" s="163">
        <f t="shared" si="33"/>
        <v>188</v>
      </c>
      <c r="S58" s="163">
        <f t="shared" si="34"/>
        <v>0</v>
      </c>
      <c r="T58" s="230"/>
      <c r="U58" s="229">
        <f>VLOOKUP($D58,'HR|社保政策'!$A:P,6,0)</f>
        <v>0.16</v>
      </c>
      <c r="V58" s="163">
        <f>VLOOKUP($D58,'HR|社保政策'!$A:Q,7,0)</f>
        <v>0.005</v>
      </c>
      <c r="W58" s="231">
        <f>VLOOKUP($D58,'HR|社保政策'!$A:R,8,0)</f>
        <v>0.0032</v>
      </c>
      <c r="X58" s="163">
        <f>VLOOKUP($D58,'HR|社保政策'!$A:S,9,0)</f>
        <v>0.01</v>
      </c>
      <c r="Y58" s="163">
        <v>0.08</v>
      </c>
      <c r="Z58" s="163">
        <f>VLOOKUP($D58,'HR|社保政策'!$A:U,11,0)</f>
        <v>0.07</v>
      </c>
      <c r="AA58" s="163">
        <f>VLOOKUP($D58,'HR|社保政策'!$A:V,12,0)</f>
        <v>0.08</v>
      </c>
      <c r="AB58" s="163">
        <f>VLOOKUP($D58,'HR|社保政策'!$A:W,13,0)</f>
        <v>0.02</v>
      </c>
      <c r="AC58" s="163">
        <f>VLOOKUP($D58,'HR|社保政策'!$A:X,14,0)</f>
        <v>0</v>
      </c>
      <c r="AD58" s="232">
        <f>VLOOKUP($D58,'HR|社保政策'!$A:Y,15,0)</f>
        <v>0.005</v>
      </c>
      <c r="AE58" s="163">
        <f>VLOOKUP($D58,'HR|社保政策'!$A:Z,16,0)</f>
        <v>0.07</v>
      </c>
      <c r="AF58" s="233"/>
      <c r="AG58" s="163">
        <f t="shared" si="35"/>
        <v>971.3</v>
      </c>
      <c r="AH58" s="163">
        <f t="shared" si="36"/>
        <v>2114.17</v>
      </c>
      <c r="AI58" s="228">
        <f t="shared" si="37"/>
        <v>3085.47</v>
      </c>
      <c r="AJ58" s="234"/>
      <c r="AK58" s="234"/>
      <c r="AL58" s="234"/>
      <c r="AM58" s="234" t="s">
        <v>273</v>
      </c>
      <c r="AN58" s="234"/>
      <c r="AO58" s="234" t="str">
        <f>VLOOKUP(B58,薪酬明细!I:I,1,0)</f>
        <v>施宏宇</v>
      </c>
      <c r="AP58" s="201" t="str">
        <f>VLOOKUP(C58,薪酬明细!A:A,1,0)</f>
        <v>开弈人力资源施宏宇</v>
      </c>
      <c r="AQ58" s="201" t="str">
        <f t="shared" si="6"/>
        <v>开弈人力资源施宏宇</v>
      </c>
      <c r="AR58" s="201">
        <v>865.6</v>
      </c>
      <c r="AS58" s="201">
        <f t="shared" si="38"/>
        <v>971.3</v>
      </c>
      <c r="AT58" s="201">
        <f t="shared" si="39"/>
        <v>-105.7</v>
      </c>
      <c r="AU58" s="201">
        <v>1925.5</v>
      </c>
      <c r="AV58" s="201">
        <f t="shared" si="40"/>
        <v>-188.67</v>
      </c>
      <c r="AW58" s="201" t="e">
        <f>VLOOKUP(C58,薪酬明细!A:A,2,0)</f>
        <v>#REF!</v>
      </c>
      <c r="AX58" s="201" t="b">
        <f t="shared" si="7"/>
        <v>1</v>
      </c>
      <c r="AY58" s="201" t="b">
        <f t="shared" si="8"/>
        <v>1</v>
      </c>
    </row>
    <row r="59" s="201" customFormat="1" spans="1:51">
      <c r="A59" s="163" t="s">
        <v>61</v>
      </c>
      <c r="B59" s="163" t="s">
        <v>284</v>
      </c>
      <c r="C59" s="163" t="str">
        <f t="shared" si="0"/>
        <v>开弈人力资源陶桔林</v>
      </c>
      <c r="D59" s="163" t="s">
        <v>61</v>
      </c>
      <c r="E59" s="163" t="s">
        <v>263</v>
      </c>
      <c r="F59" s="228">
        <v>7460</v>
      </c>
      <c r="G59" s="228">
        <v>2690</v>
      </c>
      <c r="H59" s="229">
        <f t="shared" si="23"/>
        <v>596.8</v>
      </c>
      <c r="I59" s="163">
        <f t="shared" si="24"/>
        <v>149.2</v>
      </c>
      <c r="J59" s="163">
        <f t="shared" si="25"/>
        <v>37.3</v>
      </c>
      <c r="K59" s="163">
        <f t="shared" si="26"/>
        <v>188</v>
      </c>
      <c r="L59" s="230">
        <f t="shared" si="27"/>
        <v>0</v>
      </c>
      <c r="M59" s="229">
        <f t="shared" si="28"/>
        <v>1193.6</v>
      </c>
      <c r="N59" s="163">
        <f t="shared" si="29"/>
        <v>596.8</v>
      </c>
      <c r="O59" s="163">
        <f t="shared" si="30"/>
        <v>37.3</v>
      </c>
      <c r="P59" s="163">
        <f t="shared" si="31"/>
        <v>23.87</v>
      </c>
      <c r="Q59" s="163">
        <f t="shared" si="32"/>
        <v>74.6</v>
      </c>
      <c r="R59" s="163">
        <f t="shared" si="33"/>
        <v>188</v>
      </c>
      <c r="S59" s="163">
        <f t="shared" si="34"/>
        <v>0</v>
      </c>
      <c r="T59" s="230"/>
      <c r="U59" s="229">
        <f>VLOOKUP($D59,'HR|社保政策'!$A:P,6,0)</f>
        <v>0.16</v>
      </c>
      <c r="V59" s="163">
        <f>VLOOKUP($D59,'HR|社保政策'!$A:Q,7,0)</f>
        <v>0.005</v>
      </c>
      <c r="W59" s="231">
        <f>VLOOKUP($D59,'HR|社保政策'!$A:R,8,0)</f>
        <v>0.0032</v>
      </c>
      <c r="X59" s="163">
        <f>VLOOKUP($D59,'HR|社保政策'!$A:S,9,0)</f>
        <v>0.01</v>
      </c>
      <c r="Y59" s="163">
        <v>0.08</v>
      </c>
      <c r="Z59" s="163">
        <f>VLOOKUP($D59,'HR|社保政策'!$A:U,11,0)</f>
        <v>0.07</v>
      </c>
      <c r="AA59" s="163">
        <f>VLOOKUP($D59,'HR|社保政策'!$A:V,12,0)</f>
        <v>0.08</v>
      </c>
      <c r="AB59" s="163">
        <f>VLOOKUP($D59,'HR|社保政策'!$A:W,13,0)</f>
        <v>0.02</v>
      </c>
      <c r="AC59" s="163">
        <f>VLOOKUP($D59,'HR|社保政策'!$A:X,14,0)</f>
        <v>0</v>
      </c>
      <c r="AD59" s="232">
        <f>VLOOKUP($D59,'HR|社保政策'!$A:Y,15,0)</f>
        <v>0.005</v>
      </c>
      <c r="AE59" s="163">
        <f>VLOOKUP($D59,'HR|社保政策'!$A:Z,16,0)</f>
        <v>0.07</v>
      </c>
      <c r="AF59" s="233"/>
      <c r="AG59" s="163">
        <f t="shared" si="35"/>
        <v>971.3</v>
      </c>
      <c r="AH59" s="163">
        <f t="shared" si="36"/>
        <v>2114.17</v>
      </c>
      <c r="AI59" s="228">
        <f t="shared" si="37"/>
        <v>3085.47</v>
      </c>
      <c r="AJ59" s="234"/>
      <c r="AK59" s="234"/>
      <c r="AL59" s="234"/>
      <c r="AM59" s="234" t="s">
        <v>273</v>
      </c>
      <c r="AN59" s="234"/>
      <c r="AO59" s="234" t="str">
        <f>VLOOKUP(B59,薪酬明细!I:I,1,0)</f>
        <v>陶桔林</v>
      </c>
      <c r="AP59" s="201" t="str">
        <f>VLOOKUP(C59,薪酬明细!A:A,1,0)</f>
        <v>开弈人力资源陶桔林</v>
      </c>
      <c r="AQ59" s="201" t="str">
        <f t="shared" si="6"/>
        <v>开弈人力资源陶桔林</v>
      </c>
      <c r="AR59" s="201">
        <v>865.6</v>
      </c>
      <c r="AS59" s="201">
        <f t="shared" si="38"/>
        <v>971.3</v>
      </c>
      <c r="AT59" s="201">
        <f t="shared" si="39"/>
        <v>-105.7</v>
      </c>
      <c r="AU59" s="201">
        <v>1925.5</v>
      </c>
      <c r="AV59" s="201">
        <f t="shared" si="40"/>
        <v>-188.67</v>
      </c>
      <c r="AW59" s="201" t="e">
        <f>VLOOKUP(C59,薪酬明细!A:A,2,0)</f>
        <v>#REF!</v>
      </c>
      <c r="AX59" s="201" t="b">
        <f t="shared" si="7"/>
        <v>1</v>
      </c>
      <c r="AY59" s="201" t="b">
        <f t="shared" si="8"/>
        <v>1</v>
      </c>
    </row>
    <row r="60" s="201" customFormat="1" spans="1:51">
      <c r="A60" s="163" t="s">
        <v>60</v>
      </c>
      <c r="B60" s="163" t="s">
        <v>339</v>
      </c>
      <c r="C60" s="163" t="str">
        <f t="shared" si="0"/>
        <v>开弈人才张祥</v>
      </c>
      <c r="D60" s="163" t="s">
        <v>60</v>
      </c>
      <c r="E60" s="163"/>
      <c r="F60" s="228">
        <v>7460</v>
      </c>
      <c r="G60" s="228">
        <v>7384</v>
      </c>
      <c r="H60" s="229">
        <f t="shared" si="23"/>
        <v>596.8</v>
      </c>
      <c r="I60" s="163">
        <f t="shared" si="24"/>
        <v>149.2</v>
      </c>
      <c r="J60" s="163">
        <f t="shared" si="25"/>
        <v>37.3</v>
      </c>
      <c r="K60" s="163">
        <f t="shared" si="26"/>
        <v>517</v>
      </c>
      <c r="L60" s="230">
        <f t="shared" si="27"/>
        <v>0</v>
      </c>
      <c r="M60" s="229">
        <f t="shared" si="28"/>
        <v>1193.6</v>
      </c>
      <c r="N60" s="163">
        <f t="shared" si="29"/>
        <v>596.8</v>
      </c>
      <c r="O60" s="163">
        <f t="shared" si="30"/>
        <v>37.3</v>
      </c>
      <c r="P60" s="163">
        <f t="shared" si="31"/>
        <v>23.87</v>
      </c>
      <c r="Q60" s="163">
        <f t="shared" si="32"/>
        <v>74.6</v>
      </c>
      <c r="R60" s="163">
        <f t="shared" si="33"/>
        <v>517</v>
      </c>
      <c r="S60" s="163">
        <f t="shared" si="34"/>
        <v>0</v>
      </c>
      <c r="T60" s="230"/>
      <c r="U60" s="229">
        <f>VLOOKUP($D60,'HR|社保政策'!$A:P,6,0)</f>
        <v>0.16</v>
      </c>
      <c r="V60" s="163">
        <f>VLOOKUP($D60,'HR|社保政策'!$A:Q,7,0)</f>
        <v>0.005</v>
      </c>
      <c r="W60" s="231">
        <f>VLOOKUP($D60,'HR|社保政策'!$A:R,8,0)</f>
        <v>0.0032</v>
      </c>
      <c r="X60" s="163">
        <f>VLOOKUP($D60,'HR|社保政策'!$A:S,9,0)</f>
        <v>0.01</v>
      </c>
      <c r="Y60" s="163">
        <v>0.08</v>
      </c>
      <c r="Z60" s="163">
        <f>VLOOKUP($D60,'HR|社保政策'!$A:U,11,0)</f>
        <v>0.07</v>
      </c>
      <c r="AA60" s="163">
        <f>VLOOKUP($D60,'HR|社保政策'!$A:V,12,0)</f>
        <v>0.08</v>
      </c>
      <c r="AB60" s="163">
        <f>VLOOKUP($D60,'HR|社保政策'!$A:W,13,0)</f>
        <v>0.02</v>
      </c>
      <c r="AC60" s="163">
        <f>VLOOKUP($D60,'HR|社保政策'!$A:X,14,0)</f>
        <v>0</v>
      </c>
      <c r="AD60" s="232">
        <f>VLOOKUP($D60,'HR|社保政策'!$A:Y,15,0)</f>
        <v>0.005</v>
      </c>
      <c r="AE60" s="163">
        <f>VLOOKUP($D60,'HR|社保政策'!$A:Z,16,0)</f>
        <v>0.07</v>
      </c>
      <c r="AF60" s="233"/>
      <c r="AG60" s="163">
        <f t="shared" si="35"/>
        <v>1300.3</v>
      </c>
      <c r="AH60" s="163">
        <f t="shared" si="36"/>
        <v>2443.17</v>
      </c>
      <c r="AI60" s="228">
        <f t="shared" si="37"/>
        <v>3743.47</v>
      </c>
      <c r="AJ60" s="234"/>
      <c r="AK60" s="234"/>
      <c r="AL60" s="234"/>
      <c r="AM60" s="234"/>
      <c r="AN60" s="234"/>
      <c r="AO60" s="234" t="str">
        <f>VLOOKUP(B60,薪酬明细!I:I,1,0)</f>
        <v>张祥</v>
      </c>
      <c r="AP60" s="201" t="str">
        <f>VLOOKUP(C60,薪酬明细!A:A,1,0)</f>
        <v>开弈人才张祥</v>
      </c>
      <c r="AQ60" s="201" t="str">
        <f t="shared" si="6"/>
        <v>开弈人才张祥</v>
      </c>
      <c r="AR60" s="201">
        <v>0</v>
      </c>
      <c r="AS60" s="201">
        <f t="shared" si="38"/>
        <v>1300.3</v>
      </c>
      <c r="AT60" s="201">
        <f t="shared" si="39"/>
        <v>-1300.3</v>
      </c>
      <c r="AU60" s="201">
        <v>0</v>
      </c>
      <c r="AV60" s="201">
        <f t="shared" si="40"/>
        <v>-2443.17</v>
      </c>
      <c r="AW60" s="201" t="e">
        <f>VLOOKUP(C60,薪酬明细!A:A,2,0)</f>
        <v>#REF!</v>
      </c>
      <c r="AX60" s="201" t="b">
        <f t="shared" si="7"/>
        <v>1</v>
      </c>
      <c r="AY60" s="201" t="b">
        <f t="shared" si="8"/>
        <v>1</v>
      </c>
    </row>
    <row r="61" s="201" customFormat="1" spans="1:51">
      <c r="A61" s="163" t="s">
        <v>71</v>
      </c>
      <c r="B61" s="163" t="s">
        <v>520</v>
      </c>
      <c r="C61" s="163" t="str">
        <f t="shared" si="0"/>
        <v>开弈投资李萍萍</v>
      </c>
      <c r="D61" s="163" t="s">
        <v>72</v>
      </c>
      <c r="E61" s="163"/>
      <c r="F61" s="228">
        <v>7460</v>
      </c>
      <c r="G61" s="228">
        <v>11650</v>
      </c>
      <c r="H61" s="229">
        <f t="shared" si="23"/>
        <v>596.8</v>
      </c>
      <c r="I61" s="163">
        <f t="shared" si="24"/>
        <v>149.2</v>
      </c>
      <c r="J61" s="163">
        <f t="shared" si="25"/>
        <v>37.3</v>
      </c>
      <c r="K61" s="163">
        <f t="shared" si="26"/>
        <v>816</v>
      </c>
      <c r="L61" s="230">
        <f t="shared" si="27"/>
        <v>583</v>
      </c>
      <c r="M61" s="229">
        <f t="shared" si="28"/>
        <v>1193.6</v>
      </c>
      <c r="N61" s="163">
        <f t="shared" si="29"/>
        <v>596.8</v>
      </c>
      <c r="O61" s="163">
        <f t="shared" si="30"/>
        <v>37.3</v>
      </c>
      <c r="P61" s="163">
        <f t="shared" si="31"/>
        <v>14.92</v>
      </c>
      <c r="Q61" s="163">
        <f t="shared" si="32"/>
        <v>74.6</v>
      </c>
      <c r="R61" s="163">
        <f t="shared" si="33"/>
        <v>816</v>
      </c>
      <c r="S61" s="163">
        <f t="shared" si="34"/>
        <v>583</v>
      </c>
      <c r="T61" s="230"/>
      <c r="U61" s="229">
        <f>VLOOKUP($D61,'HR|社保政策'!$A:P,6,0)</f>
        <v>0.16</v>
      </c>
      <c r="V61" s="163">
        <f>VLOOKUP($D61,'HR|社保政策'!$A:Q,7,0)</f>
        <v>0.005</v>
      </c>
      <c r="W61" s="231">
        <f>VLOOKUP($D61,'HR|社保政策'!$A:R,8,0)</f>
        <v>0.002</v>
      </c>
      <c r="X61" s="163">
        <f>VLOOKUP($D61,'HR|社保政策'!$A:S,9,0)</f>
        <v>0.01</v>
      </c>
      <c r="Y61" s="163">
        <v>0.08</v>
      </c>
      <c r="Z61" s="163">
        <f>VLOOKUP($D61,'HR|社保政策'!$A:U,11,0)</f>
        <v>0.07</v>
      </c>
      <c r="AA61" s="163">
        <f>VLOOKUP($D61,'HR|社保政策'!$A:V,12,0)</f>
        <v>0.08</v>
      </c>
      <c r="AB61" s="163">
        <f>VLOOKUP($D61,'HR|社保政策'!$A:W,13,0)</f>
        <v>0.02</v>
      </c>
      <c r="AC61" s="163">
        <f>VLOOKUP($D61,'HR|社保政策'!$A:X,14,0)</f>
        <v>0</v>
      </c>
      <c r="AD61" s="232">
        <f>VLOOKUP($D61,'HR|社保政策'!$A:Y,15,0)</f>
        <v>0.005</v>
      </c>
      <c r="AE61" s="163">
        <f>VLOOKUP($D61,'HR|社保政策'!$A:Z,16,0)</f>
        <v>0.07</v>
      </c>
      <c r="AF61" s="233">
        <v>0.05</v>
      </c>
      <c r="AG61" s="163">
        <f t="shared" si="35"/>
        <v>2182.3</v>
      </c>
      <c r="AH61" s="163">
        <f t="shared" si="36"/>
        <v>3316.22</v>
      </c>
      <c r="AI61" s="228">
        <f t="shared" si="37"/>
        <v>5498.52</v>
      </c>
      <c r="AJ61" s="234"/>
      <c r="AK61" s="234"/>
      <c r="AL61" s="234"/>
      <c r="AM61" s="234"/>
      <c r="AN61" s="234"/>
      <c r="AO61" s="234" t="str">
        <f>VLOOKUP(B61,薪酬明细!I:I,1,0)</f>
        <v>李萍萍</v>
      </c>
      <c r="AP61" s="201" t="str">
        <f>VLOOKUP(C61,薪酬明细!A:A,1,0)</f>
        <v>开弈投资李萍萍</v>
      </c>
      <c r="AQ61" s="201" t="str">
        <f t="shared" si="6"/>
        <v>开弈投资李萍萍</v>
      </c>
      <c r="AS61" s="201">
        <f t="shared" si="38"/>
        <v>2182.3</v>
      </c>
      <c r="AT61" s="201">
        <f t="shared" si="39"/>
        <v>-2182.3</v>
      </c>
      <c r="AU61" s="201">
        <v>1</v>
      </c>
      <c r="AV61" s="201">
        <f t="shared" si="40"/>
        <v>-3315.22</v>
      </c>
      <c r="AW61" s="201" t="e">
        <f>VLOOKUP(C61,薪酬明细!A:A,2,0)</f>
        <v>#REF!</v>
      </c>
      <c r="AX61" s="201" t="b">
        <f t="shared" si="7"/>
        <v>0</v>
      </c>
      <c r="AY61" s="201" t="b">
        <f t="shared" si="8"/>
        <v>1</v>
      </c>
    </row>
    <row r="62" s="201" customFormat="1" spans="1:51">
      <c r="A62" s="163" t="s">
        <v>61</v>
      </c>
      <c r="B62" s="163" t="s">
        <v>320</v>
      </c>
      <c r="C62" s="163" t="str">
        <f t="shared" si="0"/>
        <v>开弈人力资源芦智蔚</v>
      </c>
      <c r="D62" s="163" t="s">
        <v>61</v>
      </c>
      <c r="E62" s="163"/>
      <c r="F62" s="228">
        <v>10000</v>
      </c>
      <c r="G62" s="228">
        <v>10000</v>
      </c>
      <c r="H62" s="229">
        <f t="shared" si="23"/>
        <v>800</v>
      </c>
      <c r="I62" s="163">
        <f t="shared" si="24"/>
        <v>200</v>
      </c>
      <c r="J62" s="163">
        <f t="shared" si="25"/>
        <v>50</v>
      </c>
      <c r="K62" s="163">
        <f t="shared" si="26"/>
        <v>700</v>
      </c>
      <c r="L62" s="230">
        <f t="shared" si="27"/>
        <v>500</v>
      </c>
      <c r="M62" s="229">
        <f t="shared" si="28"/>
        <v>1600</v>
      </c>
      <c r="N62" s="163">
        <f t="shared" si="29"/>
        <v>800</v>
      </c>
      <c r="O62" s="163">
        <f t="shared" si="30"/>
        <v>50</v>
      </c>
      <c r="P62" s="163">
        <f t="shared" si="31"/>
        <v>32</v>
      </c>
      <c r="Q62" s="163">
        <f t="shared" si="32"/>
        <v>100</v>
      </c>
      <c r="R62" s="163">
        <f t="shared" si="33"/>
        <v>700</v>
      </c>
      <c r="S62" s="163">
        <f t="shared" si="34"/>
        <v>500</v>
      </c>
      <c r="T62" s="230"/>
      <c r="U62" s="229">
        <f>VLOOKUP($D62,'HR|社保政策'!$A:P,6,0)</f>
        <v>0.16</v>
      </c>
      <c r="V62" s="163">
        <f>VLOOKUP($D62,'HR|社保政策'!$A:Q,7,0)</f>
        <v>0.005</v>
      </c>
      <c r="W62" s="231">
        <f>VLOOKUP($D62,'HR|社保政策'!$A:R,8,0)</f>
        <v>0.0032</v>
      </c>
      <c r="X62" s="163">
        <f>VLOOKUP($D62,'HR|社保政策'!$A:S,9,0)</f>
        <v>0.01</v>
      </c>
      <c r="Y62" s="163">
        <v>0.08</v>
      </c>
      <c r="Z62" s="163">
        <f>VLOOKUP($D62,'HR|社保政策'!$A:U,11,0)</f>
        <v>0.07</v>
      </c>
      <c r="AA62" s="163">
        <f>VLOOKUP($D62,'HR|社保政策'!$A:V,12,0)</f>
        <v>0.08</v>
      </c>
      <c r="AB62" s="163">
        <f>VLOOKUP($D62,'HR|社保政策'!$A:W,13,0)</f>
        <v>0.02</v>
      </c>
      <c r="AC62" s="163">
        <f>VLOOKUP($D62,'HR|社保政策'!$A:X,14,0)</f>
        <v>0</v>
      </c>
      <c r="AD62" s="232">
        <f>VLOOKUP($D62,'HR|社保政策'!$A:Y,15,0)</f>
        <v>0.005</v>
      </c>
      <c r="AE62" s="163">
        <f>VLOOKUP($D62,'HR|社保政策'!$A:Z,16,0)</f>
        <v>0.07</v>
      </c>
      <c r="AF62" s="233">
        <v>0.05</v>
      </c>
      <c r="AG62" s="163">
        <f t="shared" si="35"/>
        <v>2250</v>
      </c>
      <c r="AH62" s="163">
        <f t="shared" si="36"/>
        <v>3782</v>
      </c>
      <c r="AI62" s="228">
        <f t="shared" si="37"/>
        <v>6032</v>
      </c>
      <c r="AJ62" s="234"/>
      <c r="AK62" s="234"/>
      <c r="AL62" s="234"/>
      <c r="AM62" s="234"/>
      <c r="AN62" s="234"/>
      <c r="AO62" s="234" t="str">
        <f>VLOOKUP(B62,薪酬明细!I:I,1,0)</f>
        <v>芦智蔚</v>
      </c>
      <c r="AP62" s="201" t="str">
        <f>VLOOKUP(C62,薪酬明细!A:A,1,0)</f>
        <v>开弈人力资源芦智蔚</v>
      </c>
      <c r="AQ62" s="201" t="str">
        <f t="shared" si="6"/>
        <v>开弈人力资源芦智蔚</v>
      </c>
      <c r="AS62" s="201">
        <f t="shared" si="38"/>
        <v>2250</v>
      </c>
      <c r="AT62" s="201">
        <f t="shared" si="39"/>
        <v>-2250</v>
      </c>
      <c r="AU62" s="201">
        <v>2</v>
      </c>
      <c r="AV62" s="201">
        <f t="shared" si="40"/>
        <v>-3780</v>
      </c>
      <c r="AW62" s="201" t="e">
        <f>VLOOKUP(C62,薪酬明细!A:A,2,0)</f>
        <v>#REF!</v>
      </c>
      <c r="AX62" s="201" t="b">
        <f t="shared" si="7"/>
        <v>1</v>
      </c>
      <c r="AY62" s="201" t="b">
        <f t="shared" si="8"/>
        <v>1</v>
      </c>
    </row>
    <row r="63" s="201" customFormat="1" spans="1:51">
      <c r="A63" s="163" t="s">
        <v>72</v>
      </c>
      <c r="B63" s="163" t="s">
        <v>525</v>
      </c>
      <c r="C63" s="163" t="str">
        <f t="shared" si="0"/>
        <v>弈工分信息武敏辉</v>
      </c>
      <c r="D63" s="163" t="s">
        <v>72</v>
      </c>
      <c r="E63" s="163"/>
      <c r="F63" s="228">
        <v>7500</v>
      </c>
      <c r="G63" s="228">
        <v>7500</v>
      </c>
      <c r="H63" s="229">
        <f t="shared" si="23"/>
        <v>600</v>
      </c>
      <c r="I63" s="163">
        <f t="shared" si="24"/>
        <v>150</v>
      </c>
      <c r="J63" s="163">
        <f t="shared" si="25"/>
        <v>37.5</v>
      </c>
      <c r="K63" s="163">
        <f t="shared" si="26"/>
        <v>525</v>
      </c>
      <c r="L63" s="230">
        <f t="shared" si="27"/>
        <v>375</v>
      </c>
      <c r="M63" s="229">
        <f t="shared" si="28"/>
        <v>1200</v>
      </c>
      <c r="N63" s="163">
        <f t="shared" si="29"/>
        <v>600</v>
      </c>
      <c r="O63" s="163">
        <f t="shared" si="30"/>
        <v>37.5</v>
      </c>
      <c r="P63" s="163">
        <f t="shared" si="31"/>
        <v>15</v>
      </c>
      <c r="Q63" s="163">
        <f t="shared" si="32"/>
        <v>75</v>
      </c>
      <c r="R63" s="163">
        <f t="shared" si="33"/>
        <v>525</v>
      </c>
      <c r="S63" s="163">
        <f t="shared" si="34"/>
        <v>375</v>
      </c>
      <c r="T63" s="230"/>
      <c r="U63" s="229">
        <f>VLOOKUP($D63,'HR|社保政策'!$A:P,6,0)</f>
        <v>0.16</v>
      </c>
      <c r="V63" s="163">
        <f>VLOOKUP($D63,'HR|社保政策'!$A:Q,7,0)</f>
        <v>0.005</v>
      </c>
      <c r="W63" s="231">
        <f>VLOOKUP($D63,'HR|社保政策'!$A:R,8,0)</f>
        <v>0.002</v>
      </c>
      <c r="X63" s="163">
        <f>VLOOKUP($D63,'HR|社保政策'!$A:S,9,0)</f>
        <v>0.01</v>
      </c>
      <c r="Y63" s="163">
        <v>0.08</v>
      </c>
      <c r="Z63" s="163">
        <f>VLOOKUP($D63,'HR|社保政策'!$A:U,11,0)</f>
        <v>0.07</v>
      </c>
      <c r="AA63" s="163">
        <f>VLOOKUP($D63,'HR|社保政策'!$A:V,12,0)</f>
        <v>0.08</v>
      </c>
      <c r="AB63" s="163">
        <f>VLOOKUP($D63,'HR|社保政策'!$A:W,13,0)</f>
        <v>0.02</v>
      </c>
      <c r="AC63" s="163">
        <f>VLOOKUP($D63,'HR|社保政策'!$A:X,14,0)</f>
        <v>0</v>
      </c>
      <c r="AD63" s="232">
        <f>VLOOKUP($D63,'HR|社保政策'!$A:Y,15,0)</f>
        <v>0.005</v>
      </c>
      <c r="AE63" s="163">
        <f>VLOOKUP($D63,'HR|社保政策'!$A:Z,16,0)</f>
        <v>0.07</v>
      </c>
      <c r="AF63" s="233">
        <v>0.05</v>
      </c>
      <c r="AG63" s="163">
        <f t="shared" si="35"/>
        <v>1687.5</v>
      </c>
      <c r="AH63" s="163">
        <f t="shared" si="36"/>
        <v>2827.5</v>
      </c>
      <c r="AI63" s="228">
        <f t="shared" si="37"/>
        <v>4515</v>
      </c>
      <c r="AJ63" s="234"/>
      <c r="AK63" s="234"/>
      <c r="AL63" s="234"/>
      <c r="AM63" s="234"/>
      <c r="AN63" s="234"/>
      <c r="AO63" s="234" t="str">
        <f>VLOOKUP(B63,薪酬明细!I:I,1,0)</f>
        <v>武敏辉</v>
      </c>
      <c r="AP63" s="201" t="str">
        <f>VLOOKUP(C63,薪酬明细!A:A,1,0)</f>
        <v>弈工分信息武敏辉</v>
      </c>
      <c r="AQ63" s="201" t="str">
        <f t="shared" si="6"/>
        <v>弈工分信息武敏辉</v>
      </c>
      <c r="AS63" s="201">
        <f t="shared" si="38"/>
        <v>1687.5</v>
      </c>
      <c r="AT63" s="201">
        <f t="shared" si="39"/>
        <v>-1687.5</v>
      </c>
      <c r="AU63" s="201">
        <v>5</v>
      </c>
      <c r="AV63" s="201">
        <f t="shared" si="40"/>
        <v>-2822.5</v>
      </c>
      <c r="AW63" s="201" t="e">
        <f>VLOOKUP(C63,薪酬明细!A:A,2,0)</f>
        <v>#REF!</v>
      </c>
      <c r="AX63" s="201" t="b">
        <f t="shared" si="7"/>
        <v>1</v>
      </c>
      <c r="AY63" s="201" t="b">
        <f t="shared" si="8"/>
        <v>1</v>
      </c>
    </row>
    <row r="64" s="201" customFormat="1" spans="1:51">
      <c r="A64" s="163" t="s">
        <v>71</v>
      </c>
      <c r="B64" s="163" t="s">
        <v>347</v>
      </c>
      <c r="C64" s="163" t="str">
        <f t="shared" si="0"/>
        <v>开弈投资金学忠</v>
      </c>
      <c r="D64" s="163" t="s">
        <v>71</v>
      </c>
      <c r="E64" s="163"/>
      <c r="F64" s="228">
        <v>8000</v>
      </c>
      <c r="G64" s="228">
        <v>8000</v>
      </c>
      <c r="H64" s="229">
        <f t="shared" si="23"/>
        <v>640</v>
      </c>
      <c r="I64" s="163">
        <f t="shared" si="24"/>
        <v>160</v>
      </c>
      <c r="J64" s="163">
        <f t="shared" si="25"/>
        <v>40</v>
      </c>
      <c r="K64" s="163">
        <f t="shared" si="26"/>
        <v>560</v>
      </c>
      <c r="L64" s="230">
        <f t="shared" si="27"/>
        <v>0</v>
      </c>
      <c r="M64" s="229">
        <f t="shared" si="28"/>
        <v>1280</v>
      </c>
      <c r="N64" s="163">
        <f t="shared" si="29"/>
        <v>640</v>
      </c>
      <c r="O64" s="163">
        <f t="shared" si="30"/>
        <v>40</v>
      </c>
      <c r="P64" s="163">
        <f t="shared" si="31"/>
        <v>16</v>
      </c>
      <c r="Q64" s="163">
        <f t="shared" si="32"/>
        <v>80</v>
      </c>
      <c r="R64" s="163">
        <f t="shared" si="33"/>
        <v>560</v>
      </c>
      <c r="S64" s="163">
        <f t="shared" si="34"/>
        <v>0</v>
      </c>
      <c r="T64" s="230"/>
      <c r="U64" s="229">
        <f>VLOOKUP($D64,'HR|社保政策'!$A:P,6,0)</f>
        <v>0.16</v>
      </c>
      <c r="V64" s="163">
        <f>VLOOKUP($D64,'HR|社保政策'!$A:Q,7,0)</f>
        <v>0.005</v>
      </c>
      <c r="W64" s="231">
        <f>VLOOKUP($D64,'HR|社保政策'!$A:R,8,0)</f>
        <v>0.002</v>
      </c>
      <c r="X64" s="163">
        <f>VLOOKUP($D64,'HR|社保政策'!$A:S,9,0)</f>
        <v>0.01</v>
      </c>
      <c r="Y64" s="163">
        <v>0.08</v>
      </c>
      <c r="Z64" s="163">
        <f>VLOOKUP($D64,'HR|社保政策'!$A:U,11,0)</f>
        <v>0.07</v>
      </c>
      <c r="AA64" s="163">
        <f>VLOOKUP($D64,'HR|社保政策'!$A:V,12,0)</f>
        <v>0.08</v>
      </c>
      <c r="AB64" s="163">
        <f>VLOOKUP($D64,'HR|社保政策'!$A:W,13,0)</f>
        <v>0.02</v>
      </c>
      <c r="AC64" s="163">
        <f>VLOOKUP($D64,'HR|社保政策'!$A:X,14,0)</f>
        <v>0</v>
      </c>
      <c r="AD64" s="232">
        <f>VLOOKUP($D64,'HR|社保政策'!$A:Y,15,0)</f>
        <v>0.005</v>
      </c>
      <c r="AE64" s="163">
        <f>VLOOKUP($D64,'HR|社保政策'!$A:Z,16,0)</f>
        <v>0.07</v>
      </c>
      <c r="AF64" s="233"/>
      <c r="AG64" s="163">
        <f t="shared" si="35"/>
        <v>1400</v>
      </c>
      <c r="AH64" s="163">
        <f t="shared" si="36"/>
        <v>2616</v>
      </c>
      <c r="AI64" s="228">
        <f t="shared" si="37"/>
        <v>4016</v>
      </c>
      <c r="AJ64" s="234"/>
      <c r="AK64" s="234"/>
      <c r="AL64" s="234"/>
      <c r="AM64" s="234"/>
      <c r="AN64" s="234"/>
      <c r="AO64" s="234" t="str">
        <f>VLOOKUP(B64,薪酬明细!I:I,1,0)</f>
        <v>金学忠</v>
      </c>
      <c r="AP64" s="201" t="str">
        <f>VLOOKUP(C64,薪酬明细!A:A,1,0)</f>
        <v>开弈投资金学忠</v>
      </c>
      <c r="AQ64" s="201" t="str">
        <f t="shared" si="6"/>
        <v>开弈投资金学忠</v>
      </c>
      <c r="AS64" s="201">
        <f t="shared" si="38"/>
        <v>1400</v>
      </c>
      <c r="AT64" s="201">
        <f t="shared" si="39"/>
        <v>-1400</v>
      </c>
      <c r="AU64" s="201">
        <v>7</v>
      </c>
      <c r="AV64" s="201">
        <f t="shared" si="40"/>
        <v>-2609</v>
      </c>
      <c r="AW64" s="201" t="e">
        <f>VLOOKUP(C64,薪酬明细!A:A,2,0)</f>
        <v>#REF!</v>
      </c>
      <c r="AX64" s="201" t="b">
        <f t="shared" si="7"/>
        <v>1</v>
      </c>
      <c r="AY64" s="201" t="b">
        <f t="shared" si="8"/>
        <v>1</v>
      </c>
    </row>
    <row r="65" s="201" customFormat="1" spans="1:51">
      <c r="A65" s="163" t="s">
        <v>71</v>
      </c>
      <c r="B65" s="163" t="s">
        <v>357</v>
      </c>
      <c r="C65" s="163" t="str">
        <f t="shared" si="0"/>
        <v>开弈投资李佳</v>
      </c>
      <c r="D65" s="163" t="s">
        <v>71</v>
      </c>
      <c r="E65" s="163"/>
      <c r="F65" s="228">
        <v>9300</v>
      </c>
      <c r="G65" s="228">
        <v>9300</v>
      </c>
      <c r="H65" s="229">
        <f t="shared" si="23"/>
        <v>744</v>
      </c>
      <c r="I65" s="163">
        <f t="shared" si="24"/>
        <v>186</v>
      </c>
      <c r="J65" s="163">
        <f t="shared" si="25"/>
        <v>46.5</v>
      </c>
      <c r="K65" s="163">
        <f t="shared" si="26"/>
        <v>651</v>
      </c>
      <c r="L65" s="230">
        <f t="shared" si="27"/>
        <v>0</v>
      </c>
      <c r="M65" s="229">
        <f t="shared" si="28"/>
        <v>1488</v>
      </c>
      <c r="N65" s="163">
        <f t="shared" si="29"/>
        <v>744</v>
      </c>
      <c r="O65" s="163">
        <f t="shared" si="30"/>
        <v>46.5</v>
      </c>
      <c r="P65" s="163">
        <f t="shared" si="31"/>
        <v>18.6</v>
      </c>
      <c r="Q65" s="163">
        <f t="shared" si="32"/>
        <v>93</v>
      </c>
      <c r="R65" s="163">
        <f t="shared" si="33"/>
        <v>651</v>
      </c>
      <c r="S65" s="163">
        <f t="shared" si="34"/>
        <v>0</v>
      </c>
      <c r="T65" s="230"/>
      <c r="U65" s="229">
        <f>VLOOKUP($D65,'HR|社保政策'!$A:P,6,0)</f>
        <v>0.16</v>
      </c>
      <c r="V65" s="163">
        <f>VLOOKUP($D65,'HR|社保政策'!$A:Q,7,0)</f>
        <v>0.005</v>
      </c>
      <c r="W65" s="231">
        <f>VLOOKUP($D65,'HR|社保政策'!$A:R,8,0)</f>
        <v>0.002</v>
      </c>
      <c r="X65" s="163">
        <f>VLOOKUP($D65,'HR|社保政策'!$A:S,9,0)</f>
        <v>0.01</v>
      </c>
      <c r="Y65" s="163">
        <v>0.08</v>
      </c>
      <c r="Z65" s="163">
        <f>VLOOKUP($D65,'HR|社保政策'!$A:U,11,0)</f>
        <v>0.07</v>
      </c>
      <c r="AA65" s="163">
        <f>VLOOKUP($D65,'HR|社保政策'!$A:V,12,0)</f>
        <v>0.08</v>
      </c>
      <c r="AB65" s="163">
        <f>VLOOKUP($D65,'HR|社保政策'!$A:W,13,0)</f>
        <v>0.02</v>
      </c>
      <c r="AC65" s="163">
        <f>VLOOKUP($D65,'HR|社保政策'!$A:X,14,0)</f>
        <v>0</v>
      </c>
      <c r="AD65" s="232">
        <f>VLOOKUP($D65,'HR|社保政策'!$A:Y,15,0)</f>
        <v>0.005</v>
      </c>
      <c r="AE65" s="163">
        <f>VLOOKUP($D65,'HR|社保政策'!$A:Z,16,0)</f>
        <v>0.07</v>
      </c>
      <c r="AF65" s="233"/>
      <c r="AG65" s="163">
        <f t="shared" si="35"/>
        <v>1627.5</v>
      </c>
      <c r="AH65" s="163">
        <f t="shared" si="36"/>
        <v>3041.1</v>
      </c>
      <c r="AI65" s="228">
        <f t="shared" si="37"/>
        <v>4668.6</v>
      </c>
      <c r="AJ65" s="234"/>
      <c r="AK65" s="234"/>
      <c r="AL65" s="234"/>
      <c r="AM65" s="234"/>
      <c r="AN65" s="234"/>
      <c r="AO65" s="234" t="str">
        <f>VLOOKUP(B65,薪酬明细!I:I,1,0)</f>
        <v>李佳</v>
      </c>
      <c r="AP65" s="201" t="str">
        <f>VLOOKUP(C65,薪酬明细!A:A,1,0)</f>
        <v>开弈投资李佳</v>
      </c>
      <c r="AQ65" s="201" t="str">
        <f t="shared" si="6"/>
        <v>开弈投资李佳</v>
      </c>
      <c r="AS65" s="201">
        <f t="shared" si="38"/>
        <v>1627.5</v>
      </c>
      <c r="AT65" s="201">
        <f t="shared" si="39"/>
        <v>-1627.5</v>
      </c>
      <c r="AU65" s="201">
        <v>8</v>
      </c>
      <c r="AV65" s="201">
        <f t="shared" si="40"/>
        <v>-3033.1</v>
      </c>
      <c r="AW65" s="201" t="e">
        <f>VLOOKUP(C65,薪酬明细!A:A,2,0)</f>
        <v>#REF!</v>
      </c>
      <c r="AX65" s="201" t="b">
        <f t="shared" si="7"/>
        <v>1</v>
      </c>
      <c r="AY65" s="201" t="b">
        <f t="shared" si="8"/>
        <v>1</v>
      </c>
    </row>
    <row r="66" s="201" customFormat="1" spans="1:51">
      <c r="A66" s="163" t="s">
        <v>71</v>
      </c>
      <c r="B66" s="163" t="s">
        <v>375</v>
      </c>
      <c r="C66" s="163" t="str">
        <f t="shared" si="0"/>
        <v>开弈投资林水桃</v>
      </c>
      <c r="D66" s="163" t="s">
        <v>71</v>
      </c>
      <c r="E66" s="163"/>
      <c r="F66" s="228">
        <v>0</v>
      </c>
      <c r="G66" s="228">
        <v>0</v>
      </c>
      <c r="H66" s="229">
        <f t="shared" si="23"/>
        <v>0</v>
      </c>
      <c r="I66" s="163">
        <f t="shared" si="24"/>
        <v>0</v>
      </c>
      <c r="J66" s="163">
        <f t="shared" si="25"/>
        <v>0</v>
      </c>
      <c r="K66" s="163">
        <f t="shared" si="26"/>
        <v>0</v>
      </c>
      <c r="L66" s="230">
        <f t="shared" si="27"/>
        <v>0</v>
      </c>
      <c r="M66" s="229">
        <f t="shared" si="28"/>
        <v>0</v>
      </c>
      <c r="N66" s="163">
        <f t="shared" si="29"/>
        <v>0</v>
      </c>
      <c r="O66" s="163">
        <f t="shared" si="30"/>
        <v>0</v>
      </c>
      <c r="P66" s="163">
        <f t="shared" si="31"/>
        <v>0</v>
      </c>
      <c r="Q66" s="163">
        <f t="shared" si="32"/>
        <v>0</v>
      </c>
      <c r="R66" s="163">
        <f t="shared" si="33"/>
        <v>0</v>
      </c>
      <c r="S66" s="163">
        <f t="shared" si="34"/>
        <v>0</v>
      </c>
      <c r="T66" s="230"/>
      <c r="U66" s="229">
        <f>VLOOKUP($D66,'HR|社保政策'!$A:P,6,0)</f>
        <v>0.16</v>
      </c>
      <c r="V66" s="163">
        <f>VLOOKUP($D66,'HR|社保政策'!$A:Q,7,0)</f>
        <v>0.005</v>
      </c>
      <c r="W66" s="231">
        <f>VLOOKUP($D66,'HR|社保政策'!$A:R,8,0)</f>
        <v>0.002</v>
      </c>
      <c r="X66" s="163">
        <f>VLOOKUP($D66,'HR|社保政策'!$A:S,9,0)</f>
        <v>0.01</v>
      </c>
      <c r="Y66" s="163">
        <v>0.08</v>
      </c>
      <c r="Z66" s="163">
        <f>VLOOKUP($D66,'HR|社保政策'!$A:U,11,0)</f>
        <v>0.07</v>
      </c>
      <c r="AA66" s="163">
        <f>VLOOKUP($D66,'HR|社保政策'!$A:V,12,0)</f>
        <v>0.08</v>
      </c>
      <c r="AB66" s="163">
        <f>VLOOKUP($D66,'HR|社保政策'!$A:W,13,0)</f>
        <v>0.02</v>
      </c>
      <c r="AC66" s="163">
        <f>VLOOKUP($D66,'HR|社保政策'!$A:X,14,0)</f>
        <v>0</v>
      </c>
      <c r="AD66" s="232">
        <f>VLOOKUP($D66,'HR|社保政策'!$A:Y,15,0)</f>
        <v>0.005</v>
      </c>
      <c r="AE66" s="163">
        <f>VLOOKUP($D66,'HR|社保政策'!$A:Z,16,0)</f>
        <v>0.07</v>
      </c>
      <c r="AF66" s="233"/>
      <c r="AG66" s="163">
        <f t="shared" si="35"/>
        <v>0</v>
      </c>
      <c r="AH66" s="163">
        <f t="shared" si="36"/>
        <v>0</v>
      </c>
      <c r="AI66" s="228">
        <f t="shared" si="37"/>
        <v>0</v>
      </c>
      <c r="AJ66" s="234"/>
      <c r="AK66" s="234"/>
      <c r="AL66" s="234"/>
      <c r="AM66" s="234"/>
      <c r="AN66" s="234"/>
      <c r="AO66" s="234" t="str">
        <f>VLOOKUP(B66,薪酬明细!I:I,1,0)</f>
        <v>林水桃</v>
      </c>
      <c r="AP66" s="201" t="str">
        <f>VLOOKUP(C66,薪酬明细!A:A,1,0)</f>
        <v>开弈投资林水桃</v>
      </c>
      <c r="AQ66" s="201" t="str">
        <f t="shared" si="6"/>
        <v>开弈投资林水桃</v>
      </c>
      <c r="AS66" s="201">
        <f t="shared" si="38"/>
        <v>0</v>
      </c>
      <c r="AT66" s="201">
        <f t="shared" si="39"/>
        <v>0</v>
      </c>
      <c r="AU66" s="201">
        <v>9</v>
      </c>
      <c r="AV66" s="201">
        <f t="shared" si="40"/>
        <v>9</v>
      </c>
      <c r="AW66" s="201" t="e">
        <f>VLOOKUP(C66,薪酬明细!A:A,2,0)</f>
        <v>#REF!</v>
      </c>
      <c r="AX66" s="201" t="b">
        <f t="shared" si="7"/>
        <v>1</v>
      </c>
      <c r="AY66" s="201" t="b">
        <f t="shared" si="8"/>
        <v>1</v>
      </c>
    </row>
    <row r="67" s="201" customFormat="1" spans="1:51">
      <c r="A67" s="163" t="s">
        <v>71</v>
      </c>
      <c r="B67" s="163" t="s">
        <v>389</v>
      </c>
      <c r="C67" s="163" t="str">
        <f t="shared" ref="C67:C120" si="41">A67&amp;B67</f>
        <v>开弈投资杨美玲</v>
      </c>
      <c r="D67" s="163" t="s">
        <v>71</v>
      </c>
      <c r="E67" s="163"/>
      <c r="F67" s="228">
        <v>0</v>
      </c>
      <c r="G67" s="228">
        <v>0</v>
      </c>
      <c r="H67" s="229">
        <f t="shared" si="23"/>
        <v>0</v>
      </c>
      <c r="I67" s="163">
        <f t="shared" si="24"/>
        <v>0</v>
      </c>
      <c r="J67" s="163">
        <f t="shared" si="25"/>
        <v>0</v>
      </c>
      <c r="K67" s="163">
        <f t="shared" si="26"/>
        <v>0</v>
      </c>
      <c r="L67" s="230">
        <f t="shared" si="27"/>
        <v>0</v>
      </c>
      <c r="M67" s="229">
        <f t="shared" si="28"/>
        <v>0</v>
      </c>
      <c r="N67" s="163">
        <f t="shared" si="29"/>
        <v>0</v>
      </c>
      <c r="O67" s="163">
        <f t="shared" si="30"/>
        <v>0</v>
      </c>
      <c r="P67" s="163">
        <f t="shared" si="31"/>
        <v>0</v>
      </c>
      <c r="Q67" s="163">
        <f t="shared" si="32"/>
        <v>0</v>
      </c>
      <c r="R67" s="163">
        <f t="shared" si="33"/>
        <v>0</v>
      </c>
      <c r="S67" s="163">
        <f t="shared" si="34"/>
        <v>0</v>
      </c>
      <c r="T67" s="230"/>
      <c r="U67" s="229">
        <f>VLOOKUP($D67,'HR|社保政策'!$A:P,6,0)</f>
        <v>0.16</v>
      </c>
      <c r="V67" s="163">
        <f>VLOOKUP($D67,'HR|社保政策'!$A:Q,7,0)</f>
        <v>0.005</v>
      </c>
      <c r="W67" s="231">
        <f>VLOOKUP($D67,'HR|社保政策'!$A:R,8,0)</f>
        <v>0.002</v>
      </c>
      <c r="X67" s="163">
        <f>VLOOKUP($D67,'HR|社保政策'!$A:S,9,0)</f>
        <v>0.01</v>
      </c>
      <c r="Y67" s="163">
        <v>0.08</v>
      </c>
      <c r="Z67" s="163">
        <f>VLOOKUP($D67,'HR|社保政策'!$A:U,11,0)</f>
        <v>0.07</v>
      </c>
      <c r="AA67" s="163">
        <f>VLOOKUP($D67,'HR|社保政策'!$A:V,12,0)</f>
        <v>0.08</v>
      </c>
      <c r="AB67" s="163">
        <f>VLOOKUP($D67,'HR|社保政策'!$A:W,13,0)</f>
        <v>0.02</v>
      </c>
      <c r="AC67" s="163">
        <f>VLOOKUP($D67,'HR|社保政策'!$A:X,14,0)</f>
        <v>0</v>
      </c>
      <c r="AD67" s="232">
        <f>VLOOKUP($D67,'HR|社保政策'!$A:Y,15,0)</f>
        <v>0.005</v>
      </c>
      <c r="AE67" s="163">
        <f>VLOOKUP($D67,'HR|社保政策'!$A:Z,16,0)</f>
        <v>0.07</v>
      </c>
      <c r="AF67" s="233"/>
      <c r="AG67" s="163">
        <f t="shared" si="35"/>
        <v>0</v>
      </c>
      <c r="AH67" s="163">
        <f t="shared" si="36"/>
        <v>0</v>
      </c>
      <c r="AI67" s="228">
        <f t="shared" si="37"/>
        <v>0</v>
      </c>
      <c r="AJ67" s="234"/>
      <c r="AK67" s="234"/>
      <c r="AL67" s="234"/>
      <c r="AM67" s="234"/>
      <c r="AN67" s="234"/>
      <c r="AO67" s="234" t="str">
        <f>VLOOKUP(B67,薪酬明细!I:I,1,0)</f>
        <v>杨美玲</v>
      </c>
      <c r="AP67" s="201" t="str">
        <f>VLOOKUP(C67,薪酬明细!A:A,1,0)</f>
        <v>开弈投资杨美玲</v>
      </c>
      <c r="AQ67" s="201" t="str">
        <f t="shared" ref="AQ67:AQ120" si="42">A67&amp;B67</f>
        <v>开弈投资杨美玲</v>
      </c>
      <c r="AS67" s="201">
        <f t="shared" si="38"/>
        <v>0</v>
      </c>
      <c r="AT67" s="201">
        <f t="shared" si="39"/>
        <v>0</v>
      </c>
      <c r="AU67" s="201">
        <v>10</v>
      </c>
      <c r="AV67" s="201">
        <f t="shared" si="40"/>
        <v>10</v>
      </c>
      <c r="AW67" s="201" t="e">
        <f>VLOOKUP(C67,薪酬明细!A:A,2,0)</f>
        <v>#REF!</v>
      </c>
      <c r="AX67" s="201" t="b">
        <f t="shared" ref="AX67:AX120" si="43">A67=D67</f>
        <v>1</v>
      </c>
      <c r="AY67" s="201" t="b">
        <f t="shared" ref="AY67:AY120" si="44">AQ67=C67</f>
        <v>1</v>
      </c>
    </row>
    <row r="68" s="201" customFormat="1" spans="1:51">
      <c r="A68" s="163" t="s">
        <v>57</v>
      </c>
      <c r="B68" s="163" t="s">
        <v>392</v>
      </c>
      <c r="C68" s="163" t="str">
        <f t="shared" si="41"/>
        <v>开弈信息杜宪</v>
      </c>
      <c r="D68" s="163" t="s">
        <v>57</v>
      </c>
      <c r="E68" s="163"/>
      <c r="F68" s="228">
        <v>25000</v>
      </c>
      <c r="G68" s="228">
        <v>8000</v>
      </c>
      <c r="H68" s="229">
        <f t="shared" si="23"/>
        <v>2000</v>
      </c>
      <c r="I68" s="163">
        <f t="shared" si="24"/>
        <v>500</v>
      </c>
      <c r="J68" s="163">
        <f t="shared" si="25"/>
        <v>125</v>
      </c>
      <c r="K68" s="163">
        <f t="shared" si="26"/>
        <v>560</v>
      </c>
      <c r="L68" s="230">
        <f t="shared" si="27"/>
        <v>0</v>
      </c>
      <c r="M68" s="229">
        <f t="shared" si="28"/>
        <v>4000</v>
      </c>
      <c r="N68" s="163">
        <f t="shared" si="29"/>
        <v>2000</v>
      </c>
      <c r="O68" s="163">
        <f t="shared" si="30"/>
        <v>125</v>
      </c>
      <c r="P68" s="163">
        <f t="shared" si="31"/>
        <v>50</v>
      </c>
      <c r="Q68" s="163">
        <f t="shared" si="32"/>
        <v>250</v>
      </c>
      <c r="R68" s="163">
        <f t="shared" si="33"/>
        <v>560</v>
      </c>
      <c r="S68" s="163">
        <f t="shared" si="34"/>
        <v>0</v>
      </c>
      <c r="T68" s="230"/>
      <c r="U68" s="229">
        <f>VLOOKUP($D68,'HR|社保政策'!$A:P,6,0)</f>
        <v>0.16</v>
      </c>
      <c r="V68" s="163">
        <f>VLOOKUP($D68,'HR|社保政策'!$A:Q,7,0)</f>
        <v>0.005</v>
      </c>
      <c r="W68" s="231">
        <f>VLOOKUP($D68,'HR|社保政策'!$A:R,8,0)</f>
        <v>0.002</v>
      </c>
      <c r="X68" s="163">
        <f>VLOOKUP($D68,'HR|社保政策'!$A:S,9,0)</f>
        <v>0.01</v>
      </c>
      <c r="Y68" s="163">
        <v>0.08</v>
      </c>
      <c r="Z68" s="163">
        <f>VLOOKUP($D68,'HR|社保政策'!$A:U,11,0)</f>
        <v>0.07</v>
      </c>
      <c r="AA68" s="163">
        <f>VLOOKUP($D68,'HR|社保政策'!$A:V,12,0)</f>
        <v>0.08</v>
      </c>
      <c r="AB68" s="163">
        <f>VLOOKUP($D68,'HR|社保政策'!$A:W,13,0)</f>
        <v>0.02</v>
      </c>
      <c r="AC68" s="163">
        <f>VLOOKUP($D68,'HR|社保政策'!$A:X,14,0)</f>
        <v>0</v>
      </c>
      <c r="AD68" s="232">
        <f>VLOOKUP($D68,'HR|社保政策'!$A:Y,15,0)</f>
        <v>0.005</v>
      </c>
      <c r="AE68" s="163">
        <f>VLOOKUP($D68,'HR|社保政策'!$A:Z,16,0)</f>
        <v>0.07</v>
      </c>
      <c r="AF68" s="233"/>
      <c r="AG68" s="163">
        <f t="shared" si="35"/>
        <v>3185</v>
      </c>
      <c r="AH68" s="163">
        <f t="shared" si="36"/>
        <v>6985</v>
      </c>
      <c r="AI68" s="228">
        <f t="shared" si="37"/>
        <v>10170</v>
      </c>
      <c r="AJ68" s="234"/>
      <c r="AK68" s="234"/>
      <c r="AL68" s="234"/>
      <c r="AM68" s="234"/>
      <c r="AN68" s="234"/>
      <c r="AO68" s="234" t="str">
        <f>VLOOKUP(B68,薪酬明细!I:I,1,0)</f>
        <v>杜宪</v>
      </c>
      <c r="AP68" s="201" t="str">
        <f>VLOOKUP(C68,薪酬明细!A:A,1,0)</f>
        <v>开弈信息杜宪</v>
      </c>
      <c r="AQ68" s="201" t="str">
        <f t="shared" si="42"/>
        <v>开弈信息杜宪</v>
      </c>
      <c r="AS68" s="201">
        <f t="shared" si="38"/>
        <v>3185</v>
      </c>
      <c r="AT68" s="201">
        <f t="shared" si="39"/>
        <v>-3185</v>
      </c>
      <c r="AU68" s="201">
        <v>11</v>
      </c>
      <c r="AV68" s="201">
        <f t="shared" si="40"/>
        <v>-6974</v>
      </c>
      <c r="AW68" s="201" t="e">
        <f>VLOOKUP(C68,薪酬明细!A:A,2,0)</f>
        <v>#REF!</v>
      </c>
      <c r="AX68" s="201" t="b">
        <f t="shared" si="43"/>
        <v>1</v>
      </c>
      <c r="AY68" s="201" t="b">
        <f t="shared" si="44"/>
        <v>1</v>
      </c>
    </row>
    <row r="69" s="201" customFormat="1" spans="1:51">
      <c r="A69" s="163" t="s">
        <v>72</v>
      </c>
      <c r="B69" s="163" t="s">
        <v>531</v>
      </c>
      <c r="C69" s="163" t="str">
        <f t="shared" si="41"/>
        <v>弈工分信息林知峰</v>
      </c>
      <c r="D69" s="163" t="s">
        <v>72</v>
      </c>
      <c r="E69" s="163"/>
      <c r="F69" s="228">
        <v>20000</v>
      </c>
      <c r="G69" s="228">
        <v>20000</v>
      </c>
      <c r="H69" s="229">
        <f t="shared" si="23"/>
        <v>1600</v>
      </c>
      <c r="I69" s="163">
        <f t="shared" si="24"/>
        <v>400</v>
      </c>
      <c r="J69" s="163">
        <f t="shared" si="25"/>
        <v>100</v>
      </c>
      <c r="K69" s="163">
        <f t="shared" si="26"/>
        <v>1400</v>
      </c>
      <c r="L69" s="230">
        <f t="shared" si="27"/>
        <v>0</v>
      </c>
      <c r="M69" s="229">
        <f t="shared" si="28"/>
        <v>3200</v>
      </c>
      <c r="N69" s="163">
        <f t="shared" si="29"/>
        <v>1600</v>
      </c>
      <c r="O69" s="163">
        <f t="shared" si="30"/>
        <v>100</v>
      </c>
      <c r="P69" s="163">
        <f t="shared" si="31"/>
        <v>40</v>
      </c>
      <c r="Q69" s="163">
        <f t="shared" si="32"/>
        <v>200</v>
      </c>
      <c r="R69" s="163">
        <f t="shared" si="33"/>
        <v>1400</v>
      </c>
      <c r="S69" s="163">
        <f t="shared" si="34"/>
        <v>0</v>
      </c>
      <c r="T69" s="230"/>
      <c r="U69" s="229">
        <f>VLOOKUP($D69,'HR|社保政策'!$A:P,6,0)</f>
        <v>0.16</v>
      </c>
      <c r="V69" s="163">
        <f>VLOOKUP($D69,'HR|社保政策'!$A:Q,7,0)</f>
        <v>0.005</v>
      </c>
      <c r="W69" s="231">
        <f>VLOOKUP($D69,'HR|社保政策'!$A:R,8,0)</f>
        <v>0.002</v>
      </c>
      <c r="X69" s="163">
        <f>VLOOKUP($D69,'HR|社保政策'!$A:S,9,0)</f>
        <v>0.01</v>
      </c>
      <c r="Y69" s="163">
        <v>0.08</v>
      </c>
      <c r="Z69" s="163">
        <f>VLOOKUP($D69,'HR|社保政策'!$A:U,11,0)</f>
        <v>0.07</v>
      </c>
      <c r="AA69" s="163">
        <f>VLOOKUP($D69,'HR|社保政策'!$A:V,12,0)</f>
        <v>0.08</v>
      </c>
      <c r="AB69" s="163">
        <f>VLOOKUP($D69,'HR|社保政策'!$A:W,13,0)</f>
        <v>0.02</v>
      </c>
      <c r="AC69" s="163">
        <f>VLOOKUP($D69,'HR|社保政策'!$A:X,14,0)</f>
        <v>0</v>
      </c>
      <c r="AD69" s="232">
        <f>VLOOKUP($D69,'HR|社保政策'!$A:Y,15,0)</f>
        <v>0.005</v>
      </c>
      <c r="AE69" s="163">
        <f>VLOOKUP($D69,'HR|社保政策'!$A:Z,16,0)</f>
        <v>0.07</v>
      </c>
      <c r="AF69" s="233"/>
      <c r="AG69" s="163">
        <f t="shared" si="35"/>
        <v>3500</v>
      </c>
      <c r="AH69" s="163">
        <f t="shared" si="36"/>
        <v>6540</v>
      </c>
      <c r="AI69" s="228">
        <f t="shared" si="37"/>
        <v>10040</v>
      </c>
      <c r="AJ69" s="234"/>
      <c r="AK69" s="234"/>
      <c r="AL69" s="234"/>
      <c r="AM69" s="234"/>
      <c r="AN69" s="234"/>
      <c r="AO69" s="234" t="str">
        <f>VLOOKUP(B69,薪酬明细!I:I,1,0)</f>
        <v>林知峰</v>
      </c>
      <c r="AP69" s="201" t="str">
        <f>VLOOKUP(C69,薪酬明细!A:A,1,0)</f>
        <v>弈工分信息林知峰</v>
      </c>
      <c r="AQ69" s="201" t="str">
        <f t="shared" si="42"/>
        <v>弈工分信息林知峰</v>
      </c>
      <c r="AS69" s="201">
        <f t="shared" si="38"/>
        <v>3500</v>
      </c>
      <c r="AT69" s="201">
        <f t="shared" si="39"/>
        <v>-3500</v>
      </c>
      <c r="AU69" s="201">
        <v>12</v>
      </c>
      <c r="AV69" s="201">
        <f t="shared" si="40"/>
        <v>-6528</v>
      </c>
      <c r="AW69" s="201" t="e">
        <f>VLOOKUP(C69,薪酬明细!A:A,2,0)</f>
        <v>#REF!</v>
      </c>
      <c r="AX69" s="201" t="b">
        <f t="shared" si="43"/>
        <v>1</v>
      </c>
      <c r="AY69" s="201" t="b">
        <f t="shared" si="44"/>
        <v>1</v>
      </c>
    </row>
    <row r="70" s="201" customFormat="1" spans="1:51">
      <c r="A70" s="163" t="s">
        <v>71</v>
      </c>
      <c r="B70" s="163" t="s">
        <v>371</v>
      </c>
      <c r="C70" s="163" t="str">
        <f t="shared" si="41"/>
        <v>开弈投资李蕾</v>
      </c>
      <c r="D70" s="163" t="s">
        <v>71</v>
      </c>
      <c r="E70" s="163"/>
      <c r="F70" s="228">
        <v>7460</v>
      </c>
      <c r="G70" s="228">
        <v>7384</v>
      </c>
      <c r="H70" s="229">
        <f t="shared" si="23"/>
        <v>596.8</v>
      </c>
      <c r="I70" s="163">
        <f t="shared" si="24"/>
        <v>149.2</v>
      </c>
      <c r="J70" s="163">
        <f t="shared" si="25"/>
        <v>37.3</v>
      </c>
      <c r="K70" s="163">
        <f t="shared" si="26"/>
        <v>517</v>
      </c>
      <c r="L70" s="230">
        <f t="shared" si="27"/>
        <v>0</v>
      </c>
      <c r="M70" s="229">
        <f t="shared" si="28"/>
        <v>1193.6</v>
      </c>
      <c r="N70" s="163">
        <f t="shared" si="29"/>
        <v>596.8</v>
      </c>
      <c r="O70" s="163">
        <f t="shared" si="30"/>
        <v>37.3</v>
      </c>
      <c r="P70" s="163">
        <f t="shared" si="31"/>
        <v>14.92</v>
      </c>
      <c r="Q70" s="163">
        <f t="shared" si="32"/>
        <v>74.6</v>
      </c>
      <c r="R70" s="163">
        <f t="shared" si="33"/>
        <v>517</v>
      </c>
      <c r="S70" s="163">
        <f t="shared" si="34"/>
        <v>0</v>
      </c>
      <c r="T70" s="230"/>
      <c r="U70" s="229">
        <f>VLOOKUP($D70,'HR|社保政策'!$A:P,6,0)</f>
        <v>0.16</v>
      </c>
      <c r="V70" s="163">
        <f>VLOOKUP($D70,'HR|社保政策'!$A:Q,7,0)</f>
        <v>0.005</v>
      </c>
      <c r="W70" s="231">
        <f>VLOOKUP($D70,'HR|社保政策'!$A:R,8,0)</f>
        <v>0.002</v>
      </c>
      <c r="X70" s="163">
        <f>VLOOKUP($D70,'HR|社保政策'!$A:S,9,0)</f>
        <v>0.01</v>
      </c>
      <c r="Y70" s="163">
        <v>0.08</v>
      </c>
      <c r="Z70" s="163">
        <f>VLOOKUP($D70,'HR|社保政策'!$A:U,11,0)</f>
        <v>0.07</v>
      </c>
      <c r="AA70" s="163">
        <f>VLOOKUP($D70,'HR|社保政策'!$A:V,12,0)</f>
        <v>0.08</v>
      </c>
      <c r="AB70" s="163">
        <f>VLOOKUP($D70,'HR|社保政策'!$A:W,13,0)</f>
        <v>0.02</v>
      </c>
      <c r="AC70" s="163">
        <f>VLOOKUP($D70,'HR|社保政策'!$A:X,14,0)</f>
        <v>0</v>
      </c>
      <c r="AD70" s="232">
        <f>VLOOKUP($D70,'HR|社保政策'!$A:Y,15,0)</f>
        <v>0.005</v>
      </c>
      <c r="AE70" s="163">
        <f>VLOOKUP($D70,'HR|社保政策'!$A:Z,16,0)</f>
        <v>0.07</v>
      </c>
      <c r="AF70" s="233"/>
      <c r="AG70" s="163">
        <f t="shared" si="35"/>
        <v>1300.3</v>
      </c>
      <c r="AH70" s="163">
        <f t="shared" si="36"/>
        <v>2434.22</v>
      </c>
      <c r="AI70" s="228">
        <f t="shared" si="37"/>
        <v>3734.52</v>
      </c>
      <c r="AJ70" s="234"/>
      <c r="AK70" s="234"/>
      <c r="AL70" s="234"/>
      <c r="AM70" s="234"/>
      <c r="AN70" s="234"/>
      <c r="AO70" s="234" t="str">
        <f>VLOOKUP(B70,薪酬明细!I:I,1,0)</f>
        <v>李蕾</v>
      </c>
      <c r="AP70" s="201" t="str">
        <f>VLOOKUP(C70,薪酬明细!A:A,1,0)</f>
        <v>开弈投资李蕾</v>
      </c>
      <c r="AQ70" s="201" t="str">
        <f t="shared" si="42"/>
        <v>开弈投资李蕾</v>
      </c>
      <c r="AS70" s="201">
        <f t="shared" si="38"/>
        <v>1300.3</v>
      </c>
      <c r="AT70" s="201">
        <f t="shared" si="39"/>
        <v>-1300.3</v>
      </c>
      <c r="AU70" s="201">
        <v>13</v>
      </c>
      <c r="AV70" s="201">
        <f t="shared" si="40"/>
        <v>-2421.22</v>
      </c>
      <c r="AW70" s="201" t="e">
        <f>VLOOKUP(C70,薪酬明细!A:A,2,0)</f>
        <v>#REF!</v>
      </c>
      <c r="AX70" s="201" t="b">
        <f t="shared" si="43"/>
        <v>1</v>
      </c>
      <c r="AY70" s="201" t="b">
        <f t="shared" si="44"/>
        <v>1</v>
      </c>
    </row>
    <row r="71" s="201" customFormat="1" spans="1:51">
      <c r="A71" s="163" t="s">
        <v>71</v>
      </c>
      <c r="B71" s="163" t="s">
        <v>381</v>
      </c>
      <c r="C71" s="163" t="str">
        <f t="shared" si="41"/>
        <v>开弈投资王建平</v>
      </c>
      <c r="D71" s="163" t="s">
        <v>71</v>
      </c>
      <c r="E71" s="163"/>
      <c r="F71" s="228">
        <v>7460</v>
      </c>
      <c r="G71" s="228">
        <v>7384</v>
      </c>
      <c r="H71" s="229">
        <f t="shared" si="23"/>
        <v>596.8</v>
      </c>
      <c r="I71" s="163">
        <f t="shared" si="24"/>
        <v>149.2</v>
      </c>
      <c r="J71" s="163">
        <f t="shared" si="25"/>
        <v>37.3</v>
      </c>
      <c r="K71" s="163">
        <f t="shared" si="26"/>
        <v>517</v>
      </c>
      <c r="L71" s="230">
        <f t="shared" si="27"/>
        <v>0</v>
      </c>
      <c r="M71" s="229">
        <f t="shared" si="28"/>
        <v>1193.6</v>
      </c>
      <c r="N71" s="163">
        <f t="shared" si="29"/>
        <v>596.8</v>
      </c>
      <c r="O71" s="163">
        <f t="shared" si="30"/>
        <v>37.3</v>
      </c>
      <c r="P71" s="163">
        <f t="shared" si="31"/>
        <v>14.92</v>
      </c>
      <c r="Q71" s="163">
        <f t="shared" si="32"/>
        <v>74.6</v>
      </c>
      <c r="R71" s="163">
        <f t="shared" si="33"/>
        <v>517</v>
      </c>
      <c r="S71" s="163">
        <f t="shared" si="34"/>
        <v>0</v>
      </c>
      <c r="T71" s="230"/>
      <c r="U71" s="229">
        <f>VLOOKUP($D71,'HR|社保政策'!$A:P,6,0)</f>
        <v>0.16</v>
      </c>
      <c r="V71" s="163">
        <f>VLOOKUP($D71,'HR|社保政策'!$A:Q,7,0)</f>
        <v>0.005</v>
      </c>
      <c r="W71" s="231">
        <f>VLOOKUP($D71,'HR|社保政策'!$A:R,8,0)</f>
        <v>0.002</v>
      </c>
      <c r="X71" s="163">
        <f>VLOOKUP($D71,'HR|社保政策'!$A:S,9,0)</f>
        <v>0.01</v>
      </c>
      <c r="Y71" s="163">
        <v>0.08</v>
      </c>
      <c r="Z71" s="163">
        <f>VLOOKUP($D71,'HR|社保政策'!$A:U,11,0)</f>
        <v>0.07</v>
      </c>
      <c r="AA71" s="163">
        <f>VLOOKUP($D71,'HR|社保政策'!$A:V,12,0)</f>
        <v>0.08</v>
      </c>
      <c r="AB71" s="163">
        <f>VLOOKUP($D71,'HR|社保政策'!$A:W,13,0)</f>
        <v>0.02</v>
      </c>
      <c r="AC71" s="163">
        <f>VLOOKUP($D71,'HR|社保政策'!$A:X,14,0)</f>
        <v>0</v>
      </c>
      <c r="AD71" s="232">
        <f>VLOOKUP($D71,'HR|社保政策'!$A:Y,15,0)</f>
        <v>0.005</v>
      </c>
      <c r="AE71" s="163">
        <f>VLOOKUP($D71,'HR|社保政策'!$A:Z,16,0)</f>
        <v>0.07</v>
      </c>
      <c r="AF71" s="233"/>
      <c r="AG71" s="163">
        <f t="shared" si="35"/>
        <v>1300.3</v>
      </c>
      <c r="AH71" s="163">
        <f t="shared" si="36"/>
        <v>2434.22</v>
      </c>
      <c r="AI71" s="228">
        <f t="shared" si="37"/>
        <v>3734.52</v>
      </c>
      <c r="AJ71" s="234"/>
      <c r="AK71" s="234"/>
      <c r="AL71" s="234"/>
      <c r="AM71" s="234"/>
      <c r="AN71" s="234"/>
      <c r="AO71" s="234" t="str">
        <f>VLOOKUP(B71,薪酬明细!I:I,1,0)</f>
        <v>王建平</v>
      </c>
      <c r="AP71" s="201" t="str">
        <f>VLOOKUP(C71,薪酬明细!A:A,1,0)</f>
        <v>开弈投资王建平</v>
      </c>
      <c r="AQ71" s="201" t="str">
        <f t="shared" si="42"/>
        <v>开弈投资王建平</v>
      </c>
      <c r="AS71" s="201">
        <f t="shared" si="38"/>
        <v>1300.3</v>
      </c>
      <c r="AT71" s="201">
        <f t="shared" si="39"/>
        <v>-1300.3</v>
      </c>
      <c r="AU71" s="201">
        <v>14</v>
      </c>
      <c r="AV71" s="201">
        <f t="shared" si="40"/>
        <v>-2420.22</v>
      </c>
      <c r="AW71" s="201" t="e">
        <f>VLOOKUP(C71,薪酬明细!A:A,2,0)</f>
        <v>#REF!</v>
      </c>
      <c r="AX71" s="201" t="b">
        <f t="shared" si="43"/>
        <v>1</v>
      </c>
      <c r="AY71" s="201" t="b">
        <f t="shared" si="44"/>
        <v>1</v>
      </c>
    </row>
    <row r="72" s="201" customFormat="1" spans="1:51">
      <c r="A72" s="163" t="s">
        <v>71</v>
      </c>
      <c r="B72" s="163" t="s">
        <v>385</v>
      </c>
      <c r="C72" s="163" t="str">
        <f t="shared" si="41"/>
        <v>开弈投资王韬</v>
      </c>
      <c r="D72" s="163" t="s">
        <v>71</v>
      </c>
      <c r="E72" s="163"/>
      <c r="F72" s="228">
        <v>8000</v>
      </c>
      <c r="G72" s="228">
        <v>8000</v>
      </c>
      <c r="H72" s="229">
        <f t="shared" si="23"/>
        <v>640</v>
      </c>
      <c r="I72" s="163">
        <f t="shared" si="24"/>
        <v>160</v>
      </c>
      <c r="J72" s="163">
        <f t="shared" si="25"/>
        <v>40</v>
      </c>
      <c r="K72" s="163">
        <f t="shared" si="26"/>
        <v>560</v>
      </c>
      <c r="L72" s="230">
        <f t="shared" si="27"/>
        <v>0</v>
      </c>
      <c r="M72" s="229">
        <f t="shared" si="28"/>
        <v>1280</v>
      </c>
      <c r="N72" s="163">
        <f t="shared" si="29"/>
        <v>640</v>
      </c>
      <c r="O72" s="163">
        <f t="shared" si="30"/>
        <v>40</v>
      </c>
      <c r="P72" s="163">
        <f t="shared" si="31"/>
        <v>16</v>
      </c>
      <c r="Q72" s="163">
        <f t="shared" si="32"/>
        <v>80</v>
      </c>
      <c r="R72" s="163">
        <f t="shared" si="33"/>
        <v>560</v>
      </c>
      <c r="S72" s="163">
        <f t="shared" si="34"/>
        <v>0</v>
      </c>
      <c r="T72" s="230"/>
      <c r="U72" s="229">
        <f>VLOOKUP($D72,'HR|社保政策'!$A:P,6,0)</f>
        <v>0.16</v>
      </c>
      <c r="V72" s="163">
        <f>VLOOKUP($D72,'HR|社保政策'!$A:Q,7,0)</f>
        <v>0.005</v>
      </c>
      <c r="W72" s="231">
        <f>VLOOKUP($D72,'HR|社保政策'!$A:R,8,0)</f>
        <v>0.002</v>
      </c>
      <c r="X72" s="163">
        <f>VLOOKUP($D72,'HR|社保政策'!$A:S,9,0)</f>
        <v>0.01</v>
      </c>
      <c r="Y72" s="163">
        <v>0.08</v>
      </c>
      <c r="Z72" s="163">
        <f>VLOOKUP($D72,'HR|社保政策'!$A:U,11,0)</f>
        <v>0.07</v>
      </c>
      <c r="AA72" s="163">
        <f>VLOOKUP($D72,'HR|社保政策'!$A:V,12,0)</f>
        <v>0.08</v>
      </c>
      <c r="AB72" s="163">
        <f>VLOOKUP($D72,'HR|社保政策'!$A:W,13,0)</f>
        <v>0.02</v>
      </c>
      <c r="AC72" s="163">
        <f>VLOOKUP($D72,'HR|社保政策'!$A:X,14,0)</f>
        <v>0</v>
      </c>
      <c r="AD72" s="232">
        <f>VLOOKUP($D72,'HR|社保政策'!$A:Y,15,0)</f>
        <v>0.005</v>
      </c>
      <c r="AE72" s="163">
        <f>VLOOKUP($D72,'HR|社保政策'!$A:Z,16,0)</f>
        <v>0.07</v>
      </c>
      <c r="AF72" s="233"/>
      <c r="AG72" s="163">
        <f t="shared" si="35"/>
        <v>1400</v>
      </c>
      <c r="AH72" s="163">
        <f t="shared" si="36"/>
        <v>2616</v>
      </c>
      <c r="AI72" s="228">
        <f t="shared" si="37"/>
        <v>4016</v>
      </c>
      <c r="AJ72" s="234"/>
      <c r="AK72" s="234"/>
      <c r="AL72" s="234"/>
      <c r="AM72" s="234"/>
      <c r="AN72" s="234"/>
      <c r="AO72" s="234" t="str">
        <f>VLOOKUP(B72,薪酬明细!I:I,1,0)</f>
        <v>王韬</v>
      </c>
      <c r="AP72" s="201" t="str">
        <f>VLOOKUP(C72,薪酬明细!A:A,1,0)</f>
        <v>开弈投资王韬</v>
      </c>
      <c r="AQ72" s="201" t="str">
        <f t="shared" si="42"/>
        <v>开弈投资王韬</v>
      </c>
      <c r="AS72" s="201">
        <f t="shared" si="38"/>
        <v>1400</v>
      </c>
      <c r="AT72" s="201">
        <f t="shared" si="39"/>
        <v>-1400</v>
      </c>
      <c r="AU72" s="201">
        <v>15</v>
      </c>
      <c r="AV72" s="201">
        <f t="shared" si="40"/>
        <v>-2601</v>
      </c>
      <c r="AW72" s="201" t="e">
        <f>VLOOKUP(C72,薪酬明细!A:A,2,0)</f>
        <v>#REF!</v>
      </c>
      <c r="AX72" s="201" t="b">
        <f t="shared" si="43"/>
        <v>1</v>
      </c>
      <c r="AY72" s="201" t="b">
        <f t="shared" si="44"/>
        <v>1</v>
      </c>
    </row>
    <row r="73" s="201" customFormat="1" spans="1:51">
      <c r="A73" s="163" t="s">
        <v>72</v>
      </c>
      <c r="B73" s="163" t="s">
        <v>270</v>
      </c>
      <c r="C73" s="163" t="str">
        <f t="shared" si="41"/>
        <v>弈工分信息王倩</v>
      </c>
      <c r="D73" s="163" t="s">
        <v>72</v>
      </c>
      <c r="E73" s="163"/>
      <c r="F73" s="228">
        <v>15000</v>
      </c>
      <c r="G73" s="228">
        <v>15000</v>
      </c>
      <c r="H73" s="229">
        <f t="shared" si="23"/>
        <v>1200</v>
      </c>
      <c r="I73" s="163">
        <f t="shared" si="24"/>
        <v>300</v>
      </c>
      <c r="J73" s="163">
        <f t="shared" si="25"/>
        <v>75</v>
      </c>
      <c r="K73" s="163">
        <f t="shared" si="26"/>
        <v>1050</v>
      </c>
      <c r="L73" s="230">
        <f t="shared" si="27"/>
        <v>0</v>
      </c>
      <c r="M73" s="229">
        <f t="shared" si="28"/>
        <v>2400</v>
      </c>
      <c r="N73" s="163">
        <f t="shared" si="29"/>
        <v>1200</v>
      </c>
      <c r="O73" s="163">
        <f t="shared" si="30"/>
        <v>75</v>
      </c>
      <c r="P73" s="163">
        <f t="shared" si="31"/>
        <v>30</v>
      </c>
      <c r="Q73" s="163">
        <f t="shared" si="32"/>
        <v>150</v>
      </c>
      <c r="R73" s="163">
        <f t="shared" si="33"/>
        <v>1050</v>
      </c>
      <c r="S73" s="163">
        <f t="shared" si="34"/>
        <v>0</v>
      </c>
      <c r="T73" s="230"/>
      <c r="U73" s="229">
        <f>VLOOKUP($D73,'HR|社保政策'!$A:P,6,0)</f>
        <v>0.16</v>
      </c>
      <c r="V73" s="163">
        <f>VLOOKUP($D73,'HR|社保政策'!$A:Q,7,0)</f>
        <v>0.005</v>
      </c>
      <c r="W73" s="231">
        <f>VLOOKUP($D73,'HR|社保政策'!$A:R,8,0)</f>
        <v>0.002</v>
      </c>
      <c r="X73" s="163">
        <f>VLOOKUP($D73,'HR|社保政策'!$A:S,9,0)</f>
        <v>0.01</v>
      </c>
      <c r="Y73" s="163">
        <v>0.08</v>
      </c>
      <c r="Z73" s="163">
        <f>VLOOKUP($D73,'HR|社保政策'!$A:U,11,0)</f>
        <v>0.07</v>
      </c>
      <c r="AA73" s="163">
        <f>VLOOKUP($D73,'HR|社保政策'!$A:V,12,0)</f>
        <v>0.08</v>
      </c>
      <c r="AB73" s="163">
        <f>VLOOKUP($D73,'HR|社保政策'!$A:W,13,0)</f>
        <v>0.02</v>
      </c>
      <c r="AC73" s="163">
        <f>VLOOKUP($D73,'HR|社保政策'!$A:X,14,0)</f>
        <v>0</v>
      </c>
      <c r="AD73" s="232">
        <f>VLOOKUP($D73,'HR|社保政策'!$A:Y,15,0)</f>
        <v>0.005</v>
      </c>
      <c r="AE73" s="163">
        <f>VLOOKUP($D73,'HR|社保政策'!$A:Z,16,0)</f>
        <v>0.07</v>
      </c>
      <c r="AF73" s="233"/>
      <c r="AG73" s="163">
        <f t="shared" si="35"/>
        <v>2625</v>
      </c>
      <c r="AH73" s="163">
        <f t="shared" si="36"/>
        <v>4905</v>
      </c>
      <c r="AI73" s="228">
        <f t="shared" si="37"/>
        <v>7530</v>
      </c>
      <c r="AJ73" s="234"/>
      <c r="AK73" s="234"/>
      <c r="AL73" s="234"/>
      <c r="AM73" s="234"/>
      <c r="AN73" s="234"/>
      <c r="AO73" s="234" t="str">
        <f>VLOOKUP(B73,薪酬明细!I:I,1,0)</f>
        <v>王倩</v>
      </c>
      <c r="AP73" s="201" t="str">
        <f>VLOOKUP(C73,薪酬明细!A:A,1,0)</f>
        <v>弈工分信息王倩</v>
      </c>
      <c r="AQ73" s="201" t="str">
        <f t="shared" si="42"/>
        <v>弈工分信息王倩</v>
      </c>
      <c r="AS73" s="201">
        <f t="shared" si="38"/>
        <v>2625</v>
      </c>
      <c r="AT73" s="201">
        <f t="shared" si="39"/>
        <v>-2625</v>
      </c>
      <c r="AU73" s="201">
        <v>16</v>
      </c>
      <c r="AV73" s="201">
        <f t="shared" si="40"/>
        <v>-4889</v>
      </c>
      <c r="AW73" s="201" t="e">
        <f>VLOOKUP(C73,薪酬明细!A:A,2,0)</f>
        <v>#REF!</v>
      </c>
      <c r="AX73" s="201" t="b">
        <f t="shared" si="43"/>
        <v>1</v>
      </c>
      <c r="AY73" s="201" t="b">
        <f t="shared" si="44"/>
        <v>1</v>
      </c>
    </row>
    <row r="74" s="201" customFormat="1" spans="1:51">
      <c r="A74" s="163" t="s">
        <v>71</v>
      </c>
      <c r="B74" s="163" t="s">
        <v>343</v>
      </c>
      <c r="C74" s="163" t="str">
        <f t="shared" si="41"/>
        <v>开弈投资韩燕</v>
      </c>
      <c r="D74" s="163" t="s">
        <v>71</v>
      </c>
      <c r="E74" s="163"/>
      <c r="F74" s="228">
        <v>7460</v>
      </c>
      <c r="G74" s="228">
        <v>7384</v>
      </c>
      <c r="H74" s="229">
        <f t="shared" si="23"/>
        <v>596.8</v>
      </c>
      <c r="I74" s="163">
        <f t="shared" si="24"/>
        <v>149.2</v>
      </c>
      <c r="J74" s="163">
        <f t="shared" si="25"/>
        <v>37.3</v>
      </c>
      <c r="K74" s="163">
        <f t="shared" si="26"/>
        <v>517</v>
      </c>
      <c r="L74" s="230">
        <f t="shared" si="27"/>
        <v>369</v>
      </c>
      <c r="M74" s="229">
        <f t="shared" si="28"/>
        <v>1193.6</v>
      </c>
      <c r="N74" s="163">
        <f t="shared" si="29"/>
        <v>596.8</v>
      </c>
      <c r="O74" s="163">
        <f t="shared" si="30"/>
        <v>37.3</v>
      </c>
      <c r="P74" s="163">
        <f t="shared" si="31"/>
        <v>14.92</v>
      </c>
      <c r="Q74" s="163">
        <f t="shared" si="32"/>
        <v>74.6</v>
      </c>
      <c r="R74" s="163">
        <f t="shared" si="33"/>
        <v>517</v>
      </c>
      <c r="S74" s="163">
        <f t="shared" si="34"/>
        <v>369</v>
      </c>
      <c r="T74" s="230"/>
      <c r="U74" s="229">
        <f>VLOOKUP($D74,'HR|社保政策'!$A:P,6,0)</f>
        <v>0.16</v>
      </c>
      <c r="V74" s="163">
        <f>VLOOKUP($D74,'HR|社保政策'!$A:Q,7,0)</f>
        <v>0.005</v>
      </c>
      <c r="W74" s="231">
        <f>VLOOKUP($D74,'HR|社保政策'!$A:R,8,0)</f>
        <v>0.002</v>
      </c>
      <c r="X74" s="163">
        <f>VLOOKUP($D74,'HR|社保政策'!$A:S,9,0)</f>
        <v>0.01</v>
      </c>
      <c r="Y74" s="163">
        <v>0.08</v>
      </c>
      <c r="Z74" s="163">
        <f>VLOOKUP($D74,'HR|社保政策'!$A:U,11,0)</f>
        <v>0.07</v>
      </c>
      <c r="AA74" s="163">
        <f>VLOOKUP($D74,'HR|社保政策'!$A:V,12,0)</f>
        <v>0.08</v>
      </c>
      <c r="AB74" s="163">
        <f>VLOOKUP($D74,'HR|社保政策'!$A:W,13,0)</f>
        <v>0.02</v>
      </c>
      <c r="AC74" s="163">
        <f>VLOOKUP($D74,'HR|社保政策'!$A:X,14,0)</f>
        <v>0</v>
      </c>
      <c r="AD74" s="232">
        <f>VLOOKUP($D74,'HR|社保政策'!$A:Y,15,0)</f>
        <v>0.005</v>
      </c>
      <c r="AE74" s="163">
        <f>VLOOKUP($D74,'HR|社保政策'!$A:Z,16,0)</f>
        <v>0.07</v>
      </c>
      <c r="AF74" s="233">
        <v>0.05</v>
      </c>
      <c r="AG74" s="163">
        <f t="shared" si="35"/>
        <v>1669.3</v>
      </c>
      <c r="AH74" s="163">
        <f t="shared" si="36"/>
        <v>2803.22</v>
      </c>
      <c r="AI74" s="228">
        <f t="shared" si="37"/>
        <v>4472.52</v>
      </c>
      <c r="AJ74" s="234"/>
      <c r="AK74" s="234"/>
      <c r="AL74" s="234"/>
      <c r="AM74" s="234"/>
      <c r="AN74" s="234"/>
      <c r="AO74" s="234" t="str">
        <f>VLOOKUP(B74,薪酬明细!I:I,1,0)</f>
        <v>韩燕</v>
      </c>
      <c r="AP74" s="201" t="str">
        <f>VLOOKUP(C74,薪酬明细!A:A,1,0)</f>
        <v>开弈投资韩燕</v>
      </c>
      <c r="AQ74" s="201" t="str">
        <f t="shared" si="42"/>
        <v>开弈投资韩燕</v>
      </c>
      <c r="AS74" s="201">
        <f t="shared" si="38"/>
        <v>1669.3</v>
      </c>
      <c r="AT74" s="201">
        <f t="shared" si="39"/>
        <v>-1669.3</v>
      </c>
      <c r="AU74" s="201">
        <v>17</v>
      </c>
      <c r="AV74" s="201">
        <f t="shared" si="40"/>
        <v>-2786.22</v>
      </c>
      <c r="AW74" s="201" t="e">
        <f>VLOOKUP(C74,薪酬明细!A:A,2,0)</f>
        <v>#REF!</v>
      </c>
      <c r="AX74" s="201" t="b">
        <f t="shared" si="43"/>
        <v>1</v>
      </c>
      <c r="AY74" s="201" t="b">
        <f t="shared" si="44"/>
        <v>1</v>
      </c>
    </row>
    <row r="75" s="201" customFormat="1" spans="1:51">
      <c r="A75" s="163" t="s">
        <v>72</v>
      </c>
      <c r="B75" s="163" t="s">
        <v>569</v>
      </c>
      <c r="C75" s="163" t="str">
        <f t="shared" si="41"/>
        <v>弈工分信息王力</v>
      </c>
      <c r="D75" s="163" t="s">
        <v>72</v>
      </c>
      <c r="E75" s="163"/>
      <c r="F75" s="228">
        <v>7460</v>
      </c>
      <c r="G75" s="228">
        <v>7384</v>
      </c>
      <c r="H75" s="229">
        <f t="shared" si="23"/>
        <v>596.8</v>
      </c>
      <c r="I75" s="163">
        <f t="shared" si="24"/>
        <v>149.2</v>
      </c>
      <c r="J75" s="163">
        <f t="shared" si="25"/>
        <v>37.3</v>
      </c>
      <c r="K75" s="163">
        <f t="shared" si="26"/>
        <v>517</v>
      </c>
      <c r="L75" s="230">
        <f t="shared" si="27"/>
        <v>0</v>
      </c>
      <c r="M75" s="229">
        <f t="shared" si="28"/>
        <v>1193.6</v>
      </c>
      <c r="N75" s="163">
        <f t="shared" si="29"/>
        <v>596.8</v>
      </c>
      <c r="O75" s="163">
        <f t="shared" si="30"/>
        <v>37.3</v>
      </c>
      <c r="P75" s="163">
        <f t="shared" si="31"/>
        <v>14.92</v>
      </c>
      <c r="Q75" s="163">
        <f t="shared" si="32"/>
        <v>74.6</v>
      </c>
      <c r="R75" s="163">
        <f t="shared" si="33"/>
        <v>517</v>
      </c>
      <c r="S75" s="163">
        <f t="shared" si="34"/>
        <v>0</v>
      </c>
      <c r="T75" s="230"/>
      <c r="U75" s="229">
        <f>VLOOKUP($D75,'HR|社保政策'!$A:P,6,0)</f>
        <v>0.16</v>
      </c>
      <c r="V75" s="163">
        <f>VLOOKUP($D75,'HR|社保政策'!$A:Q,7,0)</f>
        <v>0.005</v>
      </c>
      <c r="W75" s="231">
        <f>VLOOKUP($D75,'HR|社保政策'!$A:R,8,0)</f>
        <v>0.002</v>
      </c>
      <c r="X75" s="163">
        <f>VLOOKUP($D75,'HR|社保政策'!$A:S,9,0)</f>
        <v>0.01</v>
      </c>
      <c r="Y75" s="163">
        <v>0.08</v>
      </c>
      <c r="Z75" s="163">
        <f>VLOOKUP($D75,'HR|社保政策'!$A:U,11,0)</f>
        <v>0.07</v>
      </c>
      <c r="AA75" s="163">
        <f>VLOOKUP($D75,'HR|社保政策'!$A:V,12,0)</f>
        <v>0.08</v>
      </c>
      <c r="AB75" s="163">
        <f>VLOOKUP($D75,'HR|社保政策'!$A:W,13,0)</f>
        <v>0.02</v>
      </c>
      <c r="AC75" s="163">
        <f>VLOOKUP($D75,'HR|社保政策'!$A:X,14,0)</f>
        <v>0</v>
      </c>
      <c r="AD75" s="232">
        <f>VLOOKUP($D75,'HR|社保政策'!$A:Y,15,0)</f>
        <v>0.005</v>
      </c>
      <c r="AE75" s="163">
        <f>VLOOKUP($D75,'HR|社保政策'!$A:Z,16,0)</f>
        <v>0.07</v>
      </c>
      <c r="AF75" s="233"/>
      <c r="AG75" s="163">
        <f t="shared" si="35"/>
        <v>1300.3</v>
      </c>
      <c r="AH75" s="163">
        <f t="shared" si="36"/>
        <v>2434.22</v>
      </c>
      <c r="AI75" s="228">
        <f t="shared" si="37"/>
        <v>3734.52</v>
      </c>
      <c r="AJ75" s="234"/>
      <c r="AK75" s="234"/>
      <c r="AL75" s="234"/>
      <c r="AM75" s="234"/>
      <c r="AN75" s="234"/>
      <c r="AO75" s="234" t="str">
        <f>VLOOKUP(B75,薪酬明细!I:I,1,0)</f>
        <v>王力</v>
      </c>
      <c r="AP75" s="201" t="str">
        <f>VLOOKUP(C75,薪酬明细!A:A,1,0)</f>
        <v>弈工分信息王力</v>
      </c>
      <c r="AQ75" s="201" t="str">
        <f t="shared" si="42"/>
        <v>弈工分信息王力</v>
      </c>
      <c r="AS75" s="201">
        <f t="shared" si="38"/>
        <v>1300.3</v>
      </c>
      <c r="AT75" s="201">
        <f t="shared" si="39"/>
        <v>-1300.3</v>
      </c>
      <c r="AU75" s="201">
        <v>19</v>
      </c>
      <c r="AV75" s="201">
        <f t="shared" si="40"/>
        <v>-2415.22</v>
      </c>
      <c r="AW75" s="201" t="e">
        <f>VLOOKUP(C75,薪酬明细!A:A,2,0)</f>
        <v>#REF!</v>
      </c>
      <c r="AX75" s="201" t="b">
        <f t="shared" si="43"/>
        <v>1</v>
      </c>
      <c r="AY75" s="201" t="b">
        <f t="shared" si="44"/>
        <v>1</v>
      </c>
    </row>
    <row r="76" s="201" customFormat="1" spans="1:51">
      <c r="A76" s="163" t="s">
        <v>71</v>
      </c>
      <c r="B76" s="163" t="s">
        <v>387</v>
      </c>
      <c r="C76" s="163" t="str">
        <f t="shared" si="41"/>
        <v>开弈投资王永佳</v>
      </c>
      <c r="D76" s="163" t="s">
        <v>71</v>
      </c>
      <c r="E76" s="163"/>
      <c r="F76" s="228">
        <v>8000</v>
      </c>
      <c r="G76" s="228">
        <v>8000</v>
      </c>
      <c r="H76" s="229">
        <f t="shared" si="23"/>
        <v>640</v>
      </c>
      <c r="I76" s="163">
        <f t="shared" si="24"/>
        <v>160</v>
      </c>
      <c r="J76" s="163">
        <f t="shared" si="25"/>
        <v>40</v>
      </c>
      <c r="K76" s="163">
        <f t="shared" si="26"/>
        <v>560</v>
      </c>
      <c r="L76" s="230">
        <f t="shared" si="27"/>
        <v>0</v>
      </c>
      <c r="M76" s="229">
        <f t="shared" si="28"/>
        <v>1280</v>
      </c>
      <c r="N76" s="163">
        <f t="shared" si="29"/>
        <v>640</v>
      </c>
      <c r="O76" s="163">
        <f t="shared" si="30"/>
        <v>40</v>
      </c>
      <c r="P76" s="163">
        <f t="shared" si="31"/>
        <v>16</v>
      </c>
      <c r="Q76" s="163">
        <f t="shared" si="32"/>
        <v>80</v>
      </c>
      <c r="R76" s="163">
        <f t="shared" si="33"/>
        <v>560</v>
      </c>
      <c r="S76" s="163">
        <f t="shared" si="34"/>
        <v>0</v>
      </c>
      <c r="T76" s="230"/>
      <c r="U76" s="229">
        <f>VLOOKUP($D76,'HR|社保政策'!$A:P,6,0)</f>
        <v>0.16</v>
      </c>
      <c r="V76" s="163">
        <f>VLOOKUP($D76,'HR|社保政策'!$A:Q,7,0)</f>
        <v>0.005</v>
      </c>
      <c r="W76" s="231">
        <f>VLOOKUP($D76,'HR|社保政策'!$A:R,8,0)</f>
        <v>0.002</v>
      </c>
      <c r="X76" s="163">
        <f>VLOOKUP($D76,'HR|社保政策'!$A:S,9,0)</f>
        <v>0.01</v>
      </c>
      <c r="Y76" s="163">
        <v>0.08</v>
      </c>
      <c r="Z76" s="163">
        <f>VLOOKUP($D76,'HR|社保政策'!$A:U,11,0)</f>
        <v>0.07</v>
      </c>
      <c r="AA76" s="163">
        <f>VLOOKUP($D76,'HR|社保政策'!$A:V,12,0)</f>
        <v>0.08</v>
      </c>
      <c r="AB76" s="163">
        <f>VLOOKUP($D76,'HR|社保政策'!$A:W,13,0)</f>
        <v>0.02</v>
      </c>
      <c r="AC76" s="163">
        <f>VLOOKUP($D76,'HR|社保政策'!$A:X,14,0)</f>
        <v>0</v>
      </c>
      <c r="AD76" s="232">
        <f>VLOOKUP($D76,'HR|社保政策'!$A:Y,15,0)</f>
        <v>0.005</v>
      </c>
      <c r="AE76" s="163">
        <f>VLOOKUP($D76,'HR|社保政策'!$A:Z,16,0)</f>
        <v>0.07</v>
      </c>
      <c r="AF76" s="233"/>
      <c r="AG76" s="163">
        <f t="shared" si="35"/>
        <v>1400</v>
      </c>
      <c r="AH76" s="163">
        <f t="shared" si="36"/>
        <v>2616</v>
      </c>
      <c r="AI76" s="228">
        <f t="shared" si="37"/>
        <v>4016</v>
      </c>
      <c r="AJ76" s="234"/>
      <c r="AK76" s="234"/>
      <c r="AL76" s="234"/>
      <c r="AM76" s="234"/>
      <c r="AN76" s="234"/>
      <c r="AO76" s="234" t="str">
        <f>VLOOKUP(B76,薪酬明细!I:I,1,0)</f>
        <v>王永佳</v>
      </c>
      <c r="AP76" s="201" t="str">
        <f>VLOOKUP(C76,薪酬明细!A:A,1,0)</f>
        <v>开弈投资王永佳</v>
      </c>
      <c r="AQ76" s="201" t="str">
        <f t="shared" si="42"/>
        <v>开弈投资王永佳</v>
      </c>
      <c r="AS76" s="201">
        <f t="shared" si="38"/>
        <v>1400</v>
      </c>
      <c r="AT76" s="201">
        <f t="shared" si="39"/>
        <v>-1400</v>
      </c>
      <c r="AU76" s="201">
        <v>20</v>
      </c>
      <c r="AV76" s="201">
        <f t="shared" si="40"/>
        <v>-2596</v>
      </c>
      <c r="AW76" s="201" t="e">
        <f>VLOOKUP(C76,薪酬明细!A:A,2,0)</f>
        <v>#REF!</v>
      </c>
      <c r="AX76" s="201" t="b">
        <f t="shared" si="43"/>
        <v>1</v>
      </c>
      <c r="AY76" s="201" t="b">
        <f t="shared" si="44"/>
        <v>1</v>
      </c>
    </row>
    <row r="77" s="201" customFormat="1" spans="1:51">
      <c r="A77" s="163" t="s">
        <v>73</v>
      </c>
      <c r="B77" s="163" t="s">
        <v>458</v>
      </c>
      <c r="C77" s="163" t="str">
        <f t="shared" si="41"/>
        <v>弈工分健康胡金明</v>
      </c>
      <c r="D77" s="163" t="s">
        <v>73</v>
      </c>
      <c r="E77" s="163"/>
      <c r="F77" s="228">
        <v>7460</v>
      </c>
      <c r="G77" s="228">
        <v>7384</v>
      </c>
      <c r="H77" s="229">
        <f t="shared" si="23"/>
        <v>596.8</v>
      </c>
      <c r="I77" s="163">
        <f t="shared" si="24"/>
        <v>149.2</v>
      </c>
      <c r="J77" s="163">
        <f t="shared" si="25"/>
        <v>37.3</v>
      </c>
      <c r="K77" s="163">
        <f t="shared" si="26"/>
        <v>517</v>
      </c>
      <c r="L77" s="230">
        <f t="shared" si="27"/>
        <v>0</v>
      </c>
      <c r="M77" s="229">
        <f t="shared" si="28"/>
        <v>1193.6</v>
      </c>
      <c r="N77" s="163">
        <f t="shared" si="29"/>
        <v>596.8</v>
      </c>
      <c r="O77" s="163">
        <f t="shared" si="30"/>
        <v>37.3</v>
      </c>
      <c r="P77" s="163">
        <f t="shared" si="31"/>
        <v>14.92</v>
      </c>
      <c r="Q77" s="163">
        <f t="shared" si="32"/>
        <v>74.6</v>
      </c>
      <c r="R77" s="163">
        <f t="shared" si="33"/>
        <v>517</v>
      </c>
      <c r="S77" s="163">
        <f t="shared" si="34"/>
        <v>0</v>
      </c>
      <c r="T77" s="230"/>
      <c r="U77" s="229">
        <f>VLOOKUP($D77,'HR|社保政策'!$A:P,6,0)</f>
        <v>0.16</v>
      </c>
      <c r="V77" s="163">
        <f>VLOOKUP($D77,'HR|社保政策'!$A:Q,7,0)</f>
        <v>0.005</v>
      </c>
      <c r="W77" s="231">
        <f>VLOOKUP($D77,'HR|社保政策'!$A:R,8,0)</f>
        <v>0.002</v>
      </c>
      <c r="X77" s="163">
        <f>VLOOKUP($D77,'HR|社保政策'!$A:S,9,0)</f>
        <v>0.01</v>
      </c>
      <c r="Y77" s="163">
        <v>0.08</v>
      </c>
      <c r="Z77" s="163">
        <f>VLOOKUP($D77,'HR|社保政策'!$A:U,11,0)</f>
        <v>0.07</v>
      </c>
      <c r="AA77" s="163">
        <f>VLOOKUP($D77,'HR|社保政策'!$A:V,12,0)</f>
        <v>0.08</v>
      </c>
      <c r="AB77" s="163">
        <f>VLOOKUP($D77,'HR|社保政策'!$A:W,13,0)</f>
        <v>0.02</v>
      </c>
      <c r="AC77" s="163">
        <f>VLOOKUP($D77,'HR|社保政策'!$A:X,14,0)</f>
        <v>0</v>
      </c>
      <c r="AD77" s="232">
        <f>VLOOKUP($D77,'HR|社保政策'!$A:Y,15,0)</f>
        <v>0.005</v>
      </c>
      <c r="AE77" s="163">
        <f>VLOOKUP($D77,'HR|社保政策'!$A:Z,16,0)</f>
        <v>0.07</v>
      </c>
      <c r="AF77" s="233"/>
      <c r="AG77" s="163">
        <f t="shared" si="35"/>
        <v>1300.3</v>
      </c>
      <c r="AH77" s="163">
        <f t="shared" si="36"/>
        <v>2434.22</v>
      </c>
      <c r="AI77" s="228">
        <f t="shared" si="37"/>
        <v>3734.52</v>
      </c>
      <c r="AJ77" s="234"/>
      <c r="AK77" s="234"/>
      <c r="AL77" s="234"/>
      <c r="AM77" s="234"/>
      <c r="AN77" s="234"/>
      <c r="AO77" s="234" t="str">
        <f>VLOOKUP(B77,薪酬明细!I:I,1,0)</f>
        <v>胡金明</v>
      </c>
      <c r="AP77" s="201" t="str">
        <f>VLOOKUP(C77,薪酬明细!A:A,1,0)</f>
        <v>弈工分健康胡金明</v>
      </c>
      <c r="AQ77" s="201" t="str">
        <f t="shared" si="42"/>
        <v>弈工分健康胡金明</v>
      </c>
      <c r="AS77" s="201">
        <f t="shared" si="38"/>
        <v>1300.3</v>
      </c>
      <c r="AT77" s="201">
        <f t="shared" si="39"/>
        <v>-1300.3</v>
      </c>
      <c r="AU77" s="201">
        <v>21</v>
      </c>
      <c r="AV77" s="201">
        <f t="shared" si="40"/>
        <v>-2413.22</v>
      </c>
      <c r="AW77" s="201" t="e">
        <f>VLOOKUP(C77,薪酬明细!A:A,2,0)</f>
        <v>#REF!</v>
      </c>
      <c r="AX77" s="201" t="b">
        <f t="shared" si="43"/>
        <v>1</v>
      </c>
      <c r="AY77" s="201" t="b">
        <f t="shared" si="44"/>
        <v>1</v>
      </c>
    </row>
    <row r="78" s="201" customFormat="1" spans="1:51">
      <c r="A78" s="163" t="s">
        <v>73</v>
      </c>
      <c r="B78" s="163" t="s">
        <v>383</v>
      </c>
      <c r="C78" s="163" t="str">
        <f t="shared" si="41"/>
        <v>弈工分健康汪顺</v>
      </c>
      <c r="D78" s="163" t="s">
        <v>73</v>
      </c>
      <c r="E78" s="163"/>
      <c r="F78" s="228">
        <v>0</v>
      </c>
      <c r="G78" s="228">
        <v>0</v>
      </c>
      <c r="H78" s="229">
        <f t="shared" si="23"/>
        <v>0</v>
      </c>
      <c r="I78" s="163">
        <f t="shared" si="24"/>
        <v>0</v>
      </c>
      <c r="J78" s="163">
        <f t="shared" si="25"/>
        <v>0</v>
      </c>
      <c r="K78" s="163">
        <f t="shared" si="26"/>
        <v>0</v>
      </c>
      <c r="L78" s="230">
        <f t="shared" si="27"/>
        <v>0</v>
      </c>
      <c r="M78" s="229">
        <f t="shared" si="28"/>
        <v>0</v>
      </c>
      <c r="N78" s="163">
        <f t="shared" si="29"/>
        <v>0</v>
      </c>
      <c r="O78" s="163">
        <f t="shared" si="30"/>
        <v>0</v>
      </c>
      <c r="P78" s="163">
        <f t="shared" si="31"/>
        <v>0</v>
      </c>
      <c r="Q78" s="163">
        <f t="shared" si="32"/>
        <v>0</v>
      </c>
      <c r="R78" s="163">
        <f t="shared" si="33"/>
        <v>0</v>
      </c>
      <c r="S78" s="163">
        <f t="shared" si="34"/>
        <v>0</v>
      </c>
      <c r="T78" s="230"/>
      <c r="U78" s="229">
        <f>VLOOKUP($D78,'HR|社保政策'!$A:P,6,0)</f>
        <v>0.16</v>
      </c>
      <c r="V78" s="163">
        <f>VLOOKUP($D78,'HR|社保政策'!$A:Q,7,0)</f>
        <v>0.005</v>
      </c>
      <c r="W78" s="231">
        <f>VLOOKUP($D78,'HR|社保政策'!$A:R,8,0)</f>
        <v>0.002</v>
      </c>
      <c r="X78" s="163">
        <f>VLOOKUP($D78,'HR|社保政策'!$A:S,9,0)</f>
        <v>0.01</v>
      </c>
      <c r="Y78" s="163">
        <v>0.08</v>
      </c>
      <c r="Z78" s="163">
        <f>VLOOKUP($D78,'HR|社保政策'!$A:U,11,0)</f>
        <v>0.07</v>
      </c>
      <c r="AA78" s="163">
        <f>VLOOKUP($D78,'HR|社保政策'!$A:V,12,0)</f>
        <v>0.08</v>
      </c>
      <c r="AB78" s="163">
        <f>VLOOKUP($D78,'HR|社保政策'!$A:W,13,0)</f>
        <v>0.02</v>
      </c>
      <c r="AC78" s="163">
        <f>VLOOKUP($D78,'HR|社保政策'!$A:X,14,0)</f>
        <v>0</v>
      </c>
      <c r="AD78" s="232">
        <f>VLOOKUP($D78,'HR|社保政策'!$A:Y,15,0)</f>
        <v>0.005</v>
      </c>
      <c r="AE78" s="163">
        <f>VLOOKUP($D78,'HR|社保政策'!$A:Z,16,0)</f>
        <v>0.07</v>
      </c>
      <c r="AF78" s="233"/>
      <c r="AG78" s="163">
        <f t="shared" si="35"/>
        <v>0</v>
      </c>
      <c r="AH78" s="163">
        <f t="shared" si="36"/>
        <v>0</v>
      </c>
      <c r="AI78" s="228">
        <f t="shared" si="37"/>
        <v>0</v>
      </c>
      <c r="AJ78" s="234"/>
      <c r="AK78" s="234"/>
      <c r="AL78" s="234"/>
      <c r="AM78" s="234"/>
      <c r="AN78" s="234"/>
      <c r="AO78" s="234" t="str">
        <f>VLOOKUP(B78,薪酬明细!I:I,1,0)</f>
        <v>汪顺</v>
      </c>
      <c r="AP78" s="201" t="str">
        <f>VLOOKUP(C78,薪酬明细!A:A,1,0)</f>
        <v>弈工分健康汪顺</v>
      </c>
      <c r="AQ78" s="201" t="str">
        <f t="shared" si="42"/>
        <v>弈工分健康汪顺</v>
      </c>
      <c r="AS78" s="201">
        <f t="shared" si="38"/>
        <v>0</v>
      </c>
      <c r="AT78" s="201">
        <f t="shared" si="39"/>
        <v>0</v>
      </c>
      <c r="AU78" s="201">
        <v>22</v>
      </c>
      <c r="AV78" s="201">
        <f t="shared" si="40"/>
        <v>22</v>
      </c>
      <c r="AW78" s="201" t="e">
        <f>VLOOKUP(C78,薪酬明细!A:A,2,0)</f>
        <v>#REF!</v>
      </c>
      <c r="AX78" s="201" t="b">
        <f t="shared" si="43"/>
        <v>1</v>
      </c>
      <c r="AY78" s="201" t="b">
        <f t="shared" si="44"/>
        <v>1</v>
      </c>
    </row>
    <row r="79" s="201" customFormat="1" spans="1:51">
      <c r="A79" s="163" t="s">
        <v>76</v>
      </c>
      <c r="B79" s="163" t="s">
        <v>381</v>
      </c>
      <c r="C79" s="163" t="str">
        <f t="shared" si="41"/>
        <v>弈工分文化王建平</v>
      </c>
      <c r="D79" s="163" t="s">
        <v>623</v>
      </c>
      <c r="E79" s="163"/>
      <c r="F79" s="228"/>
      <c r="G79" s="228"/>
      <c r="H79" s="229">
        <f t="shared" si="23"/>
        <v>0</v>
      </c>
      <c r="I79" s="163">
        <f t="shared" si="24"/>
        <v>0</v>
      </c>
      <c r="J79" s="163">
        <f t="shared" si="25"/>
        <v>0</v>
      </c>
      <c r="K79" s="163">
        <f t="shared" si="26"/>
        <v>0</v>
      </c>
      <c r="L79" s="230">
        <f t="shared" si="27"/>
        <v>0</v>
      </c>
      <c r="M79" s="229">
        <f t="shared" si="28"/>
        <v>0</v>
      </c>
      <c r="N79" s="163">
        <f t="shared" si="29"/>
        <v>0</v>
      </c>
      <c r="O79" s="163">
        <f t="shared" si="30"/>
        <v>0</v>
      </c>
      <c r="P79" s="163">
        <f t="shared" si="31"/>
        <v>0</v>
      </c>
      <c r="Q79" s="163">
        <f t="shared" si="32"/>
        <v>0</v>
      </c>
      <c r="R79" s="163">
        <f t="shared" si="33"/>
        <v>0</v>
      </c>
      <c r="S79" s="163">
        <f t="shared" si="34"/>
        <v>0</v>
      </c>
      <c r="T79" s="230"/>
      <c r="U79" s="229"/>
      <c r="V79" s="163"/>
      <c r="W79" s="231"/>
      <c r="X79" s="163"/>
      <c r="Y79" s="163"/>
      <c r="Z79" s="163"/>
      <c r="AA79" s="163"/>
      <c r="AB79" s="163"/>
      <c r="AC79" s="163"/>
      <c r="AD79" s="232"/>
      <c r="AE79" s="163"/>
      <c r="AF79" s="233"/>
      <c r="AG79" s="163"/>
      <c r="AH79" s="163"/>
      <c r="AI79" s="228"/>
      <c r="AJ79" s="234"/>
      <c r="AK79" s="234"/>
      <c r="AL79" s="234"/>
      <c r="AM79" s="234"/>
      <c r="AN79" s="234"/>
      <c r="AO79" s="234" t="str">
        <f>VLOOKUP(B79,薪酬明细!I:I,1,0)</f>
        <v>王建平</v>
      </c>
      <c r="AP79" s="201" t="str">
        <f>VLOOKUP(C79,薪酬明细!A:A,1,0)</f>
        <v>弈工分文化王建平</v>
      </c>
      <c r="AQ79" s="201" t="str">
        <f t="shared" si="42"/>
        <v>弈工分文化王建平</v>
      </c>
      <c r="AS79" s="201">
        <f t="shared" si="38"/>
        <v>0</v>
      </c>
      <c r="AT79" s="201">
        <f t="shared" si="39"/>
        <v>0</v>
      </c>
      <c r="AU79" s="201">
        <v>23</v>
      </c>
      <c r="AV79" s="201">
        <f t="shared" si="40"/>
        <v>23</v>
      </c>
      <c r="AW79" s="201" t="e">
        <f>VLOOKUP(C79,薪酬明细!A:A,2,0)</f>
        <v>#REF!</v>
      </c>
      <c r="AX79" s="201" t="b">
        <f t="shared" si="43"/>
        <v>0</v>
      </c>
      <c r="AY79" s="201" t="b">
        <f t="shared" si="44"/>
        <v>1</v>
      </c>
    </row>
    <row r="80" s="201" customFormat="1" spans="1:51">
      <c r="A80" s="163" t="s">
        <v>72</v>
      </c>
      <c r="B80" s="163" t="s">
        <v>345</v>
      </c>
      <c r="C80" s="163" t="str">
        <f t="shared" si="41"/>
        <v>弈工分信息方有保</v>
      </c>
      <c r="D80" s="163" t="s">
        <v>72</v>
      </c>
      <c r="E80" s="163"/>
      <c r="F80" s="228">
        <v>9300</v>
      </c>
      <c r="G80" s="228">
        <v>9300</v>
      </c>
      <c r="H80" s="229">
        <f t="shared" si="23"/>
        <v>744</v>
      </c>
      <c r="I80" s="163">
        <f t="shared" si="24"/>
        <v>186</v>
      </c>
      <c r="J80" s="163">
        <f t="shared" si="25"/>
        <v>46.5</v>
      </c>
      <c r="K80" s="163">
        <f t="shared" si="26"/>
        <v>651</v>
      </c>
      <c r="L80" s="230">
        <f t="shared" si="27"/>
        <v>0</v>
      </c>
      <c r="M80" s="229">
        <f t="shared" si="28"/>
        <v>1488</v>
      </c>
      <c r="N80" s="163">
        <f t="shared" si="29"/>
        <v>744</v>
      </c>
      <c r="O80" s="163">
        <f t="shared" si="30"/>
        <v>46.5</v>
      </c>
      <c r="P80" s="163">
        <f t="shared" si="31"/>
        <v>18.6</v>
      </c>
      <c r="Q80" s="163">
        <f t="shared" si="32"/>
        <v>93</v>
      </c>
      <c r="R80" s="163">
        <f t="shared" si="33"/>
        <v>651</v>
      </c>
      <c r="S80" s="163">
        <f t="shared" si="34"/>
        <v>0</v>
      </c>
      <c r="T80" s="230"/>
      <c r="U80" s="229">
        <f>VLOOKUP($D80,'HR|社保政策'!$A:P,6,0)</f>
        <v>0.16</v>
      </c>
      <c r="V80" s="163">
        <f>VLOOKUP($D80,'HR|社保政策'!$A:Q,7,0)</f>
        <v>0.005</v>
      </c>
      <c r="W80" s="231">
        <f>VLOOKUP($D80,'HR|社保政策'!$A:R,8,0)</f>
        <v>0.002</v>
      </c>
      <c r="X80" s="163">
        <f>VLOOKUP($D80,'HR|社保政策'!$A:S,9,0)</f>
        <v>0.01</v>
      </c>
      <c r="Y80" s="163">
        <v>0.08</v>
      </c>
      <c r="Z80" s="163">
        <f>VLOOKUP($D80,'HR|社保政策'!$A:U,11,0)</f>
        <v>0.07</v>
      </c>
      <c r="AA80" s="163">
        <f>VLOOKUP($D80,'HR|社保政策'!$A:V,12,0)</f>
        <v>0.08</v>
      </c>
      <c r="AB80" s="163">
        <f>VLOOKUP($D80,'HR|社保政策'!$A:W,13,0)</f>
        <v>0.02</v>
      </c>
      <c r="AC80" s="163">
        <f>VLOOKUP($D80,'HR|社保政策'!$A:X,14,0)</f>
        <v>0</v>
      </c>
      <c r="AD80" s="232">
        <f>VLOOKUP($D80,'HR|社保政策'!$A:Y,15,0)</f>
        <v>0.005</v>
      </c>
      <c r="AE80" s="163">
        <f>VLOOKUP($D80,'HR|社保政策'!$A:Z,16,0)</f>
        <v>0.07</v>
      </c>
      <c r="AF80" s="233"/>
      <c r="AG80" s="163">
        <f t="shared" ref="AG80:AG105" si="45">H80+I80+J80+K80+L80</f>
        <v>1627.5</v>
      </c>
      <c r="AH80" s="163">
        <f t="shared" ref="AH80:AH105" si="46">M80+N80+O80+P80+Q80+R80+S80</f>
        <v>3041.1</v>
      </c>
      <c r="AI80" s="228">
        <f t="shared" ref="AI80:AI105" si="47">AG80+AH80</f>
        <v>4668.6</v>
      </c>
      <c r="AJ80" s="234"/>
      <c r="AK80" s="234"/>
      <c r="AL80" s="234"/>
      <c r="AM80" s="234"/>
      <c r="AN80" s="234"/>
      <c r="AO80" s="234" t="str">
        <f>VLOOKUP(B80,薪酬明细!I:I,1,0)</f>
        <v>方有保</v>
      </c>
      <c r="AP80" s="201" t="str">
        <f>VLOOKUP(C80,薪酬明细!A:A,1,0)</f>
        <v>弈工分信息方有保</v>
      </c>
      <c r="AQ80" s="201" t="str">
        <f t="shared" si="42"/>
        <v>弈工分信息方有保</v>
      </c>
      <c r="AS80" s="201">
        <f t="shared" si="38"/>
        <v>1627.5</v>
      </c>
      <c r="AT80" s="201">
        <f t="shared" si="39"/>
        <v>-1627.5</v>
      </c>
      <c r="AU80" s="201">
        <v>24</v>
      </c>
      <c r="AV80" s="201">
        <f t="shared" si="40"/>
        <v>-3017.1</v>
      </c>
      <c r="AW80" s="201" t="e">
        <f>VLOOKUP(C80,薪酬明细!A:A,2,0)</f>
        <v>#REF!</v>
      </c>
      <c r="AX80" s="201" t="b">
        <f t="shared" si="43"/>
        <v>1</v>
      </c>
      <c r="AY80" s="201" t="b">
        <f t="shared" si="44"/>
        <v>1</v>
      </c>
    </row>
    <row r="81" s="201" customFormat="1" spans="1:51">
      <c r="A81" s="163" t="s">
        <v>72</v>
      </c>
      <c r="B81" s="163" t="s">
        <v>533</v>
      </c>
      <c r="C81" s="163" t="str">
        <f t="shared" si="41"/>
        <v>弈工分信息罗俊尧</v>
      </c>
      <c r="D81" s="163" t="s">
        <v>72</v>
      </c>
      <c r="E81" s="163"/>
      <c r="F81" s="228">
        <v>7460</v>
      </c>
      <c r="G81" s="228">
        <v>7384</v>
      </c>
      <c r="H81" s="229">
        <f t="shared" si="23"/>
        <v>596.8</v>
      </c>
      <c r="I81" s="163">
        <f t="shared" si="24"/>
        <v>149.2</v>
      </c>
      <c r="J81" s="163">
        <f t="shared" si="25"/>
        <v>37.3</v>
      </c>
      <c r="K81" s="163">
        <f t="shared" si="26"/>
        <v>517</v>
      </c>
      <c r="L81" s="230">
        <f t="shared" si="27"/>
        <v>0</v>
      </c>
      <c r="M81" s="229">
        <f t="shared" si="28"/>
        <v>1193.6</v>
      </c>
      <c r="N81" s="163">
        <f t="shared" si="29"/>
        <v>596.8</v>
      </c>
      <c r="O81" s="163">
        <f t="shared" si="30"/>
        <v>37.3</v>
      </c>
      <c r="P81" s="163">
        <f t="shared" si="31"/>
        <v>14.92</v>
      </c>
      <c r="Q81" s="163">
        <f t="shared" si="32"/>
        <v>74.6</v>
      </c>
      <c r="R81" s="163">
        <f t="shared" si="33"/>
        <v>517</v>
      </c>
      <c r="S81" s="163">
        <f t="shared" si="34"/>
        <v>0</v>
      </c>
      <c r="T81" s="230"/>
      <c r="U81" s="229">
        <f>VLOOKUP($D81,'HR|社保政策'!$A:P,6,0)</f>
        <v>0.16</v>
      </c>
      <c r="V81" s="163">
        <f>VLOOKUP($D81,'HR|社保政策'!$A:Q,7,0)</f>
        <v>0.005</v>
      </c>
      <c r="W81" s="231">
        <f>VLOOKUP($D81,'HR|社保政策'!$A:R,8,0)</f>
        <v>0.002</v>
      </c>
      <c r="X81" s="163">
        <f>VLOOKUP($D81,'HR|社保政策'!$A:S,9,0)</f>
        <v>0.01</v>
      </c>
      <c r="Y81" s="163">
        <v>0.08</v>
      </c>
      <c r="Z81" s="163">
        <f>VLOOKUP($D81,'HR|社保政策'!$A:U,11,0)</f>
        <v>0.07</v>
      </c>
      <c r="AA81" s="163">
        <f>VLOOKUP($D81,'HR|社保政策'!$A:V,12,0)</f>
        <v>0.08</v>
      </c>
      <c r="AB81" s="163">
        <f>VLOOKUP($D81,'HR|社保政策'!$A:W,13,0)</f>
        <v>0.02</v>
      </c>
      <c r="AC81" s="163">
        <f>VLOOKUP($D81,'HR|社保政策'!$A:X,14,0)</f>
        <v>0</v>
      </c>
      <c r="AD81" s="232">
        <f>VLOOKUP($D81,'HR|社保政策'!$A:Y,15,0)</f>
        <v>0.005</v>
      </c>
      <c r="AE81" s="163">
        <f>VLOOKUP($D81,'HR|社保政策'!$A:Z,16,0)</f>
        <v>0.07</v>
      </c>
      <c r="AF81" s="233"/>
      <c r="AG81" s="163">
        <f t="shared" si="45"/>
        <v>1300.3</v>
      </c>
      <c r="AH81" s="163">
        <f t="shared" si="46"/>
        <v>2434.22</v>
      </c>
      <c r="AI81" s="228">
        <f t="shared" si="47"/>
        <v>3734.52</v>
      </c>
      <c r="AJ81" s="234"/>
      <c r="AK81" s="234"/>
      <c r="AL81" s="234"/>
      <c r="AM81" s="234"/>
      <c r="AN81" s="234"/>
      <c r="AO81" s="234" t="str">
        <f>VLOOKUP(B81,薪酬明细!I:I,1,0)</f>
        <v>罗俊尧</v>
      </c>
      <c r="AP81" s="201" t="str">
        <f>VLOOKUP(C81,薪酬明细!A:A,1,0)</f>
        <v>弈工分信息罗俊尧</v>
      </c>
      <c r="AQ81" s="201" t="str">
        <f t="shared" si="42"/>
        <v>弈工分信息罗俊尧</v>
      </c>
      <c r="AS81" s="201">
        <f t="shared" si="38"/>
        <v>1300.3</v>
      </c>
      <c r="AT81" s="201">
        <f t="shared" si="39"/>
        <v>-1300.3</v>
      </c>
      <c r="AU81" s="201">
        <v>25</v>
      </c>
      <c r="AV81" s="201">
        <f t="shared" si="40"/>
        <v>-2409.22</v>
      </c>
      <c r="AW81" s="201" t="e">
        <f>VLOOKUP(C81,薪酬明细!A:A,2,0)</f>
        <v>#REF!</v>
      </c>
      <c r="AX81" s="201" t="b">
        <f t="shared" si="43"/>
        <v>1</v>
      </c>
      <c r="AY81" s="201" t="b">
        <f t="shared" si="44"/>
        <v>1</v>
      </c>
    </row>
    <row r="82" s="201" customFormat="1" spans="1:51">
      <c r="A82" s="163" t="s">
        <v>72</v>
      </c>
      <c r="B82" s="163" t="s">
        <v>528</v>
      </c>
      <c r="C82" s="163" t="str">
        <f t="shared" si="41"/>
        <v>弈工分信息党红艳</v>
      </c>
      <c r="D82" s="163" t="s">
        <v>72</v>
      </c>
      <c r="E82" s="163"/>
      <c r="F82" s="228">
        <v>7460</v>
      </c>
      <c r="G82" s="228">
        <v>7384</v>
      </c>
      <c r="H82" s="229">
        <f t="shared" si="23"/>
        <v>596.8</v>
      </c>
      <c r="I82" s="163">
        <f t="shared" si="24"/>
        <v>149.2</v>
      </c>
      <c r="J82" s="163">
        <f t="shared" si="25"/>
        <v>37.3</v>
      </c>
      <c r="K82" s="163">
        <f t="shared" si="26"/>
        <v>517</v>
      </c>
      <c r="L82" s="230">
        <f t="shared" si="27"/>
        <v>0</v>
      </c>
      <c r="M82" s="229">
        <f t="shared" si="28"/>
        <v>1193.6</v>
      </c>
      <c r="N82" s="163">
        <f t="shared" si="29"/>
        <v>596.8</v>
      </c>
      <c r="O82" s="163">
        <f t="shared" si="30"/>
        <v>37.3</v>
      </c>
      <c r="P82" s="163">
        <f t="shared" si="31"/>
        <v>14.92</v>
      </c>
      <c r="Q82" s="163">
        <f t="shared" si="32"/>
        <v>74.6</v>
      </c>
      <c r="R82" s="163">
        <f t="shared" si="33"/>
        <v>517</v>
      </c>
      <c r="S82" s="163">
        <f t="shared" si="34"/>
        <v>0</v>
      </c>
      <c r="T82" s="230"/>
      <c r="U82" s="229">
        <f>VLOOKUP($D82,'HR|社保政策'!$A:P,6,0)</f>
        <v>0.16</v>
      </c>
      <c r="V82" s="163">
        <f>VLOOKUP($D82,'HR|社保政策'!$A:Q,7,0)</f>
        <v>0.005</v>
      </c>
      <c r="W82" s="231">
        <f>VLOOKUP($D82,'HR|社保政策'!$A:R,8,0)</f>
        <v>0.002</v>
      </c>
      <c r="X82" s="163">
        <f>VLOOKUP($D82,'HR|社保政策'!$A:S,9,0)</f>
        <v>0.01</v>
      </c>
      <c r="Y82" s="163">
        <v>0.08</v>
      </c>
      <c r="Z82" s="163">
        <f>VLOOKUP($D82,'HR|社保政策'!$A:U,11,0)</f>
        <v>0.07</v>
      </c>
      <c r="AA82" s="163">
        <f>VLOOKUP($D82,'HR|社保政策'!$A:V,12,0)</f>
        <v>0.08</v>
      </c>
      <c r="AB82" s="163">
        <f>VLOOKUP($D82,'HR|社保政策'!$A:W,13,0)</f>
        <v>0.02</v>
      </c>
      <c r="AC82" s="163">
        <f>VLOOKUP($D82,'HR|社保政策'!$A:X,14,0)</f>
        <v>0</v>
      </c>
      <c r="AD82" s="232">
        <f>VLOOKUP($D82,'HR|社保政策'!$A:Y,15,0)</f>
        <v>0.005</v>
      </c>
      <c r="AE82" s="163">
        <f>VLOOKUP($D82,'HR|社保政策'!$A:Z,16,0)</f>
        <v>0.07</v>
      </c>
      <c r="AF82" s="233"/>
      <c r="AG82" s="163">
        <f t="shared" si="45"/>
        <v>1300.3</v>
      </c>
      <c r="AH82" s="163">
        <f t="shared" si="46"/>
        <v>2434.22</v>
      </c>
      <c r="AI82" s="228">
        <f t="shared" si="47"/>
        <v>3734.52</v>
      </c>
      <c r="AJ82" s="234"/>
      <c r="AK82" s="234"/>
      <c r="AL82" s="234"/>
      <c r="AM82" s="234"/>
      <c r="AN82" s="234"/>
      <c r="AO82" s="234" t="str">
        <f>VLOOKUP(B82,薪酬明细!I:I,1,0)</f>
        <v>党红艳</v>
      </c>
      <c r="AP82" s="201" t="str">
        <f>VLOOKUP(C82,薪酬明细!A:A,1,0)</f>
        <v>弈工分信息党红艳</v>
      </c>
      <c r="AQ82" s="201" t="str">
        <f t="shared" si="42"/>
        <v>弈工分信息党红艳</v>
      </c>
      <c r="AS82" s="201">
        <f t="shared" si="38"/>
        <v>1300.3</v>
      </c>
      <c r="AT82" s="201">
        <f t="shared" si="39"/>
        <v>-1300.3</v>
      </c>
      <c r="AU82" s="201">
        <v>26</v>
      </c>
      <c r="AV82" s="201">
        <f t="shared" si="40"/>
        <v>-2408.22</v>
      </c>
      <c r="AW82" s="201" t="e">
        <f>VLOOKUP(C82,薪酬明细!A:A,2,0)</f>
        <v>#REF!</v>
      </c>
      <c r="AX82" s="201" t="b">
        <f t="shared" si="43"/>
        <v>1</v>
      </c>
      <c r="AY82" s="201" t="b">
        <f t="shared" si="44"/>
        <v>1</v>
      </c>
    </row>
    <row r="83" s="201" customFormat="1" spans="1:51">
      <c r="A83" s="163" t="s">
        <v>72</v>
      </c>
      <c r="B83" s="163" t="s">
        <v>547</v>
      </c>
      <c r="C83" s="163" t="str">
        <f t="shared" si="41"/>
        <v>弈工分信息吕相坠</v>
      </c>
      <c r="D83" s="163" t="s">
        <v>72</v>
      </c>
      <c r="E83" s="163"/>
      <c r="F83" s="228">
        <v>7460</v>
      </c>
      <c r="G83" s="228">
        <v>7384</v>
      </c>
      <c r="H83" s="229">
        <f t="shared" si="23"/>
        <v>596.8</v>
      </c>
      <c r="I83" s="163">
        <f t="shared" si="24"/>
        <v>149.2</v>
      </c>
      <c r="J83" s="163">
        <f t="shared" si="25"/>
        <v>37.3</v>
      </c>
      <c r="K83" s="163">
        <f t="shared" si="26"/>
        <v>517</v>
      </c>
      <c r="L83" s="230">
        <f t="shared" si="27"/>
        <v>0</v>
      </c>
      <c r="M83" s="229">
        <f t="shared" si="28"/>
        <v>1193.6</v>
      </c>
      <c r="N83" s="163">
        <f t="shared" si="29"/>
        <v>596.8</v>
      </c>
      <c r="O83" s="163">
        <f t="shared" si="30"/>
        <v>37.3</v>
      </c>
      <c r="P83" s="163">
        <f t="shared" si="31"/>
        <v>14.92</v>
      </c>
      <c r="Q83" s="163">
        <f t="shared" si="32"/>
        <v>74.6</v>
      </c>
      <c r="R83" s="163">
        <f t="shared" si="33"/>
        <v>517</v>
      </c>
      <c r="S83" s="163">
        <f t="shared" si="34"/>
        <v>0</v>
      </c>
      <c r="T83" s="230"/>
      <c r="U83" s="229">
        <f>VLOOKUP($D83,'HR|社保政策'!$A:P,6,0)</f>
        <v>0.16</v>
      </c>
      <c r="V83" s="163">
        <f>VLOOKUP($D83,'HR|社保政策'!$A:Q,7,0)</f>
        <v>0.005</v>
      </c>
      <c r="W83" s="231">
        <f>VLOOKUP($D83,'HR|社保政策'!$A:R,8,0)</f>
        <v>0.002</v>
      </c>
      <c r="X83" s="163">
        <f>VLOOKUP($D83,'HR|社保政策'!$A:S,9,0)</f>
        <v>0.01</v>
      </c>
      <c r="Y83" s="163">
        <v>0.08</v>
      </c>
      <c r="Z83" s="163">
        <f>VLOOKUP($D83,'HR|社保政策'!$A:U,11,0)</f>
        <v>0.07</v>
      </c>
      <c r="AA83" s="163">
        <f>VLOOKUP($D83,'HR|社保政策'!$A:V,12,0)</f>
        <v>0.08</v>
      </c>
      <c r="AB83" s="163">
        <f>VLOOKUP($D83,'HR|社保政策'!$A:W,13,0)</f>
        <v>0.02</v>
      </c>
      <c r="AC83" s="163">
        <f>VLOOKUP($D83,'HR|社保政策'!$A:X,14,0)</f>
        <v>0</v>
      </c>
      <c r="AD83" s="232">
        <f>VLOOKUP($D83,'HR|社保政策'!$A:Y,15,0)</f>
        <v>0.005</v>
      </c>
      <c r="AE83" s="163">
        <f>VLOOKUP($D83,'HR|社保政策'!$A:Z,16,0)</f>
        <v>0.07</v>
      </c>
      <c r="AF83" s="233"/>
      <c r="AG83" s="163">
        <f t="shared" si="45"/>
        <v>1300.3</v>
      </c>
      <c r="AH83" s="163">
        <f t="shared" si="46"/>
        <v>2434.22</v>
      </c>
      <c r="AI83" s="228">
        <f t="shared" si="47"/>
        <v>3734.52</v>
      </c>
      <c r="AJ83" s="234"/>
      <c r="AK83" s="234"/>
      <c r="AL83" s="234"/>
      <c r="AM83" s="234"/>
      <c r="AN83" s="234"/>
      <c r="AO83" s="234" t="str">
        <f>VLOOKUP(B83,薪酬明细!I:I,1,0)</f>
        <v>吕相坠</v>
      </c>
      <c r="AP83" s="201" t="str">
        <f>VLOOKUP(C83,薪酬明细!A:A,1,0)</f>
        <v>弈工分信息吕相坠</v>
      </c>
      <c r="AQ83" s="201" t="str">
        <f t="shared" si="42"/>
        <v>弈工分信息吕相坠</v>
      </c>
      <c r="AS83" s="201">
        <f t="shared" si="38"/>
        <v>1300.3</v>
      </c>
      <c r="AT83" s="201">
        <f t="shared" si="39"/>
        <v>-1300.3</v>
      </c>
      <c r="AU83" s="201">
        <v>27</v>
      </c>
      <c r="AV83" s="201">
        <f t="shared" si="40"/>
        <v>-2407.22</v>
      </c>
      <c r="AW83" s="201" t="e">
        <f>VLOOKUP(C83,薪酬明细!A:A,2,0)</f>
        <v>#REF!</v>
      </c>
      <c r="AX83" s="201" t="b">
        <f t="shared" si="43"/>
        <v>1</v>
      </c>
      <c r="AY83" s="201" t="b">
        <f t="shared" si="44"/>
        <v>1</v>
      </c>
    </row>
    <row r="84" s="201" customFormat="1" spans="1:51">
      <c r="A84" s="163" t="s">
        <v>72</v>
      </c>
      <c r="B84" s="163" t="s">
        <v>549</v>
      </c>
      <c r="C84" s="163" t="str">
        <f t="shared" si="41"/>
        <v>弈工分信息朱鑫沛</v>
      </c>
      <c r="D84" s="163" t="s">
        <v>72</v>
      </c>
      <c r="E84" s="163"/>
      <c r="F84" s="228"/>
      <c r="G84" s="228"/>
      <c r="H84" s="229">
        <f t="shared" si="23"/>
        <v>0</v>
      </c>
      <c r="I84" s="163">
        <f t="shared" si="24"/>
        <v>0</v>
      </c>
      <c r="J84" s="163">
        <f t="shared" si="25"/>
        <v>0</v>
      </c>
      <c r="K84" s="163">
        <f t="shared" si="26"/>
        <v>0</v>
      </c>
      <c r="L84" s="230">
        <f t="shared" si="27"/>
        <v>0</v>
      </c>
      <c r="M84" s="229">
        <f t="shared" si="28"/>
        <v>0</v>
      </c>
      <c r="N84" s="163">
        <f t="shared" si="29"/>
        <v>0</v>
      </c>
      <c r="O84" s="163">
        <f t="shared" si="30"/>
        <v>0</v>
      </c>
      <c r="P84" s="163">
        <f t="shared" si="31"/>
        <v>0</v>
      </c>
      <c r="Q84" s="163">
        <f t="shared" si="32"/>
        <v>0</v>
      </c>
      <c r="R84" s="163">
        <f t="shared" si="33"/>
        <v>0</v>
      </c>
      <c r="S84" s="163">
        <f t="shared" si="34"/>
        <v>0</v>
      </c>
      <c r="T84" s="230"/>
      <c r="U84" s="229">
        <f>VLOOKUP($D84,'HR|社保政策'!$A:P,6,0)</f>
        <v>0.16</v>
      </c>
      <c r="V84" s="163">
        <f>VLOOKUP($D84,'HR|社保政策'!$A:Q,7,0)</f>
        <v>0.005</v>
      </c>
      <c r="W84" s="231">
        <f>VLOOKUP($D84,'HR|社保政策'!$A:R,8,0)</f>
        <v>0.002</v>
      </c>
      <c r="X84" s="163">
        <f>VLOOKUP($D84,'HR|社保政策'!$A:S,9,0)</f>
        <v>0.01</v>
      </c>
      <c r="Y84" s="163">
        <v>0.08</v>
      </c>
      <c r="Z84" s="163">
        <f>VLOOKUP($D84,'HR|社保政策'!$A:U,11,0)</f>
        <v>0.07</v>
      </c>
      <c r="AA84" s="163">
        <f>VLOOKUP($D84,'HR|社保政策'!$A:V,12,0)</f>
        <v>0.08</v>
      </c>
      <c r="AB84" s="163">
        <f>VLOOKUP($D84,'HR|社保政策'!$A:W,13,0)</f>
        <v>0.02</v>
      </c>
      <c r="AC84" s="163">
        <f>VLOOKUP($D84,'HR|社保政策'!$A:X,14,0)</f>
        <v>0</v>
      </c>
      <c r="AD84" s="232">
        <f>VLOOKUP($D84,'HR|社保政策'!$A:Y,15,0)</f>
        <v>0.005</v>
      </c>
      <c r="AE84" s="163">
        <f>VLOOKUP($D84,'HR|社保政策'!$A:Z,16,0)</f>
        <v>0.07</v>
      </c>
      <c r="AF84" s="233"/>
      <c r="AG84" s="163">
        <f t="shared" si="45"/>
        <v>0</v>
      </c>
      <c r="AH84" s="163">
        <f t="shared" si="46"/>
        <v>0</v>
      </c>
      <c r="AI84" s="228">
        <f t="shared" si="47"/>
        <v>0</v>
      </c>
      <c r="AJ84" s="234"/>
      <c r="AK84" s="234"/>
      <c r="AL84" s="234"/>
      <c r="AM84" s="234"/>
      <c r="AN84" s="234"/>
      <c r="AO84" s="234" t="str">
        <f>VLOOKUP(B84,薪酬明细!I:I,1,0)</f>
        <v>朱鑫沛</v>
      </c>
      <c r="AP84" s="201" t="str">
        <f>VLOOKUP(C84,薪酬明细!A:A,1,0)</f>
        <v>弈工分信息朱鑫沛</v>
      </c>
      <c r="AQ84" s="201" t="str">
        <f t="shared" si="42"/>
        <v>弈工分信息朱鑫沛</v>
      </c>
      <c r="AS84" s="201">
        <f t="shared" si="38"/>
        <v>0</v>
      </c>
      <c r="AT84" s="201">
        <f t="shared" si="39"/>
        <v>0</v>
      </c>
      <c r="AU84" s="201">
        <v>28</v>
      </c>
      <c r="AV84" s="201">
        <f t="shared" si="40"/>
        <v>28</v>
      </c>
      <c r="AW84" s="201" t="e">
        <f>VLOOKUP(C84,薪酬明细!A:A,2,0)</f>
        <v>#REF!</v>
      </c>
      <c r="AX84" s="201" t="b">
        <f t="shared" si="43"/>
        <v>1</v>
      </c>
      <c r="AY84" s="201" t="b">
        <f t="shared" si="44"/>
        <v>1</v>
      </c>
    </row>
    <row r="85" s="201" customFormat="1" spans="1:51">
      <c r="A85" s="163" t="s">
        <v>72</v>
      </c>
      <c r="B85" s="163" t="s">
        <v>557</v>
      </c>
      <c r="C85" s="163" t="str">
        <f t="shared" si="41"/>
        <v>弈工分信息苏坤</v>
      </c>
      <c r="D85" s="163" t="s">
        <v>72</v>
      </c>
      <c r="E85" s="163"/>
      <c r="F85" s="228">
        <v>8800</v>
      </c>
      <c r="G85" s="228">
        <v>8800</v>
      </c>
      <c r="H85" s="229">
        <f t="shared" si="23"/>
        <v>704</v>
      </c>
      <c r="I85" s="163">
        <f t="shared" si="24"/>
        <v>176</v>
      </c>
      <c r="J85" s="163">
        <f t="shared" si="25"/>
        <v>44</v>
      </c>
      <c r="K85" s="163">
        <f t="shared" si="26"/>
        <v>616</v>
      </c>
      <c r="L85" s="230">
        <f t="shared" si="27"/>
        <v>0</v>
      </c>
      <c r="M85" s="229">
        <f t="shared" si="28"/>
        <v>1408</v>
      </c>
      <c r="N85" s="163">
        <f t="shared" si="29"/>
        <v>704</v>
      </c>
      <c r="O85" s="163">
        <f t="shared" si="30"/>
        <v>44</v>
      </c>
      <c r="P85" s="163">
        <f t="shared" si="31"/>
        <v>17.6</v>
      </c>
      <c r="Q85" s="163">
        <f t="shared" si="32"/>
        <v>88</v>
      </c>
      <c r="R85" s="163">
        <f t="shared" si="33"/>
        <v>616</v>
      </c>
      <c r="S85" s="163">
        <f t="shared" si="34"/>
        <v>0</v>
      </c>
      <c r="T85" s="230"/>
      <c r="U85" s="229">
        <f>VLOOKUP($D85,'HR|社保政策'!$A:P,6,0)</f>
        <v>0.16</v>
      </c>
      <c r="V85" s="163">
        <f>VLOOKUP($D85,'HR|社保政策'!$A:Q,7,0)</f>
        <v>0.005</v>
      </c>
      <c r="W85" s="231">
        <f>VLOOKUP($D85,'HR|社保政策'!$A:R,8,0)</f>
        <v>0.002</v>
      </c>
      <c r="X85" s="163">
        <f>VLOOKUP($D85,'HR|社保政策'!$A:S,9,0)</f>
        <v>0.01</v>
      </c>
      <c r="Y85" s="163">
        <v>0.08</v>
      </c>
      <c r="Z85" s="163">
        <f>VLOOKUP($D85,'HR|社保政策'!$A:U,11,0)</f>
        <v>0.07</v>
      </c>
      <c r="AA85" s="163">
        <f>VLOOKUP($D85,'HR|社保政策'!$A:V,12,0)</f>
        <v>0.08</v>
      </c>
      <c r="AB85" s="163">
        <f>VLOOKUP($D85,'HR|社保政策'!$A:W,13,0)</f>
        <v>0.02</v>
      </c>
      <c r="AC85" s="163">
        <f>VLOOKUP($D85,'HR|社保政策'!$A:X,14,0)</f>
        <v>0</v>
      </c>
      <c r="AD85" s="232">
        <f>VLOOKUP($D85,'HR|社保政策'!$A:Y,15,0)</f>
        <v>0.005</v>
      </c>
      <c r="AE85" s="163">
        <f>VLOOKUP($D85,'HR|社保政策'!$A:Z,16,0)</f>
        <v>0.07</v>
      </c>
      <c r="AF85" s="233"/>
      <c r="AG85" s="163">
        <f t="shared" si="45"/>
        <v>1540</v>
      </c>
      <c r="AH85" s="163">
        <f t="shared" si="46"/>
        <v>2877.6</v>
      </c>
      <c r="AI85" s="228">
        <f t="shared" si="47"/>
        <v>4417.6</v>
      </c>
      <c r="AJ85" s="234"/>
      <c r="AK85" s="234"/>
      <c r="AL85" s="234"/>
      <c r="AM85" s="234"/>
      <c r="AN85" s="234"/>
      <c r="AO85" s="234" t="str">
        <f>VLOOKUP(B85,薪酬明细!I:I,1,0)</f>
        <v>苏坤</v>
      </c>
      <c r="AP85" s="201" t="str">
        <f>VLOOKUP(C85,薪酬明细!A:A,1,0)</f>
        <v>弈工分信息苏坤</v>
      </c>
      <c r="AQ85" s="201" t="str">
        <f t="shared" si="42"/>
        <v>弈工分信息苏坤</v>
      </c>
      <c r="AS85" s="201">
        <f t="shared" si="38"/>
        <v>1540</v>
      </c>
      <c r="AT85" s="201">
        <f t="shared" si="39"/>
        <v>-1540</v>
      </c>
      <c r="AU85" s="201">
        <v>30</v>
      </c>
      <c r="AV85" s="201">
        <f t="shared" si="40"/>
        <v>-2847.6</v>
      </c>
      <c r="AW85" s="201" t="e">
        <f>VLOOKUP(C85,薪酬明细!A:A,2,0)</f>
        <v>#REF!</v>
      </c>
      <c r="AX85" s="201" t="b">
        <f t="shared" si="43"/>
        <v>1</v>
      </c>
      <c r="AY85" s="201" t="b">
        <f t="shared" si="44"/>
        <v>1</v>
      </c>
    </row>
    <row r="86" s="201" customFormat="1" spans="1:51">
      <c r="A86" s="163" t="s">
        <v>72</v>
      </c>
      <c r="B86" s="163" t="s">
        <v>380</v>
      </c>
      <c r="C86" s="163" t="str">
        <f t="shared" si="41"/>
        <v>弈工分信息宣国英</v>
      </c>
      <c r="D86" s="163" t="s">
        <v>72</v>
      </c>
      <c r="E86" s="163"/>
      <c r="F86" s="228"/>
      <c r="G86" s="228"/>
      <c r="H86" s="229">
        <f t="shared" si="23"/>
        <v>0</v>
      </c>
      <c r="I86" s="163">
        <f t="shared" si="24"/>
        <v>0</v>
      </c>
      <c r="J86" s="163">
        <f t="shared" si="25"/>
        <v>0</v>
      </c>
      <c r="K86" s="163">
        <f t="shared" si="26"/>
        <v>0</v>
      </c>
      <c r="L86" s="230">
        <f t="shared" si="27"/>
        <v>0</v>
      </c>
      <c r="M86" s="229">
        <f t="shared" si="28"/>
        <v>0</v>
      </c>
      <c r="N86" s="163">
        <f t="shared" si="29"/>
        <v>0</v>
      </c>
      <c r="O86" s="163">
        <f t="shared" si="30"/>
        <v>0</v>
      </c>
      <c r="P86" s="163">
        <f t="shared" si="31"/>
        <v>0</v>
      </c>
      <c r="Q86" s="163">
        <f t="shared" si="32"/>
        <v>0</v>
      </c>
      <c r="R86" s="163">
        <f t="shared" si="33"/>
        <v>0</v>
      </c>
      <c r="S86" s="163">
        <f t="shared" si="34"/>
        <v>0</v>
      </c>
      <c r="T86" s="230"/>
      <c r="U86" s="229">
        <f>VLOOKUP($D86,'HR|社保政策'!$A:P,6,0)</f>
        <v>0.16</v>
      </c>
      <c r="V86" s="163">
        <f>VLOOKUP($D86,'HR|社保政策'!$A:Q,7,0)</f>
        <v>0.005</v>
      </c>
      <c r="W86" s="231">
        <f>VLOOKUP($D86,'HR|社保政策'!$A:R,8,0)</f>
        <v>0.002</v>
      </c>
      <c r="X86" s="163">
        <f>VLOOKUP($D86,'HR|社保政策'!$A:S,9,0)</f>
        <v>0.01</v>
      </c>
      <c r="Y86" s="163">
        <v>0.08</v>
      </c>
      <c r="Z86" s="163">
        <f>VLOOKUP($D86,'HR|社保政策'!$A:U,11,0)</f>
        <v>0.07</v>
      </c>
      <c r="AA86" s="163">
        <f>VLOOKUP($D86,'HR|社保政策'!$A:V,12,0)</f>
        <v>0.08</v>
      </c>
      <c r="AB86" s="163">
        <f>VLOOKUP($D86,'HR|社保政策'!$A:W,13,0)</f>
        <v>0.02</v>
      </c>
      <c r="AC86" s="163">
        <f>VLOOKUP($D86,'HR|社保政策'!$A:X,14,0)</f>
        <v>0</v>
      </c>
      <c r="AD86" s="232">
        <f>VLOOKUP($D86,'HR|社保政策'!$A:Y,15,0)</f>
        <v>0.005</v>
      </c>
      <c r="AE86" s="163">
        <f>VLOOKUP($D86,'HR|社保政策'!$A:Z,16,0)</f>
        <v>0.07</v>
      </c>
      <c r="AF86" s="233"/>
      <c r="AG86" s="163">
        <f t="shared" si="45"/>
        <v>0</v>
      </c>
      <c r="AH86" s="163">
        <f t="shared" si="46"/>
        <v>0</v>
      </c>
      <c r="AI86" s="228">
        <f t="shared" si="47"/>
        <v>0</v>
      </c>
      <c r="AJ86" s="234"/>
      <c r="AK86" s="234"/>
      <c r="AL86" s="234"/>
      <c r="AM86" s="234"/>
      <c r="AN86" s="234"/>
      <c r="AO86" s="234" t="str">
        <f>VLOOKUP(B86,薪酬明细!I:I,1,0)</f>
        <v>宣国英</v>
      </c>
      <c r="AP86" s="201" t="str">
        <f>VLOOKUP(C86,薪酬明细!A:A,1,0)</f>
        <v>弈工分信息宣国英</v>
      </c>
      <c r="AQ86" s="201" t="str">
        <f t="shared" si="42"/>
        <v>弈工分信息宣国英</v>
      </c>
      <c r="AS86" s="201">
        <f t="shared" si="38"/>
        <v>0</v>
      </c>
      <c r="AT86" s="201">
        <f t="shared" si="39"/>
        <v>0</v>
      </c>
      <c r="AU86" s="201">
        <v>31</v>
      </c>
      <c r="AV86" s="201">
        <f t="shared" si="40"/>
        <v>31</v>
      </c>
      <c r="AW86" s="201" t="e">
        <f>VLOOKUP(C86,薪酬明细!A:A,2,0)</f>
        <v>#REF!</v>
      </c>
      <c r="AX86" s="201" t="b">
        <f t="shared" si="43"/>
        <v>1</v>
      </c>
      <c r="AY86" s="201" t="b">
        <f t="shared" si="44"/>
        <v>1</v>
      </c>
    </row>
    <row r="87" s="201" customFormat="1" spans="1:51">
      <c r="A87" s="163" t="s">
        <v>72</v>
      </c>
      <c r="B87" s="163" t="s">
        <v>383</v>
      </c>
      <c r="C87" s="163" t="str">
        <f t="shared" si="41"/>
        <v>弈工分信息汪顺</v>
      </c>
      <c r="D87" s="163" t="s">
        <v>72</v>
      </c>
      <c r="E87" s="163"/>
      <c r="F87" s="228">
        <v>7460</v>
      </c>
      <c r="G87" s="228">
        <v>7384</v>
      </c>
      <c r="H87" s="229">
        <f t="shared" si="23"/>
        <v>596.8</v>
      </c>
      <c r="I87" s="163">
        <f t="shared" si="24"/>
        <v>149.2</v>
      </c>
      <c r="J87" s="163">
        <f t="shared" si="25"/>
        <v>37.3</v>
      </c>
      <c r="K87" s="163">
        <f t="shared" si="26"/>
        <v>517</v>
      </c>
      <c r="L87" s="230">
        <f t="shared" si="27"/>
        <v>0</v>
      </c>
      <c r="M87" s="229">
        <f t="shared" si="28"/>
        <v>1193.6</v>
      </c>
      <c r="N87" s="163">
        <f t="shared" si="29"/>
        <v>596.8</v>
      </c>
      <c r="O87" s="163">
        <f t="shared" si="30"/>
        <v>37.3</v>
      </c>
      <c r="P87" s="163">
        <f t="shared" si="31"/>
        <v>14.92</v>
      </c>
      <c r="Q87" s="163">
        <f t="shared" si="32"/>
        <v>74.6</v>
      </c>
      <c r="R87" s="163">
        <f t="shared" si="33"/>
        <v>517</v>
      </c>
      <c r="S87" s="163">
        <f t="shared" si="34"/>
        <v>0</v>
      </c>
      <c r="T87" s="230"/>
      <c r="U87" s="229">
        <f>VLOOKUP($D87,'HR|社保政策'!$A:P,6,0)</f>
        <v>0.16</v>
      </c>
      <c r="V87" s="163">
        <f>VLOOKUP($D87,'HR|社保政策'!$A:Q,7,0)</f>
        <v>0.005</v>
      </c>
      <c r="W87" s="231">
        <f>VLOOKUP($D87,'HR|社保政策'!$A:R,8,0)</f>
        <v>0.002</v>
      </c>
      <c r="X87" s="163">
        <f>VLOOKUP($D87,'HR|社保政策'!$A:S,9,0)</f>
        <v>0.01</v>
      </c>
      <c r="Y87" s="163">
        <v>0.08</v>
      </c>
      <c r="Z87" s="163">
        <f>VLOOKUP($D87,'HR|社保政策'!$A:U,11,0)</f>
        <v>0.07</v>
      </c>
      <c r="AA87" s="163">
        <f>VLOOKUP($D87,'HR|社保政策'!$A:V,12,0)</f>
        <v>0.08</v>
      </c>
      <c r="AB87" s="163">
        <f>VLOOKUP($D87,'HR|社保政策'!$A:W,13,0)</f>
        <v>0.02</v>
      </c>
      <c r="AC87" s="163">
        <f>VLOOKUP($D87,'HR|社保政策'!$A:X,14,0)</f>
        <v>0</v>
      </c>
      <c r="AD87" s="232">
        <f>VLOOKUP($D87,'HR|社保政策'!$A:Y,15,0)</f>
        <v>0.005</v>
      </c>
      <c r="AE87" s="163">
        <f>VLOOKUP($D87,'HR|社保政策'!$A:Z,16,0)</f>
        <v>0.07</v>
      </c>
      <c r="AF87" s="233"/>
      <c r="AG87" s="163">
        <f t="shared" si="45"/>
        <v>1300.3</v>
      </c>
      <c r="AH87" s="163">
        <f t="shared" si="46"/>
        <v>2434.22</v>
      </c>
      <c r="AI87" s="228">
        <f t="shared" si="47"/>
        <v>3734.52</v>
      </c>
      <c r="AJ87" s="234"/>
      <c r="AK87" s="234"/>
      <c r="AL87" s="234"/>
      <c r="AM87" s="234"/>
      <c r="AN87" s="234"/>
      <c r="AO87" s="234" t="str">
        <f>VLOOKUP(B87,薪酬明细!I:I,1,0)</f>
        <v>汪顺</v>
      </c>
      <c r="AP87" s="201" t="str">
        <f>VLOOKUP(C87,薪酬明细!A:A,1,0)</f>
        <v>弈工分信息汪顺</v>
      </c>
      <c r="AQ87" s="201" t="str">
        <f t="shared" si="42"/>
        <v>弈工分信息汪顺</v>
      </c>
      <c r="AS87" s="201">
        <f t="shared" si="38"/>
        <v>1300.3</v>
      </c>
      <c r="AT87" s="201">
        <f t="shared" si="39"/>
        <v>-1300.3</v>
      </c>
      <c r="AU87" s="201">
        <v>32</v>
      </c>
      <c r="AV87" s="201">
        <f t="shared" si="40"/>
        <v>-2402.22</v>
      </c>
      <c r="AW87" s="201" t="e">
        <f>VLOOKUP(C87,薪酬明细!A:A,2,0)</f>
        <v>#REF!</v>
      </c>
      <c r="AX87" s="201" t="b">
        <f t="shared" si="43"/>
        <v>1</v>
      </c>
      <c r="AY87" s="201" t="b">
        <f t="shared" si="44"/>
        <v>1</v>
      </c>
    </row>
    <row r="88" s="201" customFormat="1" spans="1:51">
      <c r="A88" s="163" t="s">
        <v>72</v>
      </c>
      <c r="B88" s="163" t="s">
        <v>545</v>
      </c>
      <c r="C88" s="163" t="str">
        <f t="shared" si="41"/>
        <v>弈工分信息董宾宾</v>
      </c>
      <c r="D88" s="163" t="s">
        <v>72</v>
      </c>
      <c r="E88" s="163"/>
      <c r="F88" s="228">
        <v>7460</v>
      </c>
      <c r="G88" s="228">
        <v>7384</v>
      </c>
      <c r="H88" s="229">
        <f t="shared" si="23"/>
        <v>596.8</v>
      </c>
      <c r="I88" s="163">
        <f t="shared" si="24"/>
        <v>149.2</v>
      </c>
      <c r="J88" s="163">
        <f t="shared" si="25"/>
        <v>37.3</v>
      </c>
      <c r="K88" s="163">
        <f t="shared" si="26"/>
        <v>517</v>
      </c>
      <c r="L88" s="230">
        <f t="shared" si="27"/>
        <v>0</v>
      </c>
      <c r="M88" s="229">
        <f t="shared" si="28"/>
        <v>1193.6</v>
      </c>
      <c r="N88" s="163">
        <f t="shared" si="29"/>
        <v>596.8</v>
      </c>
      <c r="O88" s="163">
        <f t="shared" si="30"/>
        <v>37.3</v>
      </c>
      <c r="P88" s="163">
        <f t="shared" si="31"/>
        <v>14.92</v>
      </c>
      <c r="Q88" s="163">
        <f t="shared" si="32"/>
        <v>74.6</v>
      </c>
      <c r="R88" s="163">
        <f t="shared" si="33"/>
        <v>517</v>
      </c>
      <c r="S88" s="163">
        <f t="shared" si="34"/>
        <v>0</v>
      </c>
      <c r="T88" s="230"/>
      <c r="U88" s="229">
        <f>VLOOKUP($D88,'HR|社保政策'!$A:P,6,0)</f>
        <v>0.16</v>
      </c>
      <c r="V88" s="163">
        <f>VLOOKUP($D88,'HR|社保政策'!$A:Q,7,0)</f>
        <v>0.005</v>
      </c>
      <c r="W88" s="231">
        <f>VLOOKUP($D88,'HR|社保政策'!$A:R,8,0)</f>
        <v>0.002</v>
      </c>
      <c r="X88" s="163">
        <f>VLOOKUP($D88,'HR|社保政策'!$A:S,9,0)</f>
        <v>0.01</v>
      </c>
      <c r="Y88" s="163">
        <v>0.08</v>
      </c>
      <c r="Z88" s="163">
        <f>VLOOKUP($D88,'HR|社保政策'!$A:U,11,0)</f>
        <v>0.07</v>
      </c>
      <c r="AA88" s="163">
        <f>VLOOKUP($D88,'HR|社保政策'!$A:V,12,0)</f>
        <v>0.08</v>
      </c>
      <c r="AB88" s="163">
        <f>VLOOKUP($D88,'HR|社保政策'!$A:W,13,0)</f>
        <v>0.02</v>
      </c>
      <c r="AC88" s="163">
        <f>VLOOKUP($D88,'HR|社保政策'!$A:X,14,0)</f>
        <v>0</v>
      </c>
      <c r="AD88" s="232">
        <f>VLOOKUP($D88,'HR|社保政策'!$A:Y,15,0)</f>
        <v>0.005</v>
      </c>
      <c r="AE88" s="163">
        <f>VLOOKUP($D88,'HR|社保政策'!$A:Z,16,0)</f>
        <v>0.07</v>
      </c>
      <c r="AF88" s="233"/>
      <c r="AG88" s="163">
        <f t="shared" si="45"/>
        <v>1300.3</v>
      </c>
      <c r="AH88" s="163">
        <f t="shared" si="46"/>
        <v>2434.22</v>
      </c>
      <c r="AI88" s="228">
        <f t="shared" si="47"/>
        <v>3734.52</v>
      </c>
      <c r="AJ88" s="234"/>
      <c r="AK88" s="234"/>
      <c r="AL88" s="234"/>
      <c r="AM88" s="234"/>
      <c r="AN88" s="234"/>
      <c r="AO88" s="234" t="str">
        <f>VLOOKUP(B88,薪酬明细!I:I,1,0)</f>
        <v>董宾宾</v>
      </c>
      <c r="AP88" s="201" t="str">
        <f>VLOOKUP(C88,薪酬明细!A:A,1,0)</f>
        <v>弈工分信息董宾宾</v>
      </c>
      <c r="AQ88" s="201" t="str">
        <f t="shared" si="42"/>
        <v>弈工分信息董宾宾</v>
      </c>
      <c r="AS88" s="201">
        <f t="shared" si="38"/>
        <v>1300.3</v>
      </c>
      <c r="AT88" s="201">
        <f t="shared" si="39"/>
        <v>-1300.3</v>
      </c>
      <c r="AU88" s="201">
        <v>33</v>
      </c>
      <c r="AV88" s="201">
        <f t="shared" si="40"/>
        <v>-2401.22</v>
      </c>
      <c r="AW88" s="201" t="e">
        <f>VLOOKUP(C88,薪酬明细!A:A,2,0)</f>
        <v>#REF!</v>
      </c>
      <c r="AX88" s="201" t="b">
        <f t="shared" si="43"/>
        <v>1</v>
      </c>
      <c r="AY88" s="201" t="b">
        <f t="shared" si="44"/>
        <v>1</v>
      </c>
    </row>
    <row r="89" s="201" customFormat="1" spans="1:51">
      <c r="A89" s="163" t="s">
        <v>72</v>
      </c>
      <c r="B89" s="163" t="s">
        <v>461</v>
      </c>
      <c r="C89" s="163" t="str">
        <f t="shared" si="41"/>
        <v>弈工分信息赵柳文</v>
      </c>
      <c r="D89" s="163" t="s">
        <v>72</v>
      </c>
      <c r="E89" s="163"/>
      <c r="F89" s="228">
        <v>8000</v>
      </c>
      <c r="G89" s="228">
        <v>8000</v>
      </c>
      <c r="H89" s="229">
        <f t="shared" si="23"/>
        <v>640</v>
      </c>
      <c r="I89" s="163">
        <f t="shared" si="24"/>
        <v>160</v>
      </c>
      <c r="J89" s="163">
        <f t="shared" si="25"/>
        <v>40</v>
      </c>
      <c r="K89" s="163">
        <f t="shared" si="26"/>
        <v>560</v>
      </c>
      <c r="L89" s="230">
        <f t="shared" si="27"/>
        <v>0</v>
      </c>
      <c r="M89" s="229">
        <f t="shared" si="28"/>
        <v>1280</v>
      </c>
      <c r="N89" s="163">
        <f t="shared" si="29"/>
        <v>640</v>
      </c>
      <c r="O89" s="163">
        <f t="shared" si="30"/>
        <v>40</v>
      </c>
      <c r="P89" s="163">
        <f t="shared" si="31"/>
        <v>16</v>
      </c>
      <c r="Q89" s="163">
        <f t="shared" si="32"/>
        <v>80</v>
      </c>
      <c r="R89" s="163">
        <f t="shared" si="33"/>
        <v>560</v>
      </c>
      <c r="S89" s="163">
        <f t="shared" si="34"/>
        <v>0</v>
      </c>
      <c r="T89" s="230"/>
      <c r="U89" s="229">
        <f>VLOOKUP($D89,'HR|社保政策'!$A:P,6,0)</f>
        <v>0.16</v>
      </c>
      <c r="V89" s="163">
        <f>VLOOKUP($D89,'HR|社保政策'!$A:Q,7,0)</f>
        <v>0.005</v>
      </c>
      <c r="W89" s="231">
        <f>VLOOKUP($D89,'HR|社保政策'!$A:R,8,0)</f>
        <v>0.002</v>
      </c>
      <c r="X89" s="163">
        <f>VLOOKUP($D89,'HR|社保政策'!$A:S,9,0)</f>
        <v>0.01</v>
      </c>
      <c r="Y89" s="163">
        <v>0.08</v>
      </c>
      <c r="Z89" s="163">
        <f>VLOOKUP($D89,'HR|社保政策'!$A:U,11,0)</f>
        <v>0.07</v>
      </c>
      <c r="AA89" s="163">
        <f>VLOOKUP($D89,'HR|社保政策'!$A:V,12,0)</f>
        <v>0.08</v>
      </c>
      <c r="AB89" s="163">
        <f>VLOOKUP($D89,'HR|社保政策'!$A:W,13,0)</f>
        <v>0.02</v>
      </c>
      <c r="AC89" s="163">
        <f>VLOOKUP($D89,'HR|社保政策'!$A:X,14,0)</f>
        <v>0</v>
      </c>
      <c r="AD89" s="232">
        <f>VLOOKUP($D89,'HR|社保政策'!$A:Y,15,0)</f>
        <v>0.005</v>
      </c>
      <c r="AE89" s="163">
        <f>VLOOKUP($D89,'HR|社保政策'!$A:Z,16,0)</f>
        <v>0.07</v>
      </c>
      <c r="AF89" s="233"/>
      <c r="AG89" s="163">
        <f t="shared" si="45"/>
        <v>1400</v>
      </c>
      <c r="AH89" s="163">
        <f t="shared" si="46"/>
        <v>2616</v>
      </c>
      <c r="AI89" s="228">
        <f t="shared" si="47"/>
        <v>4016</v>
      </c>
      <c r="AJ89" s="234"/>
      <c r="AK89" s="234"/>
      <c r="AL89" s="234"/>
      <c r="AM89" s="234"/>
      <c r="AN89" s="234"/>
      <c r="AO89" s="234" t="str">
        <f>VLOOKUP(B89,薪酬明细!I:I,1,0)</f>
        <v>赵柳文</v>
      </c>
      <c r="AP89" s="201" t="str">
        <f>VLOOKUP(C89,薪酬明细!A:A,1,0)</f>
        <v>弈工分信息赵柳文</v>
      </c>
      <c r="AQ89" s="201" t="str">
        <f t="shared" si="42"/>
        <v>弈工分信息赵柳文</v>
      </c>
      <c r="AS89" s="201">
        <f t="shared" si="38"/>
        <v>1400</v>
      </c>
      <c r="AT89" s="201">
        <f t="shared" si="39"/>
        <v>-1400</v>
      </c>
      <c r="AU89" s="201">
        <v>33</v>
      </c>
      <c r="AV89" s="201">
        <f t="shared" si="40"/>
        <v>-2583</v>
      </c>
      <c r="AW89" s="201" t="e">
        <f>VLOOKUP(C89,薪酬明细!A:A,2,0)</f>
        <v>#REF!</v>
      </c>
      <c r="AX89" s="201" t="b">
        <f t="shared" si="43"/>
        <v>1</v>
      </c>
      <c r="AY89" s="201" t="b">
        <f t="shared" si="44"/>
        <v>1</v>
      </c>
    </row>
    <row r="90" s="201" customFormat="1" spans="1:51">
      <c r="A90" s="163" t="s">
        <v>77</v>
      </c>
      <c r="B90" s="163" t="s">
        <v>455</v>
      </c>
      <c r="C90" s="163" t="str">
        <f t="shared" si="41"/>
        <v>微芮洺程璐</v>
      </c>
      <c r="D90" s="163" t="s">
        <v>77</v>
      </c>
      <c r="E90" s="163"/>
      <c r="F90" s="228">
        <v>7460</v>
      </c>
      <c r="G90" s="228">
        <v>7384</v>
      </c>
      <c r="H90" s="229">
        <f t="shared" si="23"/>
        <v>596.8</v>
      </c>
      <c r="I90" s="163">
        <f t="shared" si="24"/>
        <v>149.2</v>
      </c>
      <c r="J90" s="163">
        <f t="shared" si="25"/>
        <v>37.3</v>
      </c>
      <c r="K90" s="163">
        <f t="shared" si="26"/>
        <v>517</v>
      </c>
      <c r="L90" s="230">
        <f t="shared" si="27"/>
        <v>0</v>
      </c>
      <c r="M90" s="229">
        <f t="shared" si="28"/>
        <v>1193.6</v>
      </c>
      <c r="N90" s="163">
        <f t="shared" si="29"/>
        <v>596.8</v>
      </c>
      <c r="O90" s="163">
        <f t="shared" si="30"/>
        <v>37.3</v>
      </c>
      <c r="P90" s="163">
        <f t="shared" si="31"/>
        <v>14.92</v>
      </c>
      <c r="Q90" s="163">
        <f t="shared" si="32"/>
        <v>74.6</v>
      </c>
      <c r="R90" s="163">
        <f t="shared" si="33"/>
        <v>517</v>
      </c>
      <c r="S90" s="163">
        <f t="shared" si="34"/>
        <v>0</v>
      </c>
      <c r="T90" s="230"/>
      <c r="U90" s="229">
        <f>VLOOKUP($D90,'HR|社保政策'!$A:P,6,0)</f>
        <v>0.16</v>
      </c>
      <c r="V90" s="163">
        <f>VLOOKUP($D90,'HR|社保政策'!$A:Q,7,0)</f>
        <v>0.005</v>
      </c>
      <c r="W90" s="231">
        <f>VLOOKUP($D90,'HR|社保政策'!$A:R,8,0)</f>
        <v>0.002</v>
      </c>
      <c r="X90" s="163">
        <f>VLOOKUP($D90,'HR|社保政策'!$A:S,9,0)</f>
        <v>0.01</v>
      </c>
      <c r="Y90" s="163">
        <v>0.08</v>
      </c>
      <c r="Z90" s="163">
        <f>VLOOKUP($D90,'HR|社保政策'!$A:U,11,0)</f>
        <v>0.07</v>
      </c>
      <c r="AA90" s="163">
        <f>VLOOKUP($D90,'HR|社保政策'!$A:V,12,0)</f>
        <v>0.08</v>
      </c>
      <c r="AB90" s="163">
        <f>VLOOKUP($D90,'HR|社保政策'!$A:W,13,0)</f>
        <v>0.02</v>
      </c>
      <c r="AC90" s="163">
        <f>VLOOKUP($D90,'HR|社保政策'!$A:X,14,0)</f>
        <v>0</v>
      </c>
      <c r="AD90" s="232">
        <f>VLOOKUP($D90,'HR|社保政策'!$A:Y,15,0)</f>
        <v>0.005</v>
      </c>
      <c r="AE90" s="163">
        <f>VLOOKUP($D90,'HR|社保政策'!$A:Z,16,0)</f>
        <v>0.07</v>
      </c>
      <c r="AF90" s="233"/>
      <c r="AG90" s="163">
        <f t="shared" si="45"/>
        <v>1300.3</v>
      </c>
      <c r="AH90" s="163">
        <f t="shared" si="46"/>
        <v>2434.22</v>
      </c>
      <c r="AI90" s="228">
        <f t="shared" si="47"/>
        <v>3734.52</v>
      </c>
      <c r="AJ90" s="234"/>
      <c r="AK90" s="234"/>
      <c r="AL90" s="234"/>
      <c r="AM90" s="234"/>
      <c r="AN90" s="234"/>
      <c r="AO90" s="234" t="str">
        <f>VLOOKUP(B90,薪酬明细!I:I,1,0)</f>
        <v>程璐</v>
      </c>
      <c r="AP90" s="201" t="str">
        <f>VLOOKUP(C90,薪酬明细!A:A,1,0)</f>
        <v>微芮洺程璐</v>
      </c>
      <c r="AQ90" s="201" t="str">
        <f t="shared" si="42"/>
        <v>微芮洺程璐</v>
      </c>
      <c r="AS90" s="201">
        <f t="shared" si="38"/>
        <v>1300.3</v>
      </c>
      <c r="AT90" s="201">
        <f t="shared" si="39"/>
        <v>-1300.3</v>
      </c>
      <c r="AU90" s="201">
        <v>34</v>
      </c>
      <c r="AV90" s="201">
        <f t="shared" si="40"/>
        <v>-2400.22</v>
      </c>
      <c r="AW90" s="201" t="e">
        <f>VLOOKUP(C90,薪酬明细!A:A,2,0)</f>
        <v>#REF!</v>
      </c>
      <c r="AX90" s="201" t="b">
        <f t="shared" si="43"/>
        <v>1</v>
      </c>
      <c r="AY90" s="201" t="b">
        <f t="shared" si="44"/>
        <v>1</v>
      </c>
    </row>
    <row r="91" s="201" customFormat="1" spans="1:51">
      <c r="A91" s="163" t="s">
        <v>72</v>
      </c>
      <c r="B91" s="163" t="s">
        <v>553</v>
      </c>
      <c r="C91" s="163" t="str">
        <f t="shared" si="41"/>
        <v>弈工分信息贾东升</v>
      </c>
      <c r="D91" s="163" t="s">
        <v>72</v>
      </c>
      <c r="E91" s="163"/>
      <c r="F91" s="228">
        <v>7460</v>
      </c>
      <c r="G91" s="228">
        <v>7384</v>
      </c>
      <c r="H91" s="229">
        <f t="shared" si="23"/>
        <v>596.8</v>
      </c>
      <c r="I91" s="163">
        <f t="shared" si="24"/>
        <v>149.2</v>
      </c>
      <c r="J91" s="163">
        <f t="shared" si="25"/>
        <v>37.3</v>
      </c>
      <c r="K91" s="163">
        <f t="shared" si="26"/>
        <v>517</v>
      </c>
      <c r="L91" s="230">
        <f t="shared" si="27"/>
        <v>0</v>
      </c>
      <c r="M91" s="229">
        <f t="shared" si="28"/>
        <v>1193.6</v>
      </c>
      <c r="N91" s="163">
        <f t="shared" si="29"/>
        <v>596.8</v>
      </c>
      <c r="O91" s="163">
        <f t="shared" si="30"/>
        <v>37.3</v>
      </c>
      <c r="P91" s="163">
        <f t="shared" si="31"/>
        <v>14.92</v>
      </c>
      <c r="Q91" s="163">
        <f t="shared" si="32"/>
        <v>74.6</v>
      </c>
      <c r="R91" s="163">
        <f t="shared" si="33"/>
        <v>517</v>
      </c>
      <c r="S91" s="163">
        <f t="shared" si="34"/>
        <v>0</v>
      </c>
      <c r="T91" s="230"/>
      <c r="U91" s="229">
        <f>VLOOKUP($D91,'HR|社保政策'!$A:P,6,0)</f>
        <v>0.16</v>
      </c>
      <c r="V91" s="163">
        <f>VLOOKUP($D91,'HR|社保政策'!$A:Q,7,0)</f>
        <v>0.005</v>
      </c>
      <c r="W91" s="231">
        <f>VLOOKUP($D91,'HR|社保政策'!$A:R,8,0)</f>
        <v>0.002</v>
      </c>
      <c r="X91" s="163">
        <f>VLOOKUP($D91,'HR|社保政策'!$A:S,9,0)</f>
        <v>0.01</v>
      </c>
      <c r="Y91" s="163">
        <v>0.08</v>
      </c>
      <c r="Z91" s="163">
        <f>VLOOKUP($D91,'HR|社保政策'!$A:U,11,0)</f>
        <v>0.07</v>
      </c>
      <c r="AA91" s="163">
        <f>VLOOKUP($D91,'HR|社保政策'!$A:V,12,0)</f>
        <v>0.08</v>
      </c>
      <c r="AB91" s="163">
        <f>VLOOKUP($D91,'HR|社保政策'!$A:W,13,0)</f>
        <v>0.02</v>
      </c>
      <c r="AC91" s="163">
        <f>VLOOKUP($D91,'HR|社保政策'!$A:X,14,0)</f>
        <v>0</v>
      </c>
      <c r="AD91" s="232">
        <f>VLOOKUP($D91,'HR|社保政策'!$A:Y,15,0)</f>
        <v>0.005</v>
      </c>
      <c r="AE91" s="163">
        <f>VLOOKUP($D91,'HR|社保政策'!$A:Z,16,0)</f>
        <v>0.07</v>
      </c>
      <c r="AF91" s="233"/>
      <c r="AG91" s="163">
        <f t="shared" si="45"/>
        <v>1300.3</v>
      </c>
      <c r="AH91" s="163">
        <f t="shared" si="46"/>
        <v>2434.22</v>
      </c>
      <c r="AI91" s="228">
        <f t="shared" si="47"/>
        <v>3734.52</v>
      </c>
      <c r="AJ91" s="234"/>
      <c r="AK91" s="234"/>
      <c r="AL91" s="234"/>
      <c r="AM91" s="234"/>
      <c r="AN91" s="234"/>
      <c r="AO91" s="234" t="str">
        <f>VLOOKUP(B91,薪酬明细!I:I,1,0)</f>
        <v>贾东升</v>
      </c>
      <c r="AP91" s="201" t="str">
        <f>VLOOKUP(C91,薪酬明细!A:A,1,0)</f>
        <v>弈工分信息贾东升</v>
      </c>
      <c r="AQ91" s="201" t="str">
        <f t="shared" si="42"/>
        <v>弈工分信息贾东升</v>
      </c>
      <c r="AS91" s="201">
        <f t="shared" si="38"/>
        <v>1300.3</v>
      </c>
      <c r="AT91" s="201">
        <f t="shared" si="39"/>
        <v>-1300.3</v>
      </c>
      <c r="AU91" s="201">
        <v>35</v>
      </c>
      <c r="AV91" s="201">
        <f t="shared" si="40"/>
        <v>-2399.22</v>
      </c>
      <c r="AW91" s="201" t="e">
        <f>VLOOKUP(C91,薪酬明细!A:A,2,0)</f>
        <v>#REF!</v>
      </c>
      <c r="AX91" s="201" t="b">
        <f t="shared" si="43"/>
        <v>1</v>
      </c>
      <c r="AY91" s="201" t="b">
        <f t="shared" si="44"/>
        <v>1</v>
      </c>
    </row>
    <row r="92" s="201" customFormat="1" spans="1:51">
      <c r="A92" s="163" t="s">
        <v>73</v>
      </c>
      <c r="B92" s="163" t="s">
        <v>436</v>
      </c>
      <c r="C92" s="163" t="str">
        <f t="shared" si="41"/>
        <v>弈工分健康贾飞龙</v>
      </c>
      <c r="D92" s="163" t="s">
        <v>73</v>
      </c>
      <c r="E92" s="163"/>
      <c r="F92" s="228">
        <v>7460</v>
      </c>
      <c r="G92" s="228">
        <v>7384</v>
      </c>
      <c r="H92" s="229">
        <f t="shared" si="23"/>
        <v>596.8</v>
      </c>
      <c r="I92" s="163">
        <f t="shared" si="24"/>
        <v>149.2</v>
      </c>
      <c r="J92" s="163">
        <f t="shared" si="25"/>
        <v>37.3</v>
      </c>
      <c r="K92" s="163">
        <f t="shared" si="26"/>
        <v>517</v>
      </c>
      <c r="L92" s="230">
        <f t="shared" si="27"/>
        <v>0</v>
      </c>
      <c r="M92" s="229">
        <f t="shared" si="28"/>
        <v>1193.6</v>
      </c>
      <c r="N92" s="163">
        <f t="shared" si="29"/>
        <v>596.8</v>
      </c>
      <c r="O92" s="163">
        <f t="shared" si="30"/>
        <v>37.3</v>
      </c>
      <c r="P92" s="163">
        <f t="shared" si="31"/>
        <v>14.92</v>
      </c>
      <c r="Q92" s="163">
        <f t="shared" si="32"/>
        <v>74.6</v>
      </c>
      <c r="R92" s="163">
        <f t="shared" si="33"/>
        <v>517</v>
      </c>
      <c r="S92" s="163">
        <f t="shared" si="34"/>
        <v>0</v>
      </c>
      <c r="T92" s="230"/>
      <c r="U92" s="229">
        <f>VLOOKUP($D92,'HR|社保政策'!$A:P,6,0)</f>
        <v>0.16</v>
      </c>
      <c r="V92" s="163">
        <f>VLOOKUP($D92,'HR|社保政策'!$A:Q,7,0)</f>
        <v>0.005</v>
      </c>
      <c r="W92" s="231">
        <f>VLOOKUP($D92,'HR|社保政策'!$A:R,8,0)</f>
        <v>0.002</v>
      </c>
      <c r="X92" s="163">
        <f>VLOOKUP($D92,'HR|社保政策'!$A:S,9,0)</f>
        <v>0.01</v>
      </c>
      <c r="Y92" s="163">
        <v>0.08</v>
      </c>
      <c r="Z92" s="163">
        <f>VLOOKUP($D92,'HR|社保政策'!$A:U,11,0)</f>
        <v>0.07</v>
      </c>
      <c r="AA92" s="163">
        <f>VLOOKUP($D92,'HR|社保政策'!$A:V,12,0)</f>
        <v>0.08</v>
      </c>
      <c r="AB92" s="163">
        <f>VLOOKUP($D92,'HR|社保政策'!$A:W,13,0)</f>
        <v>0.02</v>
      </c>
      <c r="AC92" s="163">
        <f>VLOOKUP($D92,'HR|社保政策'!$A:X,14,0)</f>
        <v>0</v>
      </c>
      <c r="AD92" s="232">
        <f>VLOOKUP($D92,'HR|社保政策'!$A:Y,15,0)</f>
        <v>0.005</v>
      </c>
      <c r="AE92" s="163">
        <f>VLOOKUP($D92,'HR|社保政策'!$A:Z,16,0)</f>
        <v>0.07</v>
      </c>
      <c r="AF92" s="233"/>
      <c r="AG92" s="163">
        <f t="shared" si="45"/>
        <v>1300.3</v>
      </c>
      <c r="AH92" s="163">
        <f t="shared" si="46"/>
        <v>2434.22</v>
      </c>
      <c r="AI92" s="228">
        <f t="shared" si="47"/>
        <v>3734.52</v>
      </c>
      <c r="AJ92" s="234"/>
      <c r="AK92" s="234"/>
      <c r="AL92" s="234"/>
      <c r="AM92" s="234"/>
      <c r="AN92" s="234"/>
      <c r="AO92" s="234" t="str">
        <f>VLOOKUP(B92,薪酬明细!I:I,1,0)</f>
        <v>贾飞龙</v>
      </c>
      <c r="AP92" s="201" t="str">
        <f>VLOOKUP(C92,薪酬明细!A:A,1,0)</f>
        <v>弈工分健康贾飞龙</v>
      </c>
      <c r="AQ92" s="201" t="str">
        <f t="shared" si="42"/>
        <v>弈工分健康贾飞龙</v>
      </c>
      <c r="AS92" s="201">
        <f t="shared" si="38"/>
        <v>1300.3</v>
      </c>
      <c r="AT92" s="201">
        <f t="shared" si="39"/>
        <v>-1300.3</v>
      </c>
      <c r="AU92" s="201">
        <v>36</v>
      </c>
      <c r="AV92" s="201">
        <f t="shared" si="40"/>
        <v>-2398.22</v>
      </c>
      <c r="AW92" s="201" t="e">
        <f>VLOOKUP(C92,薪酬明细!A:A,2,0)</f>
        <v>#REF!</v>
      </c>
      <c r="AX92" s="201" t="b">
        <f t="shared" si="43"/>
        <v>1</v>
      </c>
      <c r="AY92" s="201" t="b">
        <f t="shared" si="44"/>
        <v>1</v>
      </c>
    </row>
    <row r="93" s="201" customFormat="1" spans="1:51">
      <c r="A93" s="163" t="s">
        <v>72</v>
      </c>
      <c r="B93" s="163" t="s">
        <v>536</v>
      </c>
      <c r="C93" s="163" t="str">
        <f t="shared" si="41"/>
        <v>弈工分信息方祥</v>
      </c>
      <c r="D93" s="163" t="s">
        <v>72</v>
      </c>
      <c r="E93" s="163"/>
      <c r="F93" s="228"/>
      <c r="G93" s="228"/>
      <c r="H93" s="229">
        <f t="shared" si="23"/>
        <v>0</v>
      </c>
      <c r="I93" s="163">
        <f t="shared" si="24"/>
        <v>0</v>
      </c>
      <c r="J93" s="163">
        <f t="shared" si="25"/>
        <v>0</v>
      </c>
      <c r="K93" s="163">
        <f t="shared" si="26"/>
        <v>0</v>
      </c>
      <c r="L93" s="230">
        <f t="shared" si="27"/>
        <v>0</v>
      </c>
      <c r="M93" s="229">
        <f t="shared" si="28"/>
        <v>0</v>
      </c>
      <c r="N93" s="163">
        <f t="shared" si="29"/>
        <v>0</v>
      </c>
      <c r="O93" s="163">
        <f t="shared" si="30"/>
        <v>0</v>
      </c>
      <c r="P93" s="163">
        <f t="shared" si="31"/>
        <v>0</v>
      </c>
      <c r="Q93" s="163">
        <f t="shared" si="32"/>
        <v>0</v>
      </c>
      <c r="R93" s="163">
        <f t="shared" si="33"/>
        <v>0</v>
      </c>
      <c r="S93" s="163">
        <f t="shared" si="34"/>
        <v>0</v>
      </c>
      <c r="T93" s="230"/>
      <c r="U93" s="229">
        <f>VLOOKUP($D93,'HR|社保政策'!$A:P,6,0)</f>
        <v>0.16</v>
      </c>
      <c r="V93" s="163">
        <f>VLOOKUP($D93,'HR|社保政策'!$A:Q,7,0)</f>
        <v>0.005</v>
      </c>
      <c r="W93" s="231">
        <f>VLOOKUP($D93,'HR|社保政策'!$A:R,8,0)</f>
        <v>0.002</v>
      </c>
      <c r="X93" s="163">
        <f>VLOOKUP($D93,'HR|社保政策'!$A:S,9,0)</f>
        <v>0.01</v>
      </c>
      <c r="Y93" s="163">
        <v>0.08</v>
      </c>
      <c r="Z93" s="163">
        <f>VLOOKUP($D93,'HR|社保政策'!$A:U,11,0)</f>
        <v>0.07</v>
      </c>
      <c r="AA93" s="163">
        <f>VLOOKUP($D93,'HR|社保政策'!$A:V,12,0)</f>
        <v>0.08</v>
      </c>
      <c r="AB93" s="163">
        <f>VLOOKUP($D93,'HR|社保政策'!$A:W,13,0)</f>
        <v>0.02</v>
      </c>
      <c r="AC93" s="163">
        <f>VLOOKUP($D93,'HR|社保政策'!$A:X,14,0)</f>
        <v>0</v>
      </c>
      <c r="AD93" s="232">
        <f>VLOOKUP($D93,'HR|社保政策'!$A:Y,15,0)</f>
        <v>0.005</v>
      </c>
      <c r="AE93" s="163">
        <f>VLOOKUP($D93,'HR|社保政策'!$A:Z,16,0)</f>
        <v>0.07</v>
      </c>
      <c r="AF93" s="233"/>
      <c r="AG93" s="163">
        <f t="shared" si="45"/>
        <v>0</v>
      </c>
      <c r="AH93" s="163">
        <f t="shared" si="46"/>
        <v>0</v>
      </c>
      <c r="AI93" s="228">
        <f t="shared" si="47"/>
        <v>0</v>
      </c>
      <c r="AJ93" s="234"/>
      <c r="AK93" s="234"/>
      <c r="AL93" s="234"/>
      <c r="AM93" s="234"/>
      <c r="AN93" s="234"/>
      <c r="AO93" s="234" t="str">
        <f>VLOOKUP(B93,薪酬明细!I:I,1,0)</f>
        <v>方祥</v>
      </c>
      <c r="AP93" s="201" t="str">
        <f>VLOOKUP(C93,薪酬明细!A:A,1,0)</f>
        <v>弈工分信息方祥</v>
      </c>
      <c r="AQ93" s="201" t="str">
        <f t="shared" si="42"/>
        <v>弈工分信息方祥</v>
      </c>
      <c r="AS93" s="201">
        <f t="shared" si="38"/>
        <v>0</v>
      </c>
      <c r="AT93" s="201">
        <f t="shared" si="39"/>
        <v>0</v>
      </c>
      <c r="AU93" s="201">
        <v>37</v>
      </c>
      <c r="AV93" s="201">
        <f t="shared" si="40"/>
        <v>37</v>
      </c>
      <c r="AW93" s="201" t="e">
        <f>VLOOKUP(C93,薪酬明细!A:A,2,0)</f>
        <v>#REF!</v>
      </c>
      <c r="AX93" s="201" t="b">
        <f t="shared" si="43"/>
        <v>1</v>
      </c>
      <c r="AY93" s="201" t="b">
        <f t="shared" si="44"/>
        <v>1</v>
      </c>
    </row>
    <row r="94" s="201" customFormat="1" spans="1:51">
      <c r="A94" s="163" t="s">
        <v>71</v>
      </c>
      <c r="B94" s="163" t="s">
        <v>378</v>
      </c>
      <c r="C94" s="163" t="str">
        <f t="shared" si="41"/>
        <v>开弈投资邵吴慧</v>
      </c>
      <c r="D94" s="163" t="s">
        <v>71</v>
      </c>
      <c r="E94" s="163"/>
      <c r="F94" s="228">
        <v>7460</v>
      </c>
      <c r="G94" s="228">
        <v>7384</v>
      </c>
      <c r="H94" s="229">
        <f t="shared" si="23"/>
        <v>596.8</v>
      </c>
      <c r="I94" s="163">
        <f t="shared" si="24"/>
        <v>149.2</v>
      </c>
      <c r="J94" s="163">
        <f t="shared" si="25"/>
        <v>37.3</v>
      </c>
      <c r="K94" s="163">
        <f t="shared" si="26"/>
        <v>517</v>
      </c>
      <c r="L94" s="230">
        <f t="shared" si="27"/>
        <v>0</v>
      </c>
      <c r="M94" s="229">
        <f t="shared" si="28"/>
        <v>1193.6</v>
      </c>
      <c r="N94" s="163">
        <f t="shared" si="29"/>
        <v>596.8</v>
      </c>
      <c r="O94" s="163">
        <f t="shared" si="30"/>
        <v>37.3</v>
      </c>
      <c r="P94" s="163">
        <f t="shared" si="31"/>
        <v>14.92</v>
      </c>
      <c r="Q94" s="163">
        <f t="shared" si="32"/>
        <v>74.6</v>
      </c>
      <c r="R94" s="163">
        <f t="shared" si="33"/>
        <v>517</v>
      </c>
      <c r="S94" s="163">
        <f t="shared" si="34"/>
        <v>0</v>
      </c>
      <c r="T94" s="230"/>
      <c r="U94" s="229">
        <f>VLOOKUP($D94,'HR|社保政策'!$A:P,6,0)</f>
        <v>0.16</v>
      </c>
      <c r="V94" s="163">
        <f>VLOOKUP($D94,'HR|社保政策'!$A:Q,7,0)</f>
        <v>0.005</v>
      </c>
      <c r="W94" s="231">
        <f>VLOOKUP($D94,'HR|社保政策'!$A:R,8,0)</f>
        <v>0.002</v>
      </c>
      <c r="X94" s="163">
        <f>VLOOKUP($D94,'HR|社保政策'!$A:S,9,0)</f>
        <v>0.01</v>
      </c>
      <c r="Y94" s="163">
        <v>0.08</v>
      </c>
      <c r="Z94" s="163">
        <f>VLOOKUP($D94,'HR|社保政策'!$A:U,11,0)</f>
        <v>0.07</v>
      </c>
      <c r="AA94" s="163">
        <f>VLOOKUP($D94,'HR|社保政策'!$A:V,12,0)</f>
        <v>0.08</v>
      </c>
      <c r="AB94" s="163">
        <f>VLOOKUP($D94,'HR|社保政策'!$A:W,13,0)</f>
        <v>0.02</v>
      </c>
      <c r="AC94" s="163">
        <f>VLOOKUP($D94,'HR|社保政策'!$A:X,14,0)</f>
        <v>0</v>
      </c>
      <c r="AD94" s="232">
        <f>VLOOKUP($D94,'HR|社保政策'!$A:Y,15,0)</f>
        <v>0.005</v>
      </c>
      <c r="AE94" s="163">
        <f>VLOOKUP($D94,'HR|社保政策'!$A:Z,16,0)</f>
        <v>0.07</v>
      </c>
      <c r="AF94" s="233"/>
      <c r="AG94" s="163">
        <f t="shared" si="45"/>
        <v>1300.3</v>
      </c>
      <c r="AH94" s="163">
        <f t="shared" si="46"/>
        <v>2434.22</v>
      </c>
      <c r="AI94" s="228">
        <f t="shared" si="47"/>
        <v>3734.52</v>
      </c>
      <c r="AJ94" s="234"/>
      <c r="AK94" s="234"/>
      <c r="AL94" s="234"/>
      <c r="AM94" s="234"/>
      <c r="AN94" s="234"/>
      <c r="AO94" s="234" t="str">
        <f>VLOOKUP(B94,薪酬明细!I:I,1,0)</f>
        <v>邵吴慧</v>
      </c>
      <c r="AP94" s="201" t="str">
        <f>VLOOKUP(C94,薪酬明细!A:A,1,0)</f>
        <v>开弈投资邵吴慧</v>
      </c>
      <c r="AQ94" s="201" t="str">
        <f t="shared" si="42"/>
        <v>开弈投资邵吴慧</v>
      </c>
      <c r="AS94" s="201">
        <f t="shared" si="38"/>
        <v>1300.3</v>
      </c>
      <c r="AT94" s="201">
        <f t="shared" si="39"/>
        <v>-1300.3</v>
      </c>
      <c r="AU94" s="201">
        <v>39</v>
      </c>
      <c r="AV94" s="201">
        <f t="shared" si="40"/>
        <v>-2395.22</v>
      </c>
      <c r="AW94" s="201" t="e">
        <f>VLOOKUP(C94,薪酬明细!A:A,2,0)</f>
        <v>#REF!</v>
      </c>
      <c r="AX94" s="201" t="b">
        <f t="shared" si="43"/>
        <v>1</v>
      </c>
      <c r="AY94" s="201" t="b">
        <f t="shared" si="44"/>
        <v>1</v>
      </c>
    </row>
    <row r="95" s="201" customFormat="1" spans="1:51">
      <c r="A95" s="163" t="s">
        <v>71</v>
      </c>
      <c r="B95" s="163" t="s">
        <v>361</v>
      </c>
      <c r="C95" s="163" t="str">
        <f t="shared" si="41"/>
        <v>开弈投资周凯楠</v>
      </c>
      <c r="D95" s="163" t="s">
        <v>71</v>
      </c>
      <c r="E95" s="163"/>
      <c r="F95" s="228">
        <v>7460</v>
      </c>
      <c r="G95" s="228">
        <v>7384</v>
      </c>
      <c r="H95" s="229">
        <f t="shared" si="23"/>
        <v>596.8</v>
      </c>
      <c r="I95" s="163">
        <f t="shared" si="24"/>
        <v>149.2</v>
      </c>
      <c r="J95" s="163">
        <f t="shared" si="25"/>
        <v>37.3</v>
      </c>
      <c r="K95" s="163">
        <f t="shared" si="26"/>
        <v>517</v>
      </c>
      <c r="L95" s="230">
        <f t="shared" si="27"/>
        <v>0</v>
      </c>
      <c r="M95" s="229">
        <f t="shared" si="28"/>
        <v>1193.6</v>
      </c>
      <c r="N95" s="163">
        <f t="shared" si="29"/>
        <v>596.8</v>
      </c>
      <c r="O95" s="163">
        <f t="shared" si="30"/>
        <v>37.3</v>
      </c>
      <c r="P95" s="163">
        <f t="shared" si="31"/>
        <v>14.92</v>
      </c>
      <c r="Q95" s="163">
        <f t="shared" si="32"/>
        <v>74.6</v>
      </c>
      <c r="R95" s="163">
        <f t="shared" si="33"/>
        <v>517</v>
      </c>
      <c r="S95" s="163">
        <f t="shared" si="34"/>
        <v>0</v>
      </c>
      <c r="T95" s="230"/>
      <c r="U95" s="229">
        <f>VLOOKUP($D95,'HR|社保政策'!$A:P,6,0)</f>
        <v>0.16</v>
      </c>
      <c r="V95" s="163">
        <f>VLOOKUP($D95,'HR|社保政策'!$A:Q,7,0)</f>
        <v>0.005</v>
      </c>
      <c r="W95" s="231">
        <f>VLOOKUP($D95,'HR|社保政策'!$A:R,8,0)</f>
        <v>0.002</v>
      </c>
      <c r="X95" s="163">
        <f>VLOOKUP($D95,'HR|社保政策'!$A:S,9,0)</f>
        <v>0.01</v>
      </c>
      <c r="Y95" s="163">
        <v>0.08</v>
      </c>
      <c r="Z95" s="163">
        <f>VLOOKUP($D95,'HR|社保政策'!$A:U,11,0)</f>
        <v>0.07</v>
      </c>
      <c r="AA95" s="163">
        <f>VLOOKUP($D95,'HR|社保政策'!$A:V,12,0)</f>
        <v>0.08</v>
      </c>
      <c r="AB95" s="163">
        <f>VLOOKUP($D95,'HR|社保政策'!$A:W,13,0)</f>
        <v>0.02</v>
      </c>
      <c r="AC95" s="163">
        <f>VLOOKUP($D95,'HR|社保政策'!$A:X,14,0)</f>
        <v>0</v>
      </c>
      <c r="AD95" s="232">
        <f>VLOOKUP($D95,'HR|社保政策'!$A:Y,15,0)</f>
        <v>0.005</v>
      </c>
      <c r="AE95" s="163">
        <f>VLOOKUP($D95,'HR|社保政策'!$A:Z,16,0)</f>
        <v>0.07</v>
      </c>
      <c r="AF95" s="233"/>
      <c r="AG95" s="163">
        <f t="shared" si="45"/>
        <v>1300.3</v>
      </c>
      <c r="AH95" s="163">
        <f t="shared" si="46"/>
        <v>2434.22</v>
      </c>
      <c r="AI95" s="228">
        <f t="shared" si="47"/>
        <v>3734.52</v>
      </c>
      <c r="AJ95" s="234"/>
      <c r="AK95" s="234"/>
      <c r="AL95" s="234"/>
      <c r="AM95" s="234"/>
      <c r="AN95" s="234"/>
      <c r="AO95" s="234" t="str">
        <f>VLOOKUP(B95,薪酬明细!I:I,1,0)</f>
        <v>周凯楠</v>
      </c>
      <c r="AP95" s="201" t="str">
        <f>VLOOKUP(C95,薪酬明细!A:A,1,0)</f>
        <v>开弈投资周凯楠</v>
      </c>
      <c r="AQ95" s="201" t="str">
        <f t="shared" si="42"/>
        <v>开弈投资周凯楠</v>
      </c>
      <c r="AS95" s="201">
        <f t="shared" si="38"/>
        <v>1300.3</v>
      </c>
      <c r="AT95" s="201">
        <f t="shared" si="39"/>
        <v>-1300.3</v>
      </c>
      <c r="AU95" s="201">
        <v>38</v>
      </c>
      <c r="AV95" s="201">
        <f t="shared" si="40"/>
        <v>-2396.22</v>
      </c>
      <c r="AW95" s="201" t="e">
        <f>VLOOKUP(C95,薪酬明细!A:A,2,0)</f>
        <v>#REF!</v>
      </c>
      <c r="AX95" s="201" t="b">
        <f t="shared" si="43"/>
        <v>1</v>
      </c>
      <c r="AY95" s="201" t="b">
        <f t="shared" si="44"/>
        <v>1</v>
      </c>
    </row>
    <row r="96" s="201" customFormat="1" spans="1:51">
      <c r="A96" s="163" t="s">
        <v>78</v>
      </c>
      <c r="B96" s="163" t="s">
        <v>440</v>
      </c>
      <c r="C96" s="163" t="str">
        <f t="shared" si="41"/>
        <v>时代人才蒋孝峰</v>
      </c>
      <c r="D96" s="163" t="s">
        <v>78</v>
      </c>
      <c r="E96" s="163"/>
      <c r="F96" s="228">
        <v>7460</v>
      </c>
      <c r="G96" s="228">
        <v>4800</v>
      </c>
      <c r="H96" s="229">
        <f t="shared" si="23"/>
        <v>596.8</v>
      </c>
      <c r="I96" s="163">
        <f t="shared" si="24"/>
        <v>149.2</v>
      </c>
      <c r="J96" s="163">
        <f t="shared" si="25"/>
        <v>37.3</v>
      </c>
      <c r="K96" s="163">
        <f t="shared" si="26"/>
        <v>336</v>
      </c>
      <c r="L96" s="230">
        <f t="shared" si="27"/>
        <v>0</v>
      </c>
      <c r="M96" s="229">
        <f t="shared" si="28"/>
        <v>1193.6</v>
      </c>
      <c r="N96" s="163">
        <f t="shared" si="29"/>
        <v>596.8</v>
      </c>
      <c r="O96" s="163">
        <f t="shared" si="30"/>
        <v>37.3</v>
      </c>
      <c r="P96" s="163">
        <f t="shared" si="31"/>
        <v>14.92</v>
      </c>
      <c r="Q96" s="163">
        <f t="shared" si="32"/>
        <v>74.6</v>
      </c>
      <c r="R96" s="163">
        <f t="shared" si="33"/>
        <v>336</v>
      </c>
      <c r="S96" s="163">
        <f t="shared" si="34"/>
        <v>0</v>
      </c>
      <c r="T96" s="230"/>
      <c r="U96" s="229">
        <f>VLOOKUP($D96,'HR|社保政策'!$A:P,6,0)</f>
        <v>0.16</v>
      </c>
      <c r="V96" s="163">
        <f>VLOOKUP($D96,'HR|社保政策'!$A:Q,7,0)</f>
        <v>0.005</v>
      </c>
      <c r="W96" s="231">
        <f>VLOOKUP($D96,'HR|社保政策'!$A:R,8,0)</f>
        <v>0.002</v>
      </c>
      <c r="X96" s="163">
        <f>VLOOKUP($D96,'HR|社保政策'!$A:S,9,0)</f>
        <v>0.01</v>
      </c>
      <c r="Y96" s="163">
        <v>0.08</v>
      </c>
      <c r="Z96" s="163">
        <f>VLOOKUP($D96,'HR|社保政策'!$A:U,11,0)</f>
        <v>0.07</v>
      </c>
      <c r="AA96" s="163">
        <f>VLOOKUP($D96,'HR|社保政策'!$A:V,12,0)</f>
        <v>0.08</v>
      </c>
      <c r="AB96" s="163">
        <f>VLOOKUP($D96,'HR|社保政策'!$A:W,13,0)</f>
        <v>0.02</v>
      </c>
      <c r="AC96" s="163">
        <f>VLOOKUP($D96,'HR|社保政策'!$A:X,14,0)</f>
        <v>0</v>
      </c>
      <c r="AD96" s="232">
        <f>VLOOKUP($D96,'HR|社保政策'!$A:Y,15,0)</f>
        <v>0.005</v>
      </c>
      <c r="AE96" s="163">
        <f>VLOOKUP($D96,'HR|社保政策'!$A:Z,16,0)</f>
        <v>0.07</v>
      </c>
      <c r="AF96" s="233"/>
      <c r="AG96" s="163">
        <f t="shared" si="45"/>
        <v>1119.3</v>
      </c>
      <c r="AH96" s="163">
        <f t="shared" si="46"/>
        <v>2253.22</v>
      </c>
      <c r="AI96" s="228">
        <f t="shared" si="47"/>
        <v>3372.52</v>
      </c>
      <c r="AJ96" s="234"/>
      <c r="AK96" s="234"/>
      <c r="AL96" s="234"/>
      <c r="AM96" s="234"/>
      <c r="AN96" s="234"/>
      <c r="AO96" s="234" t="str">
        <f>VLOOKUP(B96,薪酬明细!I:I,1,0)</f>
        <v>蒋孝峰</v>
      </c>
      <c r="AP96" s="201" t="str">
        <f>VLOOKUP(C96,薪酬明细!A:A,1,0)</f>
        <v>时代人才蒋孝峰</v>
      </c>
      <c r="AQ96" s="201" t="str">
        <f t="shared" si="42"/>
        <v>时代人才蒋孝峰</v>
      </c>
      <c r="AS96" s="201">
        <f t="shared" si="38"/>
        <v>1119.3</v>
      </c>
      <c r="AT96" s="201">
        <f t="shared" si="39"/>
        <v>-1119.3</v>
      </c>
      <c r="AU96" s="201">
        <v>40</v>
      </c>
      <c r="AV96" s="201">
        <f t="shared" si="40"/>
        <v>-2213.22</v>
      </c>
      <c r="AW96" s="201" t="e">
        <f>VLOOKUP(C96,薪酬明细!A:A,2,0)</f>
        <v>#REF!</v>
      </c>
      <c r="AX96" s="201" t="b">
        <f t="shared" si="43"/>
        <v>1</v>
      </c>
      <c r="AY96" s="201" t="b">
        <f t="shared" si="44"/>
        <v>1</v>
      </c>
    </row>
    <row r="97" s="201" customFormat="1" spans="1:51">
      <c r="A97" s="163" t="s">
        <v>72</v>
      </c>
      <c r="B97" s="163" t="s">
        <v>438</v>
      </c>
      <c r="C97" s="163" t="str">
        <f t="shared" si="41"/>
        <v>弈工分信息安东生</v>
      </c>
      <c r="D97" s="163" t="s">
        <v>72</v>
      </c>
      <c r="E97" s="163"/>
      <c r="F97" s="228">
        <v>7460</v>
      </c>
      <c r="G97" s="228">
        <v>4000</v>
      </c>
      <c r="H97" s="229">
        <f t="shared" si="23"/>
        <v>596.8</v>
      </c>
      <c r="I97" s="163">
        <f t="shared" si="24"/>
        <v>149.2</v>
      </c>
      <c r="J97" s="163">
        <f t="shared" si="25"/>
        <v>37.3</v>
      </c>
      <c r="K97" s="163">
        <f t="shared" si="26"/>
        <v>280</v>
      </c>
      <c r="L97" s="230">
        <f t="shared" si="27"/>
        <v>0</v>
      </c>
      <c r="M97" s="229">
        <f t="shared" si="28"/>
        <v>1193.6</v>
      </c>
      <c r="N97" s="163">
        <f t="shared" si="29"/>
        <v>596.8</v>
      </c>
      <c r="O97" s="163">
        <f t="shared" si="30"/>
        <v>37.3</v>
      </c>
      <c r="P97" s="163">
        <f t="shared" si="31"/>
        <v>14.92</v>
      </c>
      <c r="Q97" s="163">
        <f t="shared" si="32"/>
        <v>74.6</v>
      </c>
      <c r="R97" s="163">
        <f t="shared" si="33"/>
        <v>280</v>
      </c>
      <c r="S97" s="163">
        <f t="shared" si="34"/>
        <v>0</v>
      </c>
      <c r="T97" s="230"/>
      <c r="U97" s="229">
        <f>VLOOKUP($D97,'HR|社保政策'!$A:P,6,0)</f>
        <v>0.16</v>
      </c>
      <c r="V97" s="163">
        <f>VLOOKUP($D97,'HR|社保政策'!$A:Q,7,0)</f>
        <v>0.005</v>
      </c>
      <c r="W97" s="231">
        <f>VLOOKUP($D97,'HR|社保政策'!$A:R,8,0)</f>
        <v>0.002</v>
      </c>
      <c r="X97" s="163">
        <f>VLOOKUP($D97,'HR|社保政策'!$A:S,9,0)</f>
        <v>0.01</v>
      </c>
      <c r="Y97" s="163">
        <v>0.08</v>
      </c>
      <c r="Z97" s="163">
        <f>VLOOKUP($D97,'HR|社保政策'!$A:U,11,0)</f>
        <v>0.07</v>
      </c>
      <c r="AA97" s="163">
        <f>VLOOKUP($D97,'HR|社保政策'!$A:V,12,0)</f>
        <v>0.08</v>
      </c>
      <c r="AB97" s="163">
        <f>VLOOKUP($D97,'HR|社保政策'!$A:W,13,0)</f>
        <v>0.02</v>
      </c>
      <c r="AC97" s="163">
        <f>VLOOKUP($D97,'HR|社保政策'!$A:X,14,0)</f>
        <v>0</v>
      </c>
      <c r="AD97" s="232">
        <f>VLOOKUP($D97,'HR|社保政策'!$A:Y,15,0)</f>
        <v>0.005</v>
      </c>
      <c r="AE97" s="163">
        <f>VLOOKUP($D97,'HR|社保政策'!$A:Z,16,0)</f>
        <v>0.07</v>
      </c>
      <c r="AF97" s="233"/>
      <c r="AG97" s="163">
        <f t="shared" si="45"/>
        <v>1063.3</v>
      </c>
      <c r="AH97" s="163">
        <f t="shared" si="46"/>
        <v>2197.22</v>
      </c>
      <c r="AI97" s="228">
        <f t="shared" si="47"/>
        <v>3260.52</v>
      </c>
      <c r="AJ97" s="234"/>
      <c r="AK97" s="234"/>
      <c r="AL97" s="234"/>
      <c r="AM97" s="234"/>
      <c r="AN97" s="234"/>
      <c r="AO97" s="234" t="str">
        <f>VLOOKUP(B97,薪酬明细!I:I,1,0)</f>
        <v>安东生</v>
      </c>
      <c r="AP97" s="201" t="str">
        <f>VLOOKUP(C97,薪酬明细!A:A,1,0)</f>
        <v>弈工分信息安东生</v>
      </c>
      <c r="AQ97" s="201" t="str">
        <f t="shared" si="42"/>
        <v>弈工分信息安东生</v>
      </c>
      <c r="AS97" s="201">
        <f t="shared" si="38"/>
        <v>1063.3</v>
      </c>
      <c r="AT97" s="201">
        <f t="shared" si="39"/>
        <v>-1063.3</v>
      </c>
      <c r="AU97" s="201">
        <v>41</v>
      </c>
      <c r="AV97" s="201">
        <f t="shared" si="40"/>
        <v>-2156.22</v>
      </c>
      <c r="AW97" s="201" t="e">
        <f>VLOOKUP(C97,薪酬明细!A:A,2,0)</f>
        <v>#REF!</v>
      </c>
      <c r="AX97" s="201" t="b">
        <f t="shared" si="43"/>
        <v>1</v>
      </c>
      <c r="AY97" s="201" t="b">
        <f t="shared" si="44"/>
        <v>1</v>
      </c>
    </row>
    <row r="98" s="201" customFormat="1" spans="1:51">
      <c r="A98" s="163" t="s">
        <v>72</v>
      </c>
      <c r="B98" s="163" t="s">
        <v>562</v>
      </c>
      <c r="C98" s="163" t="str">
        <f t="shared" si="41"/>
        <v>弈工分信息安子玥</v>
      </c>
      <c r="D98" s="163" t="s">
        <v>72</v>
      </c>
      <c r="E98" s="163"/>
      <c r="F98" s="228"/>
      <c r="G98" s="228"/>
      <c r="H98" s="229">
        <f t="shared" si="23"/>
        <v>0</v>
      </c>
      <c r="I98" s="163">
        <f t="shared" si="24"/>
        <v>0</v>
      </c>
      <c r="J98" s="163">
        <f t="shared" si="25"/>
        <v>0</v>
      </c>
      <c r="K98" s="163">
        <f t="shared" si="26"/>
        <v>0</v>
      </c>
      <c r="L98" s="230">
        <f t="shared" si="27"/>
        <v>0</v>
      </c>
      <c r="M98" s="229">
        <f t="shared" si="28"/>
        <v>0</v>
      </c>
      <c r="N98" s="163">
        <f t="shared" si="29"/>
        <v>0</v>
      </c>
      <c r="O98" s="163">
        <f t="shared" si="30"/>
        <v>0</v>
      </c>
      <c r="P98" s="163">
        <f t="shared" si="31"/>
        <v>0</v>
      </c>
      <c r="Q98" s="163">
        <f t="shared" si="32"/>
        <v>0</v>
      </c>
      <c r="R98" s="163">
        <f t="shared" si="33"/>
        <v>0</v>
      </c>
      <c r="S98" s="163">
        <f t="shared" si="34"/>
        <v>0</v>
      </c>
      <c r="T98" s="230"/>
      <c r="U98" s="229">
        <f>VLOOKUP($D98,'HR|社保政策'!$A:P,6,0)</f>
        <v>0.16</v>
      </c>
      <c r="V98" s="163">
        <f>VLOOKUP($D98,'HR|社保政策'!$A:Q,7,0)</f>
        <v>0.005</v>
      </c>
      <c r="W98" s="231">
        <f>VLOOKUP($D98,'HR|社保政策'!$A:R,8,0)</f>
        <v>0.002</v>
      </c>
      <c r="X98" s="163">
        <f>VLOOKUP($D98,'HR|社保政策'!$A:S,9,0)</f>
        <v>0.01</v>
      </c>
      <c r="Y98" s="163">
        <v>0.08</v>
      </c>
      <c r="Z98" s="163">
        <f>VLOOKUP($D98,'HR|社保政策'!$A:U,11,0)</f>
        <v>0.07</v>
      </c>
      <c r="AA98" s="163">
        <f>VLOOKUP($D98,'HR|社保政策'!$A:V,12,0)</f>
        <v>0.08</v>
      </c>
      <c r="AB98" s="163">
        <f>VLOOKUP($D98,'HR|社保政策'!$A:W,13,0)</f>
        <v>0.02</v>
      </c>
      <c r="AC98" s="163">
        <f>VLOOKUP($D98,'HR|社保政策'!$A:X,14,0)</f>
        <v>0</v>
      </c>
      <c r="AD98" s="232">
        <f>VLOOKUP($D98,'HR|社保政策'!$A:Y,15,0)</f>
        <v>0.005</v>
      </c>
      <c r="AE98" s="163">
        <f>VLOOKUP($D98,'HR|社保政策'!$A:Z,16,0)</f>
        <v>0.07</v>
      </c>
      <c r="AF98" s="233"/>
      <c r="AG98" s="163">
        <f t="shared" si="45"/>
        <v>0</v>
      </c>
      <c r="AH98" s="163">
        <f t="shared" si="46"/>
        <v>0</v>
      </c>
      <c r="AI98" s="228">
        <f t="shared" si="47"/>
        <v>0</v>
      </c>
      <c r="AJ98" s="234"/>
      <c r="AK98" s="234"/>
      <c r="AL98" s="234"/>
      <c r="AM98" s="234"/>
      <c r="AN98" s="234"/>
      <c r="AO98" s="234" t="str">
        <f>VLOOKUP(B98,薪酬明细!I:I,1,0)</f>
        <v>安子玥</v>
      </c>
      <c r="AP98" s="201" t="str">
        <f>VLOOKUP(C98,薪酬明细!A:A,1,0)</f>
        <v>弈工分信息安子玥</v>
      </c>
      <c r="AQ98" s="201" t="str">
        <f t="shared" si="42"/>
        <v>弈工分信息安子玥</v>
      </c>
      <c r="AS98" s="201">
        <f t="shared" si="38"/>
        <v>0</v>
      </c>
      <c r="AT98" s="201">
        <f t="shared" si="39"/>
        <v>0</v>
      </c>
      <c r="AU98" s="201">
        <v>41</v>
      </c>
      <c r="AV98" s="201">
        <f t="shared" si="40"/>
        <v>41</v>
      </c>
      <c r="AW98" s="201" t="e">
        <f>VLOOKUP(C98,薪酬明细!A:A,2,0)</f>
        <v>#REF!</v>
      </c>
      <c r="AX98" s="201" t="b">
        <f t="shared" si="43"/>
        <v>1</v>
      </c>
      <c r="AY98" s="201" t="b">
        <f t="shared" si="44"/>
        <v>1</v>
      </c>
    </row>
    <row r="99" s="201" customFormat="1" spans="1:51">
      <c r="A99" s="163" t="s">
        <v>72</v>
      </c>
      <c r="B99" s="163" t="s">
        <v>563</v>
      </c>
      <c r="C99" s="163" t="str">
        <f t="shared" si="41"/>
        <v>弈工分信息陈双杰</v>
      </c>
      <c r="D99" s="163" t="s">
        <v>72</v>
      </c>
      <c r="E99" s="163"/>
      <c r="F99" s="228"/>
      <c r="G99" s="228"/>
      <c r="H99" s="229">
        <f t="shared" si="23"/>
        <v>0</v>
      </c>
      <c r="I99" s="163">
        <f t="shared" si="24"/>
        <v>0</v>
      </c>
      <c r="J99" s="163">
        <f t="shared" si="25"/>
        <v>0</v>
      </c>
      <c r="K99" s="163">
        <f t="shared" si="26"/>
        <v>0</v>
      </c>
      <c r="L99" s="230">
        <f t="shared" si="27"/>
        <v>0</v>
      </c>
      <c r="M99" s="229">
        <f t="shared" si="28"/>
        <v>0</v>
      </c>
      <c r="N99" s="163">
        <f t="shared" si="29"/>
        <v>0</v>
      </c>
      <c r="O99" s="163">
        <f t="shared" si="30"/>
        <v>0</v>
      </c>
      <c r="P99" s="163">
        <f t="shared" si="31"/>
        <v>0</v>
      </c>
      <c r="Q99" s="163">
        <f t="shared" si="32"/>
        <v>0</v>
      </c>
      <c r="R99" s="163">
        <f t="shared" si="33"/>
        <v>0</v>
      </c>
      <c r="S99" s="163">
        <f t="shared" si="34"/>
        <v>0</v>
      </c>
      <c r="T99" s="230"/>
      <c r="U99" s="229">
        <f>VLOOKUP($D99,'HR|社保政策'!$A:P,6,0)</f>
        <v>0.16</v>
      </c>
      <c r="V99" s="163">
        <f>VLOOKUP($D99,'HR|社保政策'!$A:Q,7,0)</f>
        <v>0.005</v>
      </c>
      <c r="W99" s="231">
        <f>VLOOKUP($D99,'HR|社保政策'!$A:R,8,0)</f>
        <v>0.002</v>
      </c>
      <c r="X99" s="163">
        <f>VLOOKUP($D99,'HR|社保政策'!$A:S,9,0)</f>
        <v>0.01</v>
      </c>
      <c r="Y99" s="163">
        <v>0.08</v>
      </c>
      <c r="Z99" s="163">
        <f>VLOOKUP($D99,'HR|社保政策'!$A:U,11,0)</f>
        <v>0.07</v>
      </c>
      <c r="AA99" s="163">
        <f>VLOOKUP($D99,'HR|社保政策'!$A:V,12,0)</f>
        <v>0.08</v>
      </c>
      <c r="AB99" s="163">
        <f>VLOOKUP($D99,'HR|社保政策'!$A:W,13,0)</f>
        <v>0.02</v>
      </c>
      <c r="AC99" s="163">
        <f>VLOOKUP($D99,'HR|社保政策'!$A:X,14,0)</f>
        <v>0</v>
      </c>
      <c r="AD99" s="232">
        <f>VLOOKUP($D99,'HR|社保政策'!$A:Y,15,0)</f>
        <v>0.005</v>
      </c>
      <c r="AE99" s="163">
        <f>VLOOKUP($D99,'HR|社保政策'!$A:Z,16,0)</f>
        <v>0.07</v>
      </c>
      <c r="AF99" s="233"/>
      <c r="AG99" s="163">
        <f t="shared" si="45"/>
        <v>0</v>
      </c>
      <c r="AH99" s="163">
        <f t="shared" si="46"/>
        <v>0</v>
      </c>
      <c r="AI99" s="228">
        <f t="shared" si="47"/>
        <v>0</v>
      </c>
      <c r="AJ99" s="234"/>
      <c r="AK99" s="234"/>
      <c r="AL99" s="234"/>
      <c r="AM99" s="234"/>
      <c r="AN99" s="234"/>
      <c r="AO99" s="234" t="str">
        <f>VLOOKUP(B99,薪酬明细!I:I,1,0)</f>
        <v>陈双杰</v>
      </c>
      <c r="AP99" s="201" t="str">
        <f>VLOOKUP(C99,薪酬明细!A:A,1,0)</f>
        <v>弈工分信息陈双杰</v>
      </c>
      <c r="AQ99" s="201" t="str">
        <f t="shared" si="42"/>
        <v>弈工分信息陈双杰</v>
      </c>
      <c r="AS99" s="201">
        <f t="shared" si="38"/>
        <v>0</v>
      </c>
      <c r="AT99" s="201">
        <f t="shared" si="39"/>
        <v>0</v>
      </c>
      <c r="AU99" s="201">
        <v>41</v>
      </c>
      <c r="AV99" s="201">
        <f t="shared" si="40"/>
        <v>41</v>
      </c>
      <c r="AW99" s="201" t="e">
        <f>VLOOKUP(C99,薪酬明细!A:A,2,0)</f>
        <v>#REF!</v>
      </c>
      <c r="AX99" s="201" t="b">
        <f t="shared" si="43"/>
        <v>1</v>
      </c>
      <c r="AY99" s="201" t="b">
        <f t="shared" si="44"/>
        <v>1</v>
      </c>
    </row>
    <row r="100" s="201" customFormat="1" spans="1:51">
      <c r="A100" s="163" t="s">
        <v>72</v>
      </c>
      <c r="B100" s="163" t="s">
        <v>564</v>
      </c>
      <c r="C100" s="163" t="str">
        <f t="shared" si="41"/>
        <v>弈工分信息陈锦</v>
      </c>
      <c r="D100" s="163" t="s">
        <v>72</v>
      </c>
      <c r="E100" s="163"/>
      <c r="F100" s="228"/>
      <c r="G100" s="228"/>
      <c r="H100" s="229">
        <f t="shared" si="23"/>
        <v>0</v>
      </c>
      <c r="I100" s="163">
        <f t="shared" si="24"/>
        <v>0</v>
      </c>
      <c r="J100" s="163">
        <f t="shared" si="25"/>
        <v>0</v>
      </c>
      <c r="K100" s="163">
        <f t="shared" si="26"/>
        <v>0</v>
      </c>
      <c r="L100" s="230">
        <f t="shared" si="27"/>
        <v>0</v>
      </c>
      <c r="M100" s="229">
        <f t="shared" si="28"/>
        <v>0</v>
      </c>
      <c r="N100" s="163">
        <f t="shared" si="29"/>
        <v>0</v>
      </c>
      <c r="O100" s="163">
        <f t="shared" si="30"/>
        <v>0</v>
      </c>
      <c r="P100" s="163">
        <f t="shared" si="31"/>
        <v>0</v>
      </c>
      <c r="Q100" s="163">
        <f t="shared" si="32"/>
        <v>0</v>
      </c>
      <c r="R100" s="163">
        <f t="shared" si="33"/>
        <v>0</v>
      </c>
      <c r="S100" s="163">
        <f t="shared" si="34"/>
        <v>0</v>
      </c>
      <c r="T100" s="230"/>
      <c r="U100" s="229">
        <f>VLOOKUP($D100,'HR|社保政策'!$A:P,6,0)</f>
        <v>0.16</v>
      </c>
      <c r="V100" s="163">
        <f>VLOOKUP($D100,'HR|社保政策'!$A:Q,7,0)</f>
        <v>0.005</v>
      </c>
      <c r="W100" s="231">
        <f>VLOOKUP($D100,'HR|社保政策'!$A:R,8,0)</f>
        <v>0.002</v>
      </c>
      <c r="X100" s="163">
        <f>VLOOKUP($D100,'HR|社保政策'!$A:S,9,0)</f>
        <v>0.01</v>
      </c>
      <c r="Y100" s="163">
        <v>0.08</v>
      </c>
      <c r="Z100" s="163">
        <f>VLOOKUP($D100,'HR|社保政策'!$A:U,11,0)</f>
        <v>0.07</v>
      </c>
      <c r="AA100" s="163">
        <f>VLOOKUP($D100,'HR|社保政策'!$A:V,12,0)</f>
        <v>0.08</v>
      </c>
      <c r="AB100" s="163">
        <f>VLOOKUP($D100,'HR|社保政策'!$A:W,13,0)</f>
        <v>0.02</v>
      </c>
      <c r="AC100" s="163">
        <f>VLOOKUP($D100,'HR|社保政策'!$A:X,14,0)</f>
        <v>0</v>
      </c>
      <c r="AD100" s="232">
        <f>VLOOKUP($D100,'HR|社保政策'!$A:Y,15,0)</f>
        <v>0.005</v>
      </c>
      <c r="AE100" s="163">
        <f>VLOOKUP($D100,'HR|社保政策'!$A:Z,16,0)</f>
        <v>0.07</v>
      </c>
      <c r="AF100" s="233"/>
      <c r="AG100" s="163">
        <f t="shared" si="45"/>
        <v>0</v>
      </c>
      <c r="AH100" s="163">
        <f t="shared" si="46"/>
        <v>0</v>
      </c>
      <c r="AI100" s="228">
        <f t="shared" si="47"/>
        <v>0</v>
      </c>
      <c r="AJ100" s="234"/>
      <c r="AK100" s="234"/>
      <c r="AL100" s="234"/>
      <c r="AM100" s="234"/>
      <c r="AN100" s="234"/>
      <c r="AO100" s="234" t="str">
        <f>VLOOKUP(B100,薪酬明细!I:I,1,0)</f>
        <v>陈锦</v>
      </c>
      <c r="AP100" s="201" t="str">
        <f>VLOOKUP(C100,薪酬明细!A:A,1,0)</f>
        <v>弈工分信息陈锦</v>
      </c>
      <c r="AQ100" s="201" t="str">
        <f t="shared" si="42"/>
        <v>弈工分信息陈锦</v>
      </c>
      <c r="AS100" s="201">
        <f t="shared" si="38"/>
        <v>0</v>
      </c>
      <c r="AT100" s="201">
        <f t="shared" si="39"/>
        <v>0</v>
      </c>
      <c r="AU100" s="201">
        <v>41</v>
      </c>
      <c r="AV100" s="201">
        <f t="shared" si="40"/>
        <v>41</v>
      </c>
      <c r="AW100" s="201" t="e">
        <f>VLOOKUP(C100,薪酬明细!A:A,2,0)</f>
        <v>#REF!</v>
      </c>
      <c r="AX100" s="201" t="b">
        <f t="shared" si="43"/>
        <v>1</v>
      </c>
      <c r="AY100" s="201" t="b">
        <f t="shared" si="44"/>
        <v>1</v>
      </c>
    </row>
    <row r="101" s="201" customFormat="1" spans="1:51">
      <c r="A101" s="163" t="s">
        <v>72</v>
      </c>
      <c r="B101" s="163" t="s">
        <v>565</v>
      </c>
      <c r="C101" s="163" t="str">
        <f t="shared" si="41"/>
        <v>弈工分信息任梦超</v>
      </c>
      <c r="D101" s="163" t="s">
        <v>72</v>
      </c>
      <c r="E101" s="163"/>
      <c r="F101" s="228"/>
      <c r="G101" s="228"/>
      <c r="H101" s="229">
        <f t="shared" si="23"/>
        <v>0</v>
      </c>
      <c r="I101" s="163">
        <f t="shared" si="24"/>
        <v>0</v>
      </c>
      <c r="J101" s="163">
        <f t="shared" si="25"/>
        <v>0</v>
      </c>
      <c r="K101" s="163">
        <f t="shared" si="26"/>
        <v>0</v>
      </c>
      <c r="L101" s="230">
        <f t="shared" si="27"/>
        <v>0</v>
      </c>
      <c r="M101" s="229">
        <f t="shared" si="28"/>
        <v>0</v>
      </c>
      <c r="N101" s="163">
        <f t="shared" si="29"/>
        <v>0</v>
      </c>
      <c r="O101" s="163">
        <f t="shared" si="30"/>
        <v>0</v>
      </c>
      <c r="P101" s="163">
        <f t="shared" si="31"/>
        <v>0</v>
      </c>
      <c r="Q101" s="163">
        <f t="shared" si="32"/>
        <v>0</v>
      </c>
      <c r="R101" s="163">
        <f t="shared" si="33"/>
        <v>0</v>
      </c>
      <c r="S101" s="163">
        <f t="shared" si="34"/>
        <v>0</v>
      </c>
      <c r="T101" s="230"/>
      <c r="U101" s="229">
        <f>VLOOKUP($D101,'HR|社保政策'!$A:P,6,0)</f>
        <v>0.16</v>
      </c>
      <c r="V101" s="163">
        <f>VLOOKUP($D101,'HR|社保政策'!$A:Q,7,0)</f>
        <v>0.005</v>
      </c>
      <c r="W101" s="231">
        <f>VLOOKUP($D101,'HR|社保政策'!$A:R,8,0)</f>
        <v>0.002</v>
      </c>
      <c r="X101" s="163">
        <f>VLOOKUP($D101,'HR|社保政策'!$A:S,9,0)</f>
        <v>0.01</v>
      </c>
      <c r="Y101" s="163">
        <v>0.08</v>
      </c>
      <c r="Z101" s="163">
        <f>VLOOKUP($D101,'HR|社保政策'!$A:U,11,0)</f>
        <v>0.07</v>
      </c>
      <c r="AA101" s="163">
        <f>VLOOKUP($D101,'HR|社保政策'!$A:V,12,0)</f>
        <v>0.08</v>
      </c>
      <c r="AB101" s="163">
        <f>VLOOKUP($D101,'HR|社保政策'!$A:W,13,0)</f>
        <v>0.02</v>
      </c>
      <c r="AC101" s="163">
        <f>VLOOKUP($D101,'HR|社保政策'!$A:X,14,0)</f>
        <v>0</v>
      </c>
      <c r="AD101" s="232">
        <f>VLOOKUP($D101,'HR|社保政策'!$A:Y,15,0)</f>
        <v>0.005</v>
      </c>
      <c r="AE101" s="163">
        <f>VLOOKUP($D101,'HR|社保政策'!$A:Z,16,0)</f>
        <v>0.07</v>
      </c>
      <c r="AF101" s="233"/>
      <c r="AG101" s="163">
        <f t="shared" si="45"/>
        <v>0</v>
      </c>
      <c r="AH101" s="163">
        <f t="shared" si="46"/>
        <v>0</v>
      </c>
      <c r="AI101" s="228">
        <f t="shared" si="47"/>
        <v>0</v>
      </c>
      <c r="AJ101" s="234"/>
      <c r="AK101" s="234"/>
      <c r="AL101" s="234"/>
      <c r="AM101" s="234"/>
      <c r="AN101" s="234"/>
      <c r="AO101" s="234" t="str">
        <f>VLOOKUP(B101,薪酬明细!I:I,1,0)</f>
        <v>任梦超</v>
      </c>
      <c r="AP101" s="201" t="e">
        <f>VLOOKUP(C101,薪酬明细!A:A,1,0)</f>
        <v>#N/A</v>
      </c>
      <c r="AQ101" s="201" t="str">
        <f t="shared" si="42"/>
        <v>弈工分信息任梦超</v>
      </c>
      <c r="AS101" s="201">
        <f t="shared" si="38"/>
        <v>0</v>
      </c>
      <c r="AT101" s="201">
        <f t="shared" si="39"/>
        <v>0</v>
      </c>
      <c r="AU101" s="201">
        <v>41</v>
      </c>
      <c r="AV101" s="201">
        <f t="shared" si="40"/>
        <v>41</v>
      </c>
      <c r="AW101" s="201" t="e">
        <f>VLOOKUP(C101,薪酬明细!A:A,2,0)</f>
        <v>#N/A</v>
      </c>
      <c r="AX101" s="201" t="b">
        <f t="shared" si="43"/>
        <v>1</v>
      </c>
      <c r="AY101" s="201" t="b">
        <f t="shared" si="44"/>
        <v>1</v>
      </c>
    </row>
    <row r="102" s="201" customFormat="1" spans="1:51">
      <c r="A102" s="163" t="s">
        <v>73</v>
      </c>
      <c r="B102" s="163" t="s">
        <v>566</v>
      </c>
      <c r="C102" s="163" t="str">
        <f t="shared" si="41"/>
        <v>弈工分健康高光付</v>
      </c>
      <c r="D102" s="163" t="s">
        <v>73</v>
      </c>
      <c r="E102" s="163"/>
      <c r="F102" s="228"/>
      <c r="G102" s="228"/>
      <c r="H102" s="229">
        <f t="shared" si="23"/>
        <v>0</v>
      </c>
      <c r="I102" s="163">
        <f t="shared" si="24"/>
        <v>0</v>
      </c>
      <c r="J102" s="163">
        <f t="shared" si="25"/>
        <v>0</v>
      </c>
      <c r="K102" s="163">
        <f t="shared" si="26"/>
        <v>0</v>
      </c>
      <c r="L102" s="230">
        <f t="shared" si="27"/>
        <v>0</v>
      </c>
      <c r="M102" s="229">
        <f t="shared" si="28"/>
        <v>0</v>
      </c>
      <c r="N102" s="163">
        <f t="shared" si="29"/>
        <v>0</v>
      </c>
      <c r="O102" s="163">
        <f t="shared" si="30"/>
        <v>0</v>
      </c>
      <c r="P102" s="163">
        <f t="shared" si="31"/>
        <v>0</v>
      </c>
      <c r="Q102" s="163">
        <f t="shared" si="32"/>
        <v>0</v>
      </c>
      <c r="R102" s="163">
        <f t="shared" si="33"/>
        <v>0</v>
      </c>
      <c r="S102" s="163">
        <f t="shared" si="34"/>
        <v>0</v>
      </c>
      <c r="T102" s="230"/>
      <c r="U102" s="229">
        <f>VLOOKUP($D102,'HR|社保政策'!$A:P,6,0)</f>
        <v>0.16</v>
      </c>
      <c r="V102" s="163">
        <f>VLOOKUP($D102,'HR|社保政策'!$A:Q,7,0)</f>
        <v>0.005</v>
      </c>
      <c r="W102" s="231">
        <f>VLOOKUP($D102,'HR|社保政策'!$A:R,8,0)</f>
        <v>0.002</v>
      </c>
      <c r="X102" s="163">
        <f>VLOOKUP($D102,'HR|社保政策'!$A:S,9,0)</f>
        <v>0.01</v>
      </c>
      <c r="Y102" s="163">
        <v>0.08</v>
      </c>
      <c r="Z102" s="163">
        <f>VLOOKUP($D102,'HR|社保政策'!$A:U,11,0)</f>
        <v>0.07</v>
      </c>
      <c r="AA102" s="163">
        <f>VLOOKUP($D102,'HR|社保政策'!$A:V,12,0)</f>
        <v>0.08</v>
      </c>
      <c r="AB102" s="163">
        <f>VLOOKUP($D102,'HR|社保政策'!$A:W,13,0)</f>
        <v>0.02</v>
      </c>
      <c r="AC102" s="163">
        <f>VLOOKUP($D102,'HR|社保政策'!$A:X,14,0)</f>
        <v>0</v>
      </c>
      <c r="AD102" s="232">
        <f>VLOOKUP($D102,'HR|社保政策'!$A:Y,15,0)</f>
        <v>0.005</v>
      </c>
      <c r="AE102" s="163">
        <f>VLOOKUP($D102,'HR|社保政策'!$A:Z,16,0)</f>
        <v>0.07</v>
      </c>
      <c r="AF102" s="233"/>
      <c r="AG102" s="163">
        <f t="shared" si="45"/>
        <v>0</v>
      </c>
      <c r="AH102" s="163">
        <f t="shared" si="46"/>
        <v>0</v>
      </c>
      <c r="AI102" s="228">
        <f t="shared" si="47"/>
        <v>0</v>
      </c>
      <c r="AJ102" s="234"/>
      <c r="AK102" s="234"/>
      <c r="AL102" s="234"/>
      <c r="AM102" s="234"/>
      <c r="AN102" s="234"/>
      <c r="AO102" s="234" t="str">
        <f>VLOOKUP(B102,薪酬明细!I:I,1,0)</f>
        <v>高光付</v>
      </c>
      <c r="AP102" s="201" t="str">
        <f>VLOOKUP(C102,薪酬明细!A:A,1,0)</f>
        <v>弈工分健康高光付</v>
      </c>
      <c r="AQ102" s="201" t="str">
        <f t="shared" si="42"/>
        <v>弈工分健康高光付</v>
      </c>
      <c r="AS102" s="201">
        <f t="shared" si="38"/>
        <v>0</v>
      </c>
      <c r="AT102" s="201">
        <f t="shared" si="39"/>
        <v>0</v>
      </c>
      <c r="AU102" s="201">
        <v>1</v>
      </c>
      <c r="AV102" s="201">
        <f t="shared" si="40"/>
        <v>1</v>
      </c>
      <c r="AW102" s="201" t="e">
        <f>VLOOKUP(C102,薪酬明细!A:A,2,0)</f>
        <v>#REF!</v>
      </c>
      <c r="AX102" s="201" t="b">
        <f t="shared" si="43"/>
        <v>1</v>
      </c>
      <c r="AY102" s="201" t="b">
        <f t="shared" si="44"/>
        <v>1</v>
      </c>
    </row>
    <row r="103" s="201" customFormat="1" spans="1:51">
      <c r="A103" s="163" t="s">
        <v>73</v>
      </c>
      <c r="B103" s="163" t="s">
        <v>567</v>
      </c>
      <c r="C103" s="163" t="str">
        <f t="shared" si="41"/>
        <v>弈工分健康肖德云</v>
      </c>
      <c r="D103" s="163" t="s">
        <v>73</v>
      </c>
      <c r="E103" s="163"/>
      <c r="F103" s="228"/>
      <c r="G103" s="228"/>
      <c r="H103" s="229">
        <f t="shared" si="23"/>
        <v>0</v>
      </c>
      <c r="I103" s="163">
        <f t="shared" si="24"/>
        <v>0</v>
      </c>
      <c r="J103" s="163">
        <f t="shared" si="25"/>
        <v>0</v>
      </c>
      <c r="K103" s="163">
        <f t="shared" si="26"/>
        <v>0</v>
      </c>
      <c r="L103" s="230">
        <f t="shared" si="27"/>
        <v>0</v>
      </c>
      <c r="M103" s="229">
        <f t="shared" si="28"/>
        <v>0</v>
      </c>
      <c r="N103" s="163">
        <f t="shared" si="29"/>
        <v>0</v>
      </c>
      <c r="O103" s="163">
        <f t="shared" si="30"/>
        <v>0</v>
      </c>
      <c r="P103" s="163">
        <f t="shared" si="31"/>
        <v>0</v>
      </c>
      <c r="Q103" s="163">
        <f t="shared" si="32"/>
        <v>0</v>
      </c>
      <c r="R103" s="163">
        <f t="shared" si="33"/>
        <v>0</v>
      </c>
      <c r="S103" s="163">
        <f t="shared" si="34"/>
        <v>0</v>
      </c>
      <c r="T103" s="230"/>
      <c r="U103" s="229">
        <f>VLOOKUP($D103,'HR|社保政策'!$A:P,6,0)</f>
        <v>0.16</v>
      </c>
      <c r="V103" s="163">
        <f>VLOOKUP($D103,'HR|社保政策'!$A:Q,7,0)</f>
        <v>0.005</v>
      </c>
      <c r="W103" s="231">
        <f>VLOOKUP($D103,'HR|社保政策'!$A:R,8,0)</f>
        <v>0.002</v>
      </c>
      <c r="X103" s="163">
        <f>VLOOKUP($D103,'HR|社保政策'!$A:S,9,0)</f>
        <v>0.01</v>
      </c>
      <c r="Y103" s="163">
        <v>0.08</v>
      </c>
      <c r="Z103" s="163">
        <f>VLOOKUP($D103,'HR|社保政策'!$A:U,11,0)</f>
        <v>0.07</v>
      </c>
      <c r="AA103" s="163">
        <f>VLOOKUP($D103,'HR|社保政策'!$A:V,12,0)</f>
        <v>0.08</v>
      </c>
      <c r="AB103" s="163">
        <f>VLOOKUP($D103,'HR|社保政策'!$A:W,13,0)</f>
        <v>0.02</v>
      </c>
      <c r="AC103" s="163">
        <f>VLOOKUP($D103,'HR|社保政策'!$A:X,14,0)</f>
        <v>0</v>
      </c>
      <c r="AD103" s="232">
        <f>VLOOKUP($D103,'HR|社保政策'!$A:Y,15,0)</f>
        <v>0.005</v>
      </c>
      <c r="AE103" s="163">
        <f>VLOOKUP($D103,'HR|社保政策'!$A:Z,16,0)</f>
        <v>0.07</v>
      </c>
      <c r="AF103" s="233"/>
      <c r="AG103" s="163">
        <f t="shared" si="45"/>
        <v>0</v>
      </c>
      <c r="AH103" s="163">
        <f t="shared" si="46"/>
        <v>0</v>
      </c>
      <c r="AI103" s="228">
        <f t="shared" si="47"/>
        <v>0</v>
      </c>
      <c r="AJ103" s="234"/>
      <c r="AK103" s="234"/>
      <c r="AL103" s="234"/>
      <c r="AM103" s="234"/>
      <c r="AN103" s="234"/>
      <c r="AO103" s="234" t="str">
        <f>VLOOKUP(B103,薪酬明细!I:I,1,0)</f>
        <v>肖德云</v>
      </c>
      <c r="AP103" s="201" t="str">
        <f>VLOOKUP(C103,薪酬明细!A:A,1,0)</f>
        <v>弈工分健康肖德云</v>
      </c>
      <c r="AQ103" s="201" t="str">
        <f t="shared" si="42"/>
        <v>弈工分健康肖德云</v>
      </c>
      <c r="AS103" s="201">
        <f t="shared" si="38"/>
        <v>0</v>
      </c>
      <c r="AT103" s="201">
        <f t="shared" si="39"/>
        <v>0</v>
      </c>
      <c r="AU103" s="201">
        <v>1</v>
      </c>
      <c r="AV103" s="201">
        <f t="shared" si="40"/>
        <v>1</v>
      </c>
      <c r="AW103" s="201" t="e">
        <f>VLOOKUP(C103,薪酬明细!A:A,2,0)</f>
        <v>#REF!</v>
      </c>
      <c r="AX103" s="201" t="b">
        <f t="shared" si="43"/>
        <v>1</v>
      </c>
      <c r="AY103" s="201" t="b">
        <f t="shared" si="44"/>
        <v>1</v>
      </c>
    </row>
    <row r="104" s="201" customFormat="1" spans="1:51">
      <c r="A104" s="163" t="s">
        <v>73</v>
      </c>
      <c r="B104" s="163" t="s">
        <v>568</v>
      </c>
      <c r="C104" s="163" t="str">
        <f t="shared" si="41"/>
        <v>弈工分健康韦兆斌</v>
      </c>
      <c r="D104" s="163" t="s">
        <v>73</v>
      </c>
      <c r="E104" s="163"/>
      <c r="F104" s="228"/>
      <c r="G104" s="228"/>
      <c r="H104" s="229">
        <f t="shared" si="23"/>
        <v>0</v>
      </c>
      <c r="I104" s="163">
        <f t="shared" si="24"/>
        <v>0</v>
      </c>
      <c r="J104" s="163">
        <f t="shared" si="25"/>
        <v>0</v>
      </c>
      <c r="K104" s="163">
        <f t="shared" si="26"/>
        <v>0</v>
      </c>
      <c r="L104" s="230">
        <f t="shared" si="27"/>
        <v>0</v>
      </c>
      <c r="M104" s="229">
        <f t="shared" si="28"/>
        <v>0</v>
      </c>
      <c r="N104" s="163">
        <f t="shared" si="29"/>
        <v>0</v>
      </c>
      <c r="O104" s="163">
        <f t="shared" si="30"/>
        <v>0</v>
      </c>
      <c r="P104" s="163">
        <f t="shared" si="31"/>
        <v>0</v>
      </c>
      <c r="Q104" s="163">
        <f t="shared" si="32"/>
        <v>0</v>
      </c>
      <c r="R104" s="163">
        <f t="shared" si="33"/>
        <v>0</v>
      </c>
      <c r="S104" s="163">
        <f t="shared" si="34"/>
        <v>0</v>
      </c>
      <c r="T104" s="230"/>
      <c r="U104" s="229">
        <f>VLOOKUP($D104,'HR|社保政策'!$A:P,6,0)</f>
        <v>0.16</v>
      </c>
      <c r="V104" s="163">
        <f>VLOOKUP($D104,'HR|社保政策'!$A:Q,7,0)</f>
        <v>0.005</v>
      </c>
      <c r="W104" s="231">
        <f>VLOOKUP($D104,'HR|社保政策'!$A:R,8,0)</f>
        <v>0.002</v>
      </c>
      <c r="X104" s="163">
        <f>VLOOKUP($D104,'HR|社保政策'!$A:S,9,0)</f>
        <v>0.01</v>
      </c>
      <c r="Y104" s="163">
        <v>0.08</v>
      </c>
      <c r="Z104" s="163">
        <f>VLOOKUP($D104,'HR|社保政策'!$A:U,11,0)</f>
        <v>0.07</v>
      </c>
      <c r="AA104" s="163">
        <f>VLOOKUP($D104,'HR|社保政策'!$A:V,12,0)</f>
        <v>0.08</v>
      </c>
      <c r="AB104" s="163">
        <f>VLOOKUP($D104,'HR|社保政策'!$A:W,13,0)</f>
        <v>0.02</v>
      </c>
      <c r="AC104" s="163">
        <f>VLOOKUP($D104,'HR|社保政策'!$A:X,14,0)</f>
        <v>0</v>
      </c>
      <c r="AD104" s="232">
        <f>VLOOKUP($D104,'HR|社保政策'!$A:Y,15,0)</f>
        <v>0.005</v>
      </c>
      <c r="AE104" s="163">
        <f>VLOOKUP($D104,'HR|社保政策'!$A:Z,16,0)</f>
        <v>0.07</v>
      </c>
      <c r="AF104" s="233"/>
      <c r="AG104" s="163">
        <f t="shared" si="45"/>
        <v>0</v>
      </c>
      <c r="AH104" s="163">
        <f t="shared" si="46"/>
        <v>0</v>
      </c>
      <c r="AI104" s="228">
        <f t="shared" si="47"/>
        <v>0</v>
      </c>
      <c r="AJ104" s="234"/>
      <c r="AK104" s="234"/>
      <c r="AL104" s="234"/>
      <c r="AM104" s="234"/>
      <c r="AN104" s="234"/>
      <c r="AO104" s="234" t="str">
        <f>VLOOKUP(B104,薪酬明细!I:I,1,0)</f>
        <v>韦兆斌</v>
      </c>
      <c r="AP104" s="201" t="str">
        <f>VLOOKUP(C104,薪酬明细!A:A,1,0)</f>
        <v>弈工分健康韦兆斌</v>
      </c>
      <c r="AQ104" s="201" t="str">
        <f t="shared" si="42"/>
        <v>弈工分健康韦兆斌</v>
      </c>
      <c r="AS104" s="201">
        <f t="shared" si="38"/>
        <v>0</v>
      </c>
      <c r="AT104" s="201">
        <f t="shared" si="39"/>
        <v>0</v>
      </c>
      <c r="AU104" s="201">
        <v>1</v>
      </c>
      <c r="AV104" s="201">
        <f t="shared" si="40"/>
        <v>1</v>
      </c>
      <c r="AW104" s="201" t="e">
        <f>VLOOKUP(C104,薪酬明细!A:A,2,0)</f>
        <v>#REF!</v>
      </c>
      <c r="AX104" s="201" t="b">
        <f t="shared" si="43"/>
        <v>1</v>
      </c>
      <c r="AY104" s="201" t="b">
        <f t="shared" si="44"/>
        <v>1</v>
      </c>
    </row>
    <row r="105" s="201" customFormat="1" spans="1:51">
      <c r="A105" s="163" t="s">
        <v>78</v>
      </c>
      <c r="B105" s="163" t="s">
        <v>441</v>
      </c>
      <c r="C105" s="163" t="str">
        <f t="shared" si="41"/>
        <v>时代人才常虹</v>
      </c>
      <c r="D105" s="163" t="s">
        <v>78</v>
      </c>
      <c r="E105" s="163"/>
      <c r="F105" s="228"/>
      <c r="G105" s="228"/>
      <c r="H105" s="229">
        <f t="shared" si="23"/>
        <v>0</v>
      </c>
      <c r="I105" s="163">
        <f t="shared" si="24"/>
        <v>0</v>
      </c>
      <c r="J105" s="163">
        <f t="shared" si="25"/>
        <v>0</v>
      </c>
      <c r="K105" s="163">
        <f t="shared" si="26"/>
        <v>0</v>
      </c>
      <c r="L105" s="230">
        <f t="shared" si="27"/>
        <v>0</v>
      </c>
      <c r="M105" s="229">
        <f t="shared" si="28"/>
        <v>0</v>
      </c>
      <c r="N105" s="163">
        <f t="shared" si="29"/>
        <v>0</v>
      </c>
      <c r="O105" s="163">
        <f t="shared" si="30"/>
        <v>0</v>
      </c>
      <c r="P105" s="163">
        <f t="shared" si="31"/>
        <v>0</v>
      </c>
      <c r="Q105" s="163">
        <f t="shared" si="32"/>
        <v>0</v>
      </c>
      <c r="R105" s="163">
        <f t="shared" si="33"/>
        <v>0</v>
      </c>
      <c r="S105" s="163">
        <f t="shared" si="34"/>
        <v>0</v>
      </c>
      <c r="T105" s="230"/>
      <c r="U105" s="229">
        <f>VLOOKUP($D105,'HR|社保政策'!$A:P,6,0)</f>
        <v>0.16</v>
      </c>
      <c r="V105" s="163">
        <f>VLOOKUP($D105,'HR|社保政策'!$A:Q,7,0)</f>
        <v>0.005</v>
      </c>
      <c r="W105" s="231">
        <f>VLOOKUP($D105,'HR|社保政策'!$A:R,8,0)</f>
        <v>0.002</v>
      </c>
      <c r="X105" s="163">
        <f>VLOOKUP($D105,'HR|社保政策'!$A:S,9,0)</f>
        <v>0.01</v>
      </c>
      <c r="Y105" s="163">
        <v>0.08</v>
      </c>
      <c r="Z105" s="163">
        <f>VLOOKUP($D105,'HR|社保政策'!$A:U,11,0)</f>
        <v>0.07</v>
      </c>
      <c r="AA105" s="163">
        <f>VLOOKUP($D105,'HR|社保政策'!$A:V,12,0)</f>
        <v>0.08</v>
      </c>
      <c r="AB105" s="163">
        <f>VLOOKUP($D105,'HR|社保政策'!$A:W,13,0)</f>
        <v>0.02</v>
      </c>
      <c r="AC105" s="163">
        <f>VLOOKUP($D105,'HR|社保政策'!$A:X,14,0)</f>
        <v>0</v>
      </c>
      <c r="AD105" s="232">
        <f>VLOOKUP($D105,'HR|社保政策'!$A:Y,15,0)</f>
        <v>0.005</v>
      </c>
      <c r="AE105" s="163">
        <f>VLOOKUP($D105,'HR|社保政策'!$A:Z,16,0)</f>
        <v>0.07</v>
      </c>
      <c r="AF105" s="233"/>
      <c r="AG105" s="163">
        <f t="shared" si="45"/>
        <v>0</v>
      </c>
      <c r="AH105" s="163">
        <f t="shared" si="46"/>
        <v>0</v>
      </c>
      <c r="AI105" s="228">
        <f t="shared" si="47"/>
        <v>0</v>
      </c>
      <c r="AJ105" s="234"/>
      <c r="AK105" s="234"/>
      <c r="AL105" s="234"/>
      <c r="AM105" s="234"/>
      <c r="AN105" s="234"/>
      <c r="AO105" s="234" t="str">
        <f>VLOOKUP(B105,薪酬明细!I:I,1,0)</f>
        <v>常虹</v>
      </c>
      <c r="AP105" s="201" t="str">
        <f>VLOOKUP(C105,薪酬明细!A:A,1,0)</f>
        <v>时代人才常虹</v>
      </c>
      <c r="AQ105" s="201" t="str">
        <f t="shared" si="42"/>
        <v>时代人才常虹</v>
      </c>
      <c r="AS105" s="201">
        <f t="shared" si="38"/>
        <v>0</v>
      </c>
      <c r="AT105" s="201">
        <f t="shared" si="39"/>
        <v>0</v>
      </c>
      <c r="AU105" s="201">
        <v>42</v>
      </c>
      <c r="AV105" s="201">
        <f t="shared" si="40"/>
        <v>42</v>
      </c>
      <c r="AW105" s="201" t="e">
        <f>VLOOKUP(C105,薪酬明细!A:A,2,0)</f>
        <v>#REF!</v>
      </c>
      <c r="AX105" s="201" t="b">
        <f t="shared" si="43"/>
        <v>1</v>
      </c>
      <c r="AY105" s="201" t="b">
        <f t="shared" si="44"/>
        <v>1</v>
      </c>
    </row>
    <row r="106" s="201" customFormat="1" spans="1:51">
      <c r="A106" s="163" t="s">
        <v>73</v>
      </c>
      <c r="B106" s="163" t="s">
        <v>467</v>
      </c>
      <c r="C106" s="163" t="str">
        <f t="shared" si="41"/>
        <v>弈工分健康高玉玲</v>
      </c>
      <c r="D106" s="163" t="s">
        <v>73</v>
      </c>
      <c r="E106" s="163"/>
      <c r="F106" s="228"/>
      <c r="G106" s="228"/>
      <c r="H106" s="229"/>
      <c r="I106" s="163"/>
      <c r="J106" s="163"/>
      <c r="K106" s="163"/>
      <c r="L106" s="230"/>
      <c r="M106" s="229"/>
      <c r="N106" s="163"/>
      <c r="O106" s="163"/>
      <c r="P106" s="163"/>
      <c r="Q106" s="163"/>
      <c r="R106" s="163"/>
      <c r="S106" s="163"/>
      <c r="T106" s="230"/>
      <c r="U106" s="229"/>
      <c r="V106" s="163"/>
      <c r="W106" s="231"/>
      <c r="X106" s="163"/>
      <c r="Y106" s="163"/>
      <c r="Z106" s="163"/>
      <c r="AA106" s="163"/>
      <c r="AB106" s="163"/>
      <c r="AC106" s="163"/>
      <c r="AD106" s="232"/>
      <c r="AE106" s="163"/>
      <c r="AF106" s="233"/>
      <c r="AG106" s="163"/>
      <c r="AH106" s="163"/>
      <c r="AI106" s="228"/>
      <c r="AJ106" s="234"/>
      <c r="AK106" s="234"/>
      <c r="AL106" s="234"/>
      <c r="AM106" s="234"/>
      <c r="AN106" s="234"/>
      <c r="AO106" s="234" t="str">
        <f>VLOOKUP(B106,薪酬明细!I:I,1,0)</f>
        <v>高玉玲</v>
      </c>
      <c r="AP106" s="201" t="str">
        <f>VLOOKUP(C106,薪酬明细!A:A,1,0)</f>
        <v>弈工分健康高玉玲</v>
      </c>
      <c r="AQ106" s="201" t="str">
        <f t="shared" si="42"/>
        <v>弈工分健康高玉玲</v>
      </c>
      <c r="AS106" s="201">
        <f t="shared" si="38"/>
        <v>0</v>
      </c>
      <c r="AT106" s="201">
        <f t="shared" si="39"/>
        <v>0</v>
      </c>
      <c r="AU106" s="201">
        <v>45</v>
      </c>
      <c r="AV106" s="201">
        <f t="shared" si="40"/>
        <v>45</v>
      </c>
      <c r="AX106" s="201" t="b">
        <f t="shared" si="43"/>
        <v>1</v>
      </c>
      <c r="AY106" s="201" t="b">
        <f t="shared" si="44"/>
        <v>1</v>
      </c>
    </row>
    <row r="107" s="201" customFormat="1" spans="1:51">
      <c r="A107" s="163" t="s">
        <v>73</v>
      </c>
      <c r="B107" s="163" t="s">
        <v>469</v>
      </c>
      <c r="C107" s="163" t="str">
        <f t="shared" si="41"/>
        <v>弈工分健康丁成英</v>
      </c>
      <c r="D107" s="163" t="s">
        <v>73</v>
      </c>
      <c r="E107" s="163"/>
      <c r="F107" s="228"/>
      <c r="G107" s="228"/>
      <c r="H107" s="229"/>
      <c r="I107" s="163"/>
      <c r="J107" s="163"/>
      <c r="K107" s="163"/>
      <c r="L107" s="230"/>
      <c r="M107" s="229"/>
      <c r="N107" s="163"/>
      <c r="O107" s="163"/>
      <c r="P107" s="163"/>
      <c r="Q107" s="163"/>
      <c r="R107" s="163"/>
      <c r="S107" s="163"/>
      <c r="T107" s="230"/>
      <c r="U107" s="229"/>
      <c r="V107" s="163"/>
      <c r="W107" s="231"/>
      <c r="X107" s="163"/>
      <c r="Y107" s="163"/>
      <c r="Z107" s="163"/>
      <c r="AA107" s="163"/>
      <c r="AB107" s="163"/>
      <c r="AC107" s="163"/>
      <c r="AD107" s="232"/>
      <c r="AE107" s="163"/>
      <c r="AF107" s="233"/>
      <c r="AG107" s="163"/>
      <c r="AH107" s="163"/>
      <c r="AI107" s="228"/>
      <c r="AJ107" s="234"/>
      <c r="AK107" s="234"/>
      <c r="AL107" s="234"/>
      <c r="AM107" s="234"/>
      <c r="AN107" s="234"/>
      <c r="AO107" s="234" t="str">
        <f>VLOOKUP(B107,薪酬明细!I:I,1,0)</f>
        <v>丁成英</v>
      </c>
      <c r="AP107" s="201" t="str">
        <f>VLOOKUP(C107,薪酬明细!A:A,1,0)</f>
        <v>弈工分健康丁成英</v>
      </c>
      <c r="AQ107" s="201" t="str">
        <f t="shared" si="42"/>
        <v>弈工分健康丁成英</v>
      </c>
      <c r="AS107" s="201">
        <f t="shared" si="38"/>
        <v>0</v>
      </c>
      <c r="AT107" s="201">
        <f t="shared" si="39"/>
        <v>0</v>
      </c>
      <c r="AU107" s="201">
        <v>46</v>
      </c>
      <c r="AV107" s="201">
        <f t="shared" si="40"/>
        <v>46</v>
      </c>
      <c r="AX107" s="201" t="b">
        <f t="shared" si="43"/>
        <v>1</v>
      </c>
      <c r="AY107" s="201" t="b">
        <f t="shared" si="44"/>
        <v>1</v>
      </c>
    </row>
    <row r="108" s="201" customFormat="1" spans="1:51">
      <c r="A108" s="163" t="s">
        <v>57</v>
      </c>
      <c r="B108" s="163" t="s">
        <v>341</v>
      </c>
      <c r="C108" s="163" t="str">
        <f t="shared" si="41"/>
        <v>开弈信息蔡心宇</v>
      </c>
      <c r="D108" s="163" t="s">
        <v>57</v>
      </c>
      <c r="E108" s="163"/>
      <c r="F108" s="228">
        <v>20000</v>
      </c>
      <c r="G108" s="228">
        <v>20000</v>
      </c>
      <c r="H108" s="229">
        <f t="shared" ref="H108:H115" si="48">ROUND($F108*AA108,2)</f>
        <v>1600</v>
      </c>
      <c r="I108" s="163">
        <f t="shared" ref="I108:I115" si="49">ROUND($F108*AB108,2)</f>
        <v>400</v>
      </c>
      <c r="J108" s="163">
        <f t="shared" ref="J108:J115" si="50">ROUND($F108*AD108,2)</f>
        <v>100</v>
      </c>
      <c r="K108" s="163">
        <f t="shared" ref="K108:K115" si="51">IF(D108="深圳",ROUND(G108*AE108,1),ROUND(G108*AE108,0))</f>
        <v>1400</v>
      </c>
      <c r="L108" s="230">
        <f t="shared" ref="L108:L115" si="52">ROUND(G108*AF108,0)</f>
        <v>0</v>
      </c>
      <c r="M108" s="229">
        <f t="shared" ref="M108:M115" si="53">ROUND($F108*U108,2)</f>
        <v>3200</v>
      </c>
      <c r="N108" s="163">
        <f t="shared" ref="N108:N115" si="54">ROUND($F108*Y108,2)</f>
        <v>1600</v>
      </c>
      <c r="O108" s="163">
        <f t="shared" ref="O108:O115" si="55">ROUND($F108*V108,2)</f>
        <v>100</v>
      </c>
      <c r="P108" s="163">
        <f t="shared" ref="P108:P115" si="56">ROUND($F108*W108,2)</f>
        <v>40</v>
      </c>
      <c r="Q108" s="163">
        <f t="shared" ref="Q108:Q115" si="57">ROUND($F108*X108,2)</f>
        <v>200</v>
      </c>
      <c r="R108" s="163">
        <f t="shared" ref="R108:R115" si="58">K108</f>
        <v>1400</v>
      </c>
      <c r="S108" s="163">
        <f t="shared" ref="S108:S115" si="59">L108</f>
        <v>0</v>
      </c>
      <c r="T108" s="230"/>
      <c r="U108" s="229">
        <f>VLOOKUP($D108,'HR|社保政策'!$A:P,6,0)</f>
        <v>0.16</v>
      </c>
      <c r="V108" s="163">
        <f>VLOOKUP($D108,'HR|社保政策'!$A:Q,7,0)</f>
        <v>0.005</v>
      </c>
      <c r="W108" s="231">
        <f>VLOOKUP($D108,'HR|社保政策'!$A:R,8,0)</f>
        <v>0.002</v>
      </c>
      <c r="X108" s="163">
        <f>VLOOKUP($D108,'HR|社保政策'!$A:S,9,0)</f>
        <v>0.01</v>
      </c>
      <c r="Y108" s="163">
        <v>0.08</v>
      </c>
      <c r="Z108" s="163">
        <f>VLOOKUP($D108,'HR|社保政策'!$A:U,11,0)</f>
        <v>0.07</v>
      </c>
      <c r="AA108" s="163">
        <f>VLOOKUP($D108,'HR|社保政策'!$A:V,12,0)</f>
        <v>0.08</v>
      </c>
      <c r="AB108" s="163">
        <f>VLOOKUP($D108,'HR|社保政策'!$A:W,13,0)</f>
        <v>0.02</v>
      </c>
      <c r="AC108" s="163">
        <f>VLOOKUP($D108,'HR|社保政策'!$A:X,14,0)</f>
        <v>0</v>
      </c>
      <c r="AD108" s="232">
        <f>VLOOKUP($D108,'HR|社保政策'!$A:Y,15,0)</f>
        <v>0.005</v>
      </c>
      <c r="AE108" s="163">
        <f>VLOOKUP($D108,'HR|社保政策'!$A:Z,16,0)</f>
        <v>0.07</v>
      </c>
      <c r="AF108" s="233"/>
      <c r="AG108" s="163">
        <f>H108+I108+J108+K108+L108</f>
        <v>3500</v>
      </c>
      <c r="AH108" s="163">
        <f>M108+N108+O108+P108+Q108+R108+S108</f>
        <v>6540</v>
      </c>
      <c r="AI108" s="228">
        <f>AG108+AH108</f>
        <v>10040</v>
      </c>
      <c r="AJ108" s="234"/>
      <c r="AK108" s="234"/>
      <c r="AL108" s="234"/>
      <c r="AM108" s="234"/>
      <c r="AN108" s="234"/>
      <c r="AO108" s="234" t="str">
        <f>VLOOKUP(B108,薪酬明细!I:I,1,0)</f>
        <v>蔡心宇</v>
      </c>
      <c r="AP108" s="201" t="str">
        <f>VLOOKUP(C108,薪酬明细!A:A,1,0)</f>
        <v>开弈信息蔡心宇</v>
      </c>
      <c r="AQ108" s="201" t="str">
        <f t="shared" si="42"/>
        <v>开弈信息蔡心宇</v>
      </c>
      <c r="AS108" s="201">
        <f t="shared" si="38"/>
        <v>3500</v>
      </c>
      <c r="AT108" s="201">
        <f t="shared" si="39"/>
        <v>-3500</v>
      </c>
      <c r="AU108" s="201">
        <v>48</v>
      </c>
      <c r="AV108" s="201">
        <f t="shared" si="40"/>
        <v>-6492</v>
      </c>
      <c r="AW108" s="201" t="e">
        <f>VLOOKUP(C108,薪酬明细!A:A,2,0)</f>
        <v>#REF!</v>
      </c>
      <c r="AX108" s="201" t="b">
        <f t="shared" si="43"/>
        <v>1</v>
      </c>
      <c r="AY108" s="201" t="b">
        <f t="shared" si="44"/>
        <v>1</v>
      </c>
    </row>
    <row r="109" s="201" customFormat="1" spans="1:51">
      <c r="A109" s="163" t="s">
        <v>72</v>
      </c>
      <c r="B109" s="163" t="s">
        <v>634</v>
      </c>
      <c r="C109" s="163" t="str">
        <f t="shared" si="41"/>
        <v>弈工分信息王佩佩</v>
      </c>
      <c r="D109" s="163" t="s">
        <v>72</v>
      </c>
      <c r="E109" s="163"/>
      <c r="F109" s="228">
        <v>7460</v>
      </c>
      <c r="G109" s="228"/>
      <c r="H109" s="229">
        <f t="shared" si="48"/>
        <v>596.8</v>
      </c>
      <c r="I109" s="163">
        <f t="shared" si="49"/>
        <v>149.2</v>
      </c>
      <c r="J109" s="163">
        <f t="shared" si="50"/>
        <v>37.3</v>
      </c>
      <c r="K109" s="163">
        <f t="shared" si="51"/>
        <v>0</v>
      </c>
      <c r="L109" s="230">
        <f t="shared" si="52"/>
        <v>0</v>
      </c>
      <c r="M109" s="229">
        <f t="shared" si="53"/>
        <v>1193.6</v>
      </c>
      <c r="N109" s="163">
        <f t="shared" si="54"/>
        <v>596.8</v>
      </c>
      <c r="O109" s="163">
        <f t="shared" si="55"/>
        <v>37.3</v>
      </c>
      <c r="P109" s="163">
        <f t="shared" si="56"/>
        <v>14.92</v>
      </c>
      <c r="Q109" s="163">
        <f t="shared" si="57"/>
        <v>74.6</v>
      </c>
      <c r="R109" s="163">
        <f t="shared" si="58"/>
        <v>0</v>
      </c>
      <c r="S109" s="163">
        <f t="shared" si="59"/>
        <v>0</v>
      </c>
      <c r="T109" s="230"/>
      <c r="U109" s="229">
        <f>VLOOKUP($D109,'HR|社保政策'!$A:P,6,0)</f>
        <v>0.16</v>
      </c>
      <c r="V109" s="163">
        <f>VLOOKUP($D109,'HR|社保政策'!$A:Q,7,0)</f>
        <v>0.005</v>
      </c>
      <c r="W109" s="231">
        <f>VLOOKUP($D109,'HR|社保政策'!$A:R,8,0)</f>
        <v>0.002</v>
      </c>
      <c r="X109" s="163">
        <f>VLOOKUP($D109,'HR|社保政策'!$A:S,9,0)</f>
        <v>0.01</v>
      </c>
      <c r="Y109" s="163">
        <v>0.08</v>
      </c>
      <c r="Z109" s="163">
        <f>VLOOKUP($D109,'HR|社保政策'!$A:U,11,0)</f>
        <v>0.07</v>
      </c>
      <c r="AA109" s="163">
        <f>VLOOKUP($D109,'HR|社保政策'!$A:V,12,0)</f>
        <v>0.08</v>
      </c>
      <c r="AB109" s="163">
        <f>VLOOKUP($D109,'HR|社保政策'!$A:W,13,0)</f>
        <v>0.02</v>
      </c>
      <c r="AC109" s="163">
        <f>VLOOKUP($D109,'HR|社保政策'!$A:X,14,0)</f>
        <v>0</v>
      </c>
      <c r="AD109" s="232">
        <f>VLOOKUP($D109,'HR|社保政策'!$A:Y,15,0)</f>
        <v>0.005</v>
      </c>
      <c r="AE109" s="163">
        <f>VLOOKUP($D109,'HR|社保政策'!$A:Z,16,0)</f>
        <v>0.07</v>
      </c>
      <c r="AF109" s="233"/>
      <c r="AG109" s="163">
        <f>H109+I109+J109+K109+L109</f>
        <v>783.3</v>
      </c>
      <c r="AH109" s="163">
        <f>M109+N109+O109+P109+Q109+R109+S109</f>
        <v>1917.22</v>
      </c>
      <c r="AI109" s="228">
        <f>AG109+AH109</f>
        <v>2700.52</v>
      </c>
      <c r="AJ109" s="234"/>
      <c r="AK109" s="234"/>
      <c r="AL109" s="234"/>
      <c r="AM109" s="234"/>
      <c r="AN109" s="234"/>
      <c r="AO109" s="234" t="e">
        <f>VLOOKUP(B109,薪酬明细!I:I,1,0)</f>
        <v>#N/A</v>
      </c>
      <c r="AP109" s="201" t="e">
        <f>VLOOKUP(C109,薪酬明细!A:A,1,0)</f>
        <v>#N/A</v>
      </c>
      <c r="AQ109" s="201" t="str">
        <f t="shared" si="42"/>
        <v>弈工分信息王佩佩</v>
      </c>
      <c r="AS109" s="201">
        <f t="shared" si="38"/>
        <v>783.3</v>
      </c>
      <c r="AT109" s="201">
        <f t="shared" si="39"/>
        <v>-783.3</v>
      </c>
      <c r="AU109" s="201">
        <v>51</v>
      </c>
      <c r="AV109" s="201">
        <f t="shared" si="40"/>
        <v>-1866.22</v>
      </c>
      <c r="AX109" s="201" t="b">
        <f t="shared" si="43"/>
        <v>1</v>
      </c>
      <c r="AY109" s="201" t="b">
        <f t="shared" si="44"/>
        <v>1</v>
      </c>
    </row>
    <row r="110" s="201" customFormat="1" spans="1:51">
      <c r="A110" s="163" t="s">
        <v>72</v>
      </c>
      <c r="B110" s="163" t="s">
        <v>542</v>
      </c>
      <c r="C110" s="163" t="str">
        <f t="shared" si="41"/>
        <v>弈工分信息吴立军</v>
      </c>
      <c r="D110" s="163" t="s">
        <v>72</v>
      </c>
      <c r="E110" s="163"/>
      <c r="F110" s="228">
        <v>7460</v>
      </c>
      <c r="G110" s="228">
        <v>7384</v>
      </c>
      <c r="H110" s="229">
        <f t="shared" si="48"/>
        <v>596.8</v>
      </c>
      <c r="I110" s="163">
        <f t="shared" si="49"/>
        <v>149.2</v>
      </c>
      <c r="J110" s="163">
        <f t="shared" si="50"/>
        <v>37.3</v>
      </c>
      <c r="K110" s="163">
        <f t="shared" si="51"/>
        <v>517</v>
      </c>
      <c r="L110" s="230">
        <f t="shared" si="52"/>
        <v>0</v>
      </c>
      <c r="M110" s="229">
        <f t="shared" si="53"/>
        <v>1193.6</v>
      </c>
      <c r="N110" s="163">
        <f t="shared" si="54"/>
        <v>596.8</v>
      </c>
      <c r="O110" s="163">
        <f t="shared" si="55"/>
        <v>37.3</v>
      </c>
      <c r="P110" s="163">
        <f t="shared" si="56"/>
        <v>14.92</v>
      </c>
      <c r="Q110" s="163">
        <f t="shared" si="57"/>
        <v>74.6</v>
      </c>
      <c r="R110" s="163">
        <f t="shared" si="58"/>
        <v>517</v>
      </c>
      <c r="S110" s="163">
        <f t="shared" si="59"/>
        <v>0</v>
      </c>
      <c r="T110" s="230"/>
      <c r="U110" s="229">
        <f>VLOOKUP($D110,'HR|社保政策'!$A:P,6,0)</f>
        <v>0.16</v>
      </c>
      <c r="V110" s="163">
        <f>VLOOKUP($D110,'HR|社保政策'!$A:Q,7,0)</f>
        <v>0.005</v>
      </c>
      <c r="W110" s="231">
        <f>VLOOKUP($D110,'HR|社保政策'!$A:R,8,0)</f>
        <v>0.002</v>
      </c>
      <c r="X110" s="163">
        <f>VLOOKUP($D110,'HR|社保政策'!$A:S,9,0)</f>
        <v>0.01</v>
      </c>
      <c r="Y110" s="163">
        <v>0.08</v>
      </c>
      <c r="Z110" s="163">
        <f>VLOOKUP($D110,'HR|社保政策'!$A:U,11,0)</f>
        <v>0.07</v>
      </c>
      <c r="AA110" s="163">
        <f>VLOOKUP($D110,'HR|社保政策'!$A:V,12,0)</f>
        <v>0.08</v>
      </c>
      <c r="AB110" s="163">
        <f>VLOOKUP($D110,'HR|社保政策'!$A:W,13,0)</f>
        <v>0.02</v>
      </c>
      <c r="AC110" s="163">
        <f>VLOOKUP($D110,'HR|社保政策'!$A:X,14,0)</f>
        <v>0</v>
      </c>
      <c r="AD110" s="232">
        <f>VLOOKUP($D110,'HR|社保政策'!$A:Y,15,0)</f>
        <v>0.005</v>
      </c>
      <c r="AE110" s="163">
        <f>VLOOKUP($D110,'HR|社保政策'!$A:Z,16,0)</f>
        <v>0.07</v>
      </c>
      <c r="AF110" s="233"/>
      <c r="AG110" s="163">
        <f>H110+I110+J110+K110+L110</f>
        <v>1300.3</v>
      </c>
      <c r="AH110" s="163">
        <f>M110+N110+O110+P110+Q110+R110+S110</f>
        <v>2434.22</v>
      </c>
      <c r="AI110" s="228">
        <f>AG110+AH110</f>
        <v>3734.52</v>
      </c>
      <c r="AJ110" s="234"/>
      <c r="AK110" s="234"/>
      <c r="AL110" s="234"/>
      <c r="AM110" s="234"/>
      <c r="AN110" s="234"/>
      <c r="AO110" s="234" t="str">
        <f>VLOOKUP(B110,薪酬明细!I:I,1,0)</f>
        <v>吴立军</v>
      </c>
      <c r="AP110" s="201" t="str">
        <f>VLOOKUP(C110,薪酬明细!A:A,1,0)</f>
        <v>弈工分信息吴立军</v>
      </c>
      <c r="AQ110" s="201" t="str">
        <f t="shared" si="42"/>
        <v>弈工分信息吴立军</v>
      </c>
      <c r="AS110" s="201">
        <f t="shared" si="38"/>
        <v>1300.3</v>
      </c>
      <c r="AT110" s="201">
        <f t="shared" si="39"/>
        <v>-1300.3</v>
      </c>
      <c r="AU110" s="201">
        <v>32</v>
      </c>
      <c r="AV110" s="201">
        <f t="shared" si="40"/>
        <v>-2402.22</v>
      </c>
      <c r="AW110" s="201" t="e">
        <f>VLOOKUP(C110,薪酬明细!A:A,2,0)</f>
        <v>#REF!</v>
      </c>
      <c r="AX110" s="201" t="b">
        <f t="shared" si="43"/>
        <v>1</v>
      </c>
      <c r="AY110" s="201" t="b">
        <f t="shared" si="44"/>
        <v>1</v>
      </c>
    </row>
    <row r="111" s="201" customFormat="1" spans="1:51">
      <c r="A111" s="163" t="s">
        <v>63</v>
      </c>
      <c r="B111" s="163" t="s">
        <v>392</v>
      </c>
      <c r="C111" s="163" t="str">
        <f t="shared" si="41"/>
        <v>靠普人力杜宪</v>
      </c>
      <c r="D111" s="163" t="s">
        <v>32</v>
      </c>
      <c r="E111" s="163"/>
      <c r="F111" s="228"/>
      <c r="G111" s="228"/>
      <c r="H111" s="229">
        <f t="shared" si="48"/>
        <v>0</v>
      </c>
      <c r="I111" s="163">
        <f t="shared" si="49"/>
        <v>0</v>
      </c>
      <c r="J111" s="163">
        <f t="shared" si="50"/>
        <v>0</v>
      </c>
      <c r="K111" s="163">
        <f t="shared" si="51"/>
        <v>0</v>
      </c>
      <c r="L111" s="230">
        <f t="shared" si="52"/>
        <v>0</v>
      </c>
      <c r="M111" s="229">
        <f t="shared" si="53"/>
        <v>0</v>
      </c>
      <c r="N111" s="163">
        <f t="shared" si="54"/>
        <v>0</v>
      </c>
      <c r="O111" s="163">
        <f t="shared" si="55"/>
        <v>0</v>
      </c>
      <c r="P111" s="163">
        <f t="shared" si="56"/>
        <v>0</v>
      </c>
      <c r="Q111" s="163">
        <f t="shared" si="57"/>
        <v>0</v>
      </c>
      <c r="R111" s="163">
        <f t="shared" si="58"/>
        <v>0</v>
      </c>
      <c r="S111" s="163">
        <f t="shared" si="59"/>
        <v>0</v>
      </c>
      <c r="T111" s="230"/>
      <c r="U111" s="229"/>
      <c r="V111" s="163"/>
      <c r="W111" s="231"/>
      <c r="X111" s="163"/>
      <c r="Y111" s="163"/>
      <c r="Z111" s="163"/>
      <c r="AA111" s="163"/>
      <c r="AB111" s="163"/>
      <c r="AC111" s="163"/>
      <c r="AD111" s="232"/>
      <c r="AE111" s="163"/>
      <c r="AF111" s="233"/>
      <c r="AG111" s="163"/>
      <c r="AH111" s="163"/>
      <c r="AI111" s="228"/>
      <c r="AJ111" s="234"/>
      <c r="AK111" s="234"/>
      <c r="AL111" s="234"/>
      <c r="AM111" s="234"/>
      <c r="AN111" s="234"/>
      <c r="AO111" s="234" t="str">
        <f>VLOOKUP(B111,薪酬明细!I:I,1,0)</f>
        <v>杜宪</v>
      </c>
      <c r="AP111" s="201" t="str">
        <f>VLOOKUP(C111,薪酬明细!A:A,1,0)</f>
        <v>靠普人力杜宪</v>
      </c>
      <c r="AQ111" s="201" t="str">
        <f t="shared" si="42"/>
        <v>靠普人力杜宪</v>
      </c>
      <c r="AS111" s="201">
        <f t="shared" si="38"/>
        <v>0</v>
      </c>
      <c r="AT111" s="201">
        <f t="shared" si="39"/>
        <v>0</v>
      </c>
      <c r="AU111" s="201">
        <v>0</v>
      </c>
      <c r="AV111" s="201">
        <f t="shared" si="40"/>
        <v>0</v>
      </c>
      <c r="AW111" s="201" t="e">
        <f>VLOOKUP(C111,薪酬明细!A:A,2,0)</f>
        <v>#REF!</v>
      </c>
      <c r="AX111" s="201" t="b">
        <f t="shared" si="43"/>
        <v>0</v>
      </c>
      <c r="AY111" s="201" t="b">
        <f t="shared" si="44"/>
        <v>1</v>
      </c>
    </row>
    <row r="112" s="201" customFormat="1" spans="1:51">
      <c r="A112" s="163" t="s">
        <v>73</v>
      </c>
      <c r="B112" s="163" t="s">
        <v>474</v>
      </c>
      <c r="C112" s="163" t="str">
        <f t="shared" si="41"/>
        <v>弈工分健康黄连兵</v>
      </c>
      <c r="D112" s="163" t="s">
        <v>73</v>
      </c>
      <c r="E112" s="163"/>
      <c r="F112" s="228">
        <v>7460</v>
      </c>
      <c r="G112" s="228"/>
      <c r="H112" s="229">
        <f t="shared" si="48"/>
        <v>596.8</v>
      </c>
      <c r="I112" s="163">
        <f t="shared" si="49"/>
        <v>149.2</v>
      </c>
      <c r="J112" s="163">
        <f t="shared" si="50"/>
        <v>37.3</v>
      </c>
      <c r="K112" s="163">
        <f t="shared" si="51"/>
        <v>0</v>
      </c>
      <c r="L112" s="230">
        <f t="shared" si="52"/>
        <v>0</v>
      </c>
      <c r="M112" s="229">
        <f t="shared" si="53"/>
        <v>1193.6</v>
      </c>
      <c r="N112" s="163">
        <f t="shared" si="54"/>
        <v>596.8</v>
      </c>
      <c r="O112" s="163">
        <f t="shared" si="55"/>
        <v>37.3</v>
      </c>
      <c r="P112" s="163">
        <f t="shared" si="56"/>
        <v>14.92</v>
      </c>
      <c r="Q112" s="163">
        <f t="shared" si="57"/>
        <v>74.6</v>
      </c>
      <c r="R112" s="163">
        <f t="shared" si="58"/>
        <v>0</v>
      </c>
      <c r="S112" s="163">
        <f t="shared" si="59"/>
        <v>0</v>
      </c>
      <c r="T112" s="230"/>
      <c r="U112" s="229">
        <f>VLOOKUP($D112,'HR|社保政策'!$A:P,6,0)</f>
        <v>0.16</v>
      </c>
      <c r="V112" s="163">
        <f>VLOOKUP($D112,'HR|社保政策'!$A:Q,7,0)</f>
        <v>0.005</v>
      </c>
      <c r="W112" s="231">
        <f>VLOOKUP($D112,'HR|社保政策'!$A:R,8,0)</f>
        <v>0.002</v>
      </c>
      <c r="X112" s="163">
        <f>VLOOKUP($D112,'HR|社保政策'!$A:S,9,0)</f>
        <v>0.01</v>
      </c>
      <c r="Y112" s="163">
        <v>0.08</v>
      </c>
      <c r="Z112" s="163">
        <f>VLOOKUP($D112,'HR|社保政策'!$A:U,11,0)</f>
        <v>0.07</v>
      </c>
      <c r="AA112" s="163">
        <f>VLOOKUP($D112,'HR|社保政策'!$A:V,12,0)</f>
        <v>0.08</v>
      </c>
      <c r="AB112" s="163">
        <f>VLOOKUP($D112,'HR|社保政策'!$A:W,13,0)</f>
        <v>0.02</v>
      </c>
      <c r="AC112" s="163">
        <f>VLOOKUP($D112,'HR|社保政策'!$A:X,14,0)</f>
        <v>0</v>
      </c>
      <c r="AD112" s="232">
        <f>VLOOKUP($D112,'HR|社保政策'!$A:Y,15,0)</f>
        <v>0.005</v>
      </c>
      <c r="AE112" s="163">
        <f>VLOOKUP($D112,'HR|社保政策'!$A:Z,16,0)</f>
        <v>0.07</v>
      </c>
      <c r="AF112" s="233"/>
      <c r="AG112" s="163">
        <f>H112+I112+J112+K112+L112</f>
        <v>783.3</v>
      </c>
      <c r="AH112" s="163">
        <f>M112+N112+O112+P112+Q112+R112+S112</f>
        <v>1917.22</v>
      </c>
      <c r="AI112" s="228">
        <f>AG112+AH112</f>
        <v>2700.52</v>
      </c>
      <c r="AJ112" s="234"/>
      <c r="AK112" s="234"/>
      <c r="AL112" s="234"/>
      <c r="AM112" s="234"/>
      <c r="AN112" s="234"/>
      <c r="AO112" s="234" t="str">
        <f>VLOOKUP(B112,薪酬明细!I:I,1,0)</f>
        <v>黄连兵</v>
      </c>
      <c r="AP112" s="201" t="str">
        <f>VLOOKUP(C112,薪酬明细!A:A,1,0)</f>
        <v>弈工分健康黄连兵</v>
      </c>
      <c r="AQ112" s="201" t="str">
        <f t="shared" si="42"/>
        <v>弈工分健康黄连兵</v>
      </c>
      <c r="AS112" s="201">
        <f t="shared" si="38"/>
        <v>783.3</v>
      </c>
      <c r="AT112" s="201">
        <f t="shared" si="39"/>
        <v>-783.3</v>
      </c>
      <c r="AU112" s="201">
        <v>1</v>
      </c>
      <c r="AV112" s="201">
        <f t="shared" si="40"/>
        <v>-1916.22</v>
      </c>
      <c r="AW112" s="201" t="e">
        <f>VLOOKUP(C112,薪酬明细!A:A,2,0)</f>
        <v>#REF!</v>
      </c>
      <c r="AX112" s="201" t="b">
        <f t="shared" si="43"/>
        <v>1</v>
      </c>
      <c r="AY112" s="201" t="b">
        <f t="shared" si="44"/>
        <v>1</v>
      </c>
    </row>
    <row r="113" s="201" customFormat="1" spans="1:51">
      <c r="A113" s="163" t="s">
        <v>73</v>
      </c>
      <c r="B113" s="163" t="s">
        <v>477</v>
      </c>
      <c r="C113" s="163" t="str">
        <f t="shared" si="41"/>
        <v>弈工分健康庄艳林</v>
      </c>
      <c r="D113" s="163" t="s">
        <v>73</v>
      </c>
      <c r="E113" s="163"/>
      <c r="F113" s="228">
        <v>7460</v>
      </c>
      <c r="G113" s="228"/>
      <c r="H113" s="229">
        <f t="shared" si="48"/>
        <v>596.8</v>
      </c>
      <c r="I113" s="163">
        <f t="shared" si="49"/>
        <v>149.2</v>
      </c>
      <c r="J113" s="163">
        <f t="shared" si="50"/>
        <v>37.3</v>
      </c>
      <c r="K113" s="163">
        <f t="shared" si="51"/>
        <v>0</v>
      </c>
      <c r="L113" s="230">
        <f t="shared" si="52"/>
        <v>0</v>
      </c>
      <c r="M113" s="229">
        <f t="shared" si="53"/>
        <v>1193.6</v>
      </c>
      <c r="N113" s="163">
        <f t="shared" si="54"/>
        <v>596.8</v>
      </c>
      <c r="O113" s="163">
        <f t="shared" si="55"/>
        <v>37.3</v>
      </c>
      <c r="P113" s="163">
        <f t="shared" si="56"/>
        <v>14.92</v>
      </c>
      <c r="Q113" s="163">
        <f t="shared" si="57"/>
        <v>74.6</v>
      </c>
      <c r="R113" s="163">
        <f t="shared" si="58"/>
        <v>0</v>
      </c>
      <c r="S113" s="163">
        <f t="shared" si="59"/>
        <v>0</v>
      </c>
      <c r="T113" s="230"/>
      <c r="U113" s="229">
        <f>VLOOKUP($D113,'HR|社保政策'!$A:P,6,0)</f>
        <v>0.16</v>
      </c>
      <c r="V113" s="163">
        <f>VLOOKUP($D113,'HR|社保政策'!$A:Q,7,0)</f>
        <v>0.005</v>
      </c>
      <c r="W113" s="231">
        <f>VLOOKUP($D113,'HR|社保政策'!$A:R,8,0)</f>
        <v>0.002</v>
      </c>
      <c r="X113" s="163">
        <f>VLOOKUP($D113,'HR|社保政策'!$A:S,9,0)</f>
        <v>0.01</v>
      </c>
      <c r="Y113" s="163">
        <v>0.08</v>
      </c>
      <c r="Z113" s="163">
        <f>VLOOKUP($D113,'HR|社保政策'!$A:U,11,0)</f>
        <v>0.07</v>
      </c>
      <c r="AA113" s="163">
        <f>VLOOKUP($D113,'HR|社保政策'!$A:V,12,0)</f>
        <v>0.08</v>
      </c>
      <c r="AB113" s="163">
        <f>VLOOKUP($D113,'HR|社保政策'!$A:W,13,0)</f>
        <v>0.02</v>
      </c>
      <c r="AC113" s="163">
        <f>VLOOKUP($D113,'HR|社保政策'!$A:X,14,0)</f>
        <v>0</v>
      </c>
      <c r="AD113" s="232">
        <f>VLOOKUP($D113,'HR|社保政策'!$A:Y,15,0)</f>
        <v>0.005</v>
      </c>
      <c r="AE113" s="163">
        <f>VLOOKUP($D113,'HR|社保政策'!$A:Z,16,0)</f>
        <v>0.07</v>
      </c>
      <c r="AF113" s="233"/>
      <c r="AG113" s="163">
        <f>H113+I113+J113+K113+L113</f>
        <v>783.3</v>
      </c>
      <c r="AH113" s="163">
        <f>M113+N113+O113+P113+Q113+R113+S113</f>
        <v>1917.22</v>
      </c>
      <c r="AI113" s="228">
        <f>AG113+AH113</f>
        <v>2700.52</v>
      </c>
      <c r="AJ113" s="234"/>
      <c r="AK113" s="234"/>
      <c r="AL113" s="234"/>
      <c r="AM113" s="234"/>
      <c r="AN113" s="234"/>
      <c r="AO113" s="234" t="str">
        <f>VLOOKUP(B113,薪酬明细!I:I,1,0)</f>
        <v>庄艳林</v>
      </c>
      <c r="AP113" s="201" t="str">
        <f>VLOOKUP(C113,薪酬明细!A:A,1,0)</f>
        <v>弈工分健康庄艳林</v>
      </c>
      <c r="AQ113" s="201" t="str">
        <f t="shared" si="42"/>
        <v>弈工分健康庄艳林</v>
      </c>
      <c r="AS113" s="201">
        <f t="shared" si="38"/>
        <v>783.3</v>
      </c>
      <c r="AT113" s="201">
        <f t="shared" si="39"/>
        <v>-783.3</v>
      </c>
      <c r="AU113" s="201">
        <v>2</v>
      </c>
      <c r="AV113" s="201">
        <f t="shared" si="40"/>
        <v>-1915.22</v>
      </c>
      <c r="AW113" s="201" t="e">
        <f>VLOOKUP(C113,薪酬明细!A:A,2,0)</f>
        <v>#REF!</v>
      </c>
      <c r="AX113" s="201" t="b">
        <f t="shared" si="43"/>
        <v>1</v>
      </c>
      <c r="AY113" s="201" t="b">
        <f t="shared" si="44"/>
        <v>1</v>
      </c>
    </row>
    <row r="114" s="201" customFormat="1" spans="1:51">
      <c r="A114" s="163" t="s">
        <v>73</v>
      </c>
      <c r="B114" s="163" t="s">
        <v>479</v>
      </c>
      <c r="C114" s="163" t="str">
        <f t="shared" si="41"/>
        <v>弈工分健康谢小强</v>
      </c>
      <c r="D114" s="163" t="s">
        <v>73</v>
      </c>
      <c r="E114" s="163"/>
      <c r="F114" s="228">
        <v>7460</v>
      </c>
      <c r="G114" s="228"/>
      <c r="H114" s="229">
        <f t="shared" si="48"/>
        <v>596.8</v>
      </c>
      <c r="I114" s="163">
        <f t="shared" si="49"/>
        <v>149.2</v>
      </c>
      <c r="J114" s="163">
        <f t="shared" si="50"/>
        <v>37.3</v>
      </c>
      <c r="K114" s="163">
        <f t="shared" si="51"/>
        <v>0</v>
      </c>
      <c r="L114" s="230">
        <f t="shared" si="52"/>
        <v>0</v>
      </c>
      <c r="M114" s="229">
        <f t="shared" si="53"/>
        <v>1193.6</v>
      </c>
      <c r="N114" s="163">
        <f t="shared" si="54"/>
        <v>596.8</v>
      </c>
      <c r="O114" s="163">
        <f t="shared" si="55"/>
        <v>37.3</v>
      </c>
      <c r="P114" s="163">
        <f t="shared" si="56"/>
        <v>14.92</v>
      </c>
      <c r="Q114" s="163">
        <f t="shared" si="57"/>
        <v>74.6</v>
      </c>
      <c r="R114" s="163">
        <f t="shared" si="58"/>
        <v>0</v>
      </c>
      <c r="S114" s="163">
        <f t="shared" si="59"/>
        <v>0</v>
      </c>
      <c r="T114" s="230"/>
      <c r="U114" s="229">
        <f>VLOOKUP($D114,'HR|社保政策'!$A:P,6,0)</f>
        <v>0.16</v>
      </c>
      <c r="V114" s="163">
        <f>VLOOKUP($D114,'HR|社保政策'!$A:Q,7,0)</f>
        <v>0.005</v>
      </c>
      <c r="W114" s="231">
        <f>VLOOKUP($D114,'HR|社保政策'!$A:R,8,0)</f>
        <v>0.002</v>
      </c>
      <c r="X114" s="163">
        <f>VLOOKUP($D114,'HR|社保政策'!$A:S,9,0)</f>
        <v>0.01</v>
      </c>
      <c r="Y114" s="163">
        <v>0.08</v>
      </c>
      <c r="Z114" s="163">
        <f>VLOOKUP($D114,'HR|社保政策'!$A:U,11,0)</f>
        <v>0.07</v>
      </c>
      <c r="AA114" s="163">
        <f>VLOOKUP($D114,'HR|社保政策'!$A:V,12,0)</f>
        <v>0.08</v>
      </c>
      <c r="AB114" s="163">
        <f>VLOOKUP($D114,'HR|社保政策'!$A:W,13,0)</f>
        <v>0.02</v>
      </c>
      <c r="AC114" s="163">
        <f>VLOOKUP($D114,'HR|社保政策'!$A:X,14,0)</f>
        <v>0</v>
      </c>
      <c r="AD114" s="232">
        <f>VLOOKUP($D114,'HR|社保政策'!$A:Y,15,0)</f>
        <v>0.005</v>
      </c>
      <c r="AE114" s="163">
        <f>VLOOKUP($D114,'HR|社保政策'!$A:Z,16,0)</f>
        <v>0.07</v>
      </c>
      <c r="AF114" s="233"/>
      <c r="AG114" s="163">
        <f>H114+I114+J114+K114+L114</f>
        <v>783.3</v>
      </c>
      <c r="AH114" s="163">
        <f>M114+N114+O114+P114+Q114+R114+S114</f>
        <v>1917.22</v>
      </c>
      <c r="AI114" s="228">
        <f>AG114+AH114</f>
        <v>2700.52</v>
      </c>
      <c r="AJ114" s="234"/>
      <c r="AK114" s="234"/>
      <c r="AL114" s="234"/>
      <c r="AM114" s="234"/>
      <c r="AN114" s="234"/>
      <c r="AO114" s="234" t="str">
        <f>VLOOKUP(B114,薪酬明细!I:I,1,0)</f>
        <v>谢小强</v>
      </c>
      <c r="AP114" s="201" t="str">
        <f>VLOOKUP(C114,薪酬明细!A:A,1,0)</f>
        <v>弈工分健康谢小强</v>
      </c>
      <c r="AQ114" s="201" t="str">
        <f t="shared" si="42"/>
        <v>弈工分健康谢小强</v>
      </c>
      <c r="AS114" s="201">
        <f t="shared" si="38"/>
        <v>783.3</v>
      </c>
      <c r="AT114" s="201">
        <f t="shared" si="39"/>
        <v>-783.3</v>
      </c>
      <c r="AU114" s="201">
        <v>3</v>
      </c>
      <c r="AV114" s="201">
        <f t="shared" si="40"/>
        <v>-1914.22</v>
      </c>
      <c r="AW114" s="201" t="e">
        <f>VLOOKUP(C114,薪酬明细!A:A,2,0)</f>
        <v>#REF!</v>
      </c>
      <c r="AX114" s="201" t="b">
        <f t="shared" si="43"/>
        <v>1</v>
      </c>
      <c r="AY114" s="201" t="b">
        <f t="shared" si="44"/>
        <v>1</v>
      </c>
    </row>
    <row r="115" s="201" customFormat="1" spans="1:51">
      <c r="A115" s="163" t="s">
        <v>73</v>
      </c>
      <c r="B115" s="163" t="s">
        <v>481</v>
      </c>
      <c r="C115" s="163" t="str">
        <f t="shared" si="41"/>
        <v>弈工分健康史文奎</v>
      </c>
      <c r="D115" s="163" t="s">
        <v>73</v>
      </c>
      <c r="E115" s="163"/>
      <c r="F115" s="228">
        <v>7460</v>
      </c>
      <c r="G115" s="228"/>
      <c r="H115" s="229">
        <f t="shared" si="48"/>
        <v>596.8</v>
      </c>
      <c r="I115" s="163">
        <f t="shared" si="49"/>
        <v>149.2</v>
      </c>
      <c r="J115" s="163">
        <f t="shared" si="50"/>
        <v>37.3</v>
      </c>
      <c r="K115" s="163">
        <f t="shared" si="51"/>
        <v>0</v>
      </c>
      <c r="L115" s="230">
        <f t="shared" si="52"/>
        <v>0</v>
      </c>
      <c r="M115" s="229">
        <f t="shared" si="53"/>
        <v>1193.6</v>
      </c>
      <c r="N115" s="163">
        <f t="shared" si="54"/>
        <v>596.8</v>
      </c>
      <c r="O115" s="163">
        <f t="shared" si="55"/>
        <v>37.3</v>
      </c>
      <c r="P115" s="163">
        <f t="shared" si="56"/>
        <v>14.92</v>
      </c>
      <c r="Q115" s="163">
        <f t="shared" si="57"/>
        <v>74.6</v>
      </c>
      <c r="R115" s="163">
        <f t="shared" si="58"/>
        <v>0</v>
      </c>
      <c r="S115" s="163">
        <f t="shared" si="59"/>
        <v>0</v>
      </c>
      <c r="T115" s="230"/>
      <c r="U115" s="229">
        <f>VLOOKUP($D115,'HR|社保政策'!$A:P,6,0)</f>
        <v>0.16</v>
      </c>
      <c r="V115" s="163">
        <f>VLOOKUP($D115,'HR|社保政策'!$A:Q,7,0)</f>
        <v>0.005</v>
      </c>
      <c r="W115" s="231">
        <f>VLOOKUP($D115,'HR|社保政策'!$A:R,8,0)</f>
        <v>0.002</v>
      </c>
      <c r="X115" s="163">
        <f>VLOOKUP($D115,'HR|社保政策'!$A:S,9,0)</f>
        <v>0.01</v>
      </c>
      <c r="Y115" s="163">
        <v>0.08</v>
      </c>
      <c r="Z115" s="163">
        <f>VLOOKUP($D115,'HR|社保政策'!$A:U,11,0)</f>
        <v>0.07</v>
      </c>
      <c r="AA115" s="163">
        <f>VLOOKUP($D115,'HR|社保政策'!$A:V,12,0)</f>
        <v>0.08</v>
      </c>
      <c r="AB115" s="163">
        <f>VLOOKUP($D115,'HR|社保政策'!$A:W,13,0)</f>
        <v>0.02</v>
      </c>
      <c r="AC115" s="163">
        <f>VLOOKUP($D115,'HR|社保政策'!$A:X,14,0)</f>
        <v>0</v>
      </c>
      <c r="AD115" s="232">
        <f>VLOOKUP($D115,'HR|社保政策'!$A:Y,15,0)</f>
        <v>0.005</v>
      </c>
      <c r="AE115" s="163">
        <f>VLOOKUP($D115,'HR|社保政策'!$A:Z,16,0)</f>
        <v>0.07</v>
      </c>
      <c r="AF115" s="233"/>
      <c r="AG115" s="163">
        <f>H115+I115+J115+K115+L115</f>
        <v>783.3</v>
      </c>
      <c r="AH115" s="163">
        <f>M115+N115+O115+P115+Q115+R115+S115</f>
        <v>1917.22</v>
      </c>
      <c r="AI115" s="228">
        <f>AG115+AH115</f>
        <v>2700.52</v>
      </c>
      <c r="AJ115" s="234"/>
      <c r="AK115" s="234"/>
      <c r="AL115" s="234"/>
      <c r="AM115" s="234"/>
      <c r="AN115" s="234"/>
      <c r="AO115" s="234" t="str">
        <f>VLOOKUP(B115,薪酬明细!I:I,1,0)</f>
        <v>史文奎</v>
      </c>
      <c r="AP115" s="201" t="str">
        <f>VLOOKUP(C115,薪酬明细!A:A,1,0)</f>
        <v>弈工分健康史文奎</v>
      </c>
      <c r="AQ115" s="201" t="str">
        <f t="shared" si="42"/>
        <v>弈工分健康史文奎</v>
      </c>
      <c r="AS115" s="201">
        <f t="shared" si="38"/>
        <v>783.3</v>
      </c>
      <c r="AT115" s="201">
        <f t="shared" si="39"/>
        <v>-783.3</v>
      </c>
      <c r="AU115" s="201">
        <v>3</v>
      </c>
      <c r="AV115" s="201">
        <f t="shared" si="40"/>
        <v>-1914.22</v>
      </c>
      <c r="AW115" s="201" t="e">
        <f>VLOOKUP(C115,薪酬明细!A:A,2,0)</f>
        <v>#REF!</v>
      </c>
      <c r="AX115" s="201" t="b">
        <f t="shared" si="43"/>
        <v>1</v>
      </c>
      <c r="AY115" s="201" t="b">
        <f t="shared" si="44"/>
        <v>1</v>
      </c>
    </row>
    <row r="116" s="201" customFormat="1" spans="1:51">
      <c r="A116" s="163" t="s">
        <v>71</v>
      </c>
      <c r="B116" s="163" t="s">
        <v>352</v>
      </c>
      <c r="C116" s="163" t="str">
        <f t="shared" si="41"/>
        <v>开弈投资韩喆</v>
      </c>
      <c r="D116" s="163" t="s">
        <v>71</v>
      </c>
      <c r="E116" s="163"/>
      <c r="F116" s="228"/>
      <c r="G116" s="228"/>
      <c r="H116" s="229"/>
      <c r="I116" s="163"/>
      <c r="J116" s="163"/>
      <c r="K116" s="163"/>
      <c r="L116" s="230"/>
      <c r="M116" s="229"/>
      <c r="N116" s="163"/>
      <c r="O116" s="163"/>
      <c r="P116" s="163"/>
      <c r="Q116" s="163"/>
      <c r="R116" s="163"/>
      <c r="S116" s="163"/>
      <c r="T116" s="230"/>
      <c r="U116" s="229"/>
      <c r="V116" s="163"/>
      <c r="W116" s="231"/>
      <c r="X116" s="163"/>
      <c r="Y116" s="163"/>
      <c r="Z116" s="163"/>
      <c r="AA116" s="163"/>
      <c r="AB116" s="163"/>
      <c r="AC116" s="163"/>
      <c r="AD116" s="232"/>
      <c r="AE116" s="163"/>
      <c r="AF116" s="233"/>
      <c r="AG116" s="163"/>
      <c r="AH116" s="163"/>
      <c r="AI116" s="228"/>
      <c r="AJ116" s="234"/>
      <c r="AK116" s="234"/>
      <c r="AL116" s="234"/>
      <c r="AM116" s="234"/>
      <c r="AN116" s="234"/>
      <c r="AO116" s="234" t="str">
        <f>VLOOKUP(B116,薪酬明细!I:I,1,0)</f>
        <v>韩喆</v>
      </c>
      <c r="AP116" s="201" t="str">
        <f>VLOOKUP(C116,薪酬明细!A:A,1,0)</f>
        <v>开弈投资韩喆</v>
      </c>
      <c r="AQ116" s="201" t="str">
        <f t="shared" si="42"/>
        <v>开弈投资韩喆</v>
      </c>
      <c r="AS116" s="201">
        <f t="shared" si="38"/>
        <v>0</v>
      </c>
      <c r="AT116" s="201">
        <f t="shared" si="39"/>
        <v>0</v>
      </c>
      <c r="AU116" s="201">
        <v>39</v>
      </c>
      <c r="AV116" s="201">
        <f t="shared" si="40"/>
        <v>39</v>
      </c>
      <c r="AW116" s="201" t="e">
        <f>VLOOKUP(C116,薪酬明细!A:A,2,0)</f>
        <v>#REF!</v>
      </c>
      <c r="AX116" s="201" t="b">
        <f t="shared" si="43"/>
        <v>1</v>
      </c>
      <c r="AY116" s="201" t="b">
        <f t="shared" si="44"/>
        <v>1</v>
      </c>
    </row>
    <row r="117" s="201" customFormat="1" spans="1:51">
      <c r="A117" s="163" t="s">
        <v>71</v>
      </c>
      <c r="B117" s="163" t="s">
        <v>635</v>
      </c>
      <c r="C117" s="163" t="str">
        <f t="shared" si="41"/>
        <v>开弈投资范杰</v>
      </c>
      <c r="D117" s="163" t="s">
        <v>71</v>
      </c>
      <c r="E117" s="163"/>
      <c r="F117" s="228"/>
      <c r="G117" s="228"/>
      <c r="H117" s="229"/>
      <c r="I117" s="163"/>
      <c r="J117" s="163"/>
      <c r="K117" s="163"/>
      <c r="L117" s="230"/>
      <c r="M117" s="229"/>
      <c r="N117" s="163"/>
      <c r="O117" s="163"/>
      <c r="P117" s="163"/>
      <c r="Q117" s="163"/>
      <c r="R117" s="163"/>
      <c r="S117" s="163"/>
      <c r="T117" s="230"/>
      <c r="U117" s="229"/>
      <c r="V117" s="163"/>
      <c r="W117" s="231"/>
      <c r="X117" s="163"/>
      <c r="Y117" s="163"/>
      <c r="Z117" s="163"/>
      <c r="AA117" s="163"/>
      <c r="AB117" s="163"/>
      <c r="AC117" s="163"/>
      <c r="AD117" s="232"/>
      <c r="AE117" s="163"/>
      <c r="AF117" s="233"/>
      <c r="AG117" s="163"/>
      <c r="AH117" s="163"/>
      <c r="AI117" s="228"/>
      <c r="AJ117" s="234"/>
      <c r="AK117" s="234"/>
      <c r="AL117" s="234"/>
      <c r="AM117" s="234"/>
      <c r="AN117" s="234"/>
      <c r="AO117" s="234" t="e">
        <f>VLOOKUP(B117,薪酬明细!I:I,1,0)</f>
        <v>#N/A</v>
      </c>
      <c r="AP117" s="201" t="e">
        <f>VLOOKUP(C117,薪酬明细!A:A,1,0)</f>
        <v>#N/A</v>
      </c>
      <c r="AQ117" s="201" t="str">
        <f t="shared" si="42"/>
        <v>开弈投资范杰</v>
      </c>
      <c r="AS117" s="201">
        <f t="shared" si="38"/>
        <v>0</v>
      </c>
      <c r="AT117" s="201">
        <f t="shared" si="39"/>
        <v>0</v>
      </c>
      <c r="AU117" s="201">
        <v>39</v>
      </c>
      <c r="AV117" s="201">
        <f t="shared" si="40"/>
        <v>39</v>
      </c>
      <c r="AW117" s="201" t="e">
        <f>VLOOKUP(C117,薪酬明细!A:A,2,0)</f>
        <v>#N/A</v>
      </c>
      <c r="AX117" s="201" t="b">
        <f t="shared" si="43"/>
        <v>1</v>
      </c>
      <c r="AY117" s="201" t="b">
        <f t="shared" si="44"/>
        <v>1</v>
      </c>
    </row>
    <row r="118" s="201" customFormat="1" spans="1:51">
      <c r="A118" s="163" t="s">
        <v>47</v>
      </c>
      <c r="B118" s="163" t="s">
        <v>364</v>
      </c>
      <c r="C118" s="163" t="str">
        <f t="shared" si="41"/>
        <v>老龙馄饨谢志毅</v>
      </c>
      <c r="D118" s="163" t="s">
        <v>47</v>
      </c>
      <c r="E118" s="163"/>
      <c r="F118" s="228"/>
      <c r="G118" s="228"/>
      <c r="H118" s="229">
        <f>ROUND($F118*AA118,2)</f>
        <v>0</v>
      </c>
      <c r="I118" s="163">
        <f>ROUND($F118*AB118,2)</f>
        <v>0</v>
      </c>
      <c r="J118" s="163">
        <f>ROUND($F118*AD118,2)</f>
        <v>0</v>
      </c>
      <c r="K118" s="163">
        <f>IF(D118="深圳",ROUND(G118*AE118,1),ROUND(G118*AE118,0))</f>
        <v>0</v>
      </c>
      <c r="L118" s="230">
        <f>ROUND(G118*AF118,0)</f>
        <v>0</v>
      </c>
      <c r="M118" s="229">
        <f>ROUND($F118*U118,2)</f>
        <v>0</v>
      </c>
      <c r="N118" s="163">
        <f>ROUND($F118*Y118,2)</f>
        <v>0</v>
      </c>
      <c r="O118" s="163">
        <f>ROUND($F118*V118,2)</f>
        <v>0</v>
      </c>
      <c r="P118" s="163">
        <f>ROUND($F118*W118,2)</f>
        <v>0</v>
      </c>
      <c r="Q118" s="163">
        <f>ROUND($F118*X118,2)</f>
        <v>0</v>
      </c>
      <c r="R118" s="163">
        <f>K118</f>
        <v>0</v>
      </c>
      <c r="S118" s="163">
        <f>L118</f>
        <v>0</v>
      </c>
      <c r="T118" s="230"/>
      <c r="U118" s="229">
        <f>VLOOKUP($D118,'HR|社保政策'!$A:P,6,0)</f>
        <v>0.16</v>
      </c>
      <c r="V118" s="163">
        <f>VLOOKUP($D118,'HR|社保政策'!$A:Q,7,0)</f>
        <v>0.005</v>
      </c>
      <c r="W118" s="231">
        <f>VLOOKUP($D118,'HR|社保政策'!$A:R,8,0)</f>
        <v>0.002</v>
      </c>
      <c r="X118" s="163">
        <f>VLOOKUP($D118,'HR|社保政策'!$A:S,9,0)</f>
        <v>0.01</v>
      </c>
      <c r="Y118" s="163">
        <v>0.08</v>
      </c>
      <c r="Z118" s="163">
        <f>VLOOKUP($D118,'HR|社保政策'!$A:U,11,0)</f>
        <v>0.07</v>
      </c>
      <c r="AA118" s="163">
        <f>VLOOKUP($D118,'HR|社保政策'!$A:V,12,0)</f>
        <v>0.08</v>
      </c>
      <c r="AB118" s="163">
        <f>VLOOKUP($D118,'HR|社保政策'!$A:W,13,0)</f>
        <v>0.02</v>
      </c>
      <c r="AC118" s="163">
        <f>VLOOKUP($D118,'HR|社保政策'!$A:X,14,0)</f>
        <v>0</v>
      </c>
      <c r="AD118" s="232">
        <f>VLOOKUP($D118,'HR|社保政策'!$A:Y,15,0)</f>
        <v>0.005</v>
      </c>
      <c r="AE118" s="163">
        <f>VLOOKUP($D118,'HR|社保政策'!$A:Z,16,0)</f>
        <v>0.07</v>
      </c>
      <c r="AF118" s="233"/>
      <c r="AG118" s="163">
        <f>H118+I118+J118+K118+L118</f>
        <v>0</v>
      </c>
      <c r="AH118" s="163">
        <f>M118+N118+O118+P118+Q118+R118+S118</f>
        <v>0</v>
      </c>
      <c r="AI118" s="228">
        <f>AG118+AH118</f>
        <v>0</v>
      </c>
      <c r="AJ118" s="234"/>
      <c r="AK118" s="234"/>
      <c r="AL118" s="234"/>
      <c r="AM118" s="234"/>
      <c r="AN118" s="234"/>
      <c r="AO118" s="234" t="str">
        <f>VLOOKUP(B118,薪酬明细!I:I,1,0)</f>
        <v>谢志毅</v>
      </c>
      <c r="AP118" s="201" t="e">
        <f>VLOOKUP(C118,薪酬明细!A:A,1,0)</f>
        <v>#N/A</v>
      </c>
      <c r="AQ118" s="201" t="str">
        <f t="shared" si="42"/>
        <v>老龙馄饨谢志毅</v>
      </c>
      <c r="AS118" s="201">
        <f>H118+I118+J118+K118+L118</f>
        <v>0</v>
      </c>
      <c r="AT118" s="201">
        <f>AR118-AS118</f>
        <v>0</v>
      </c>
      <c r="AU118" s="201">
        <v>48</v>
      </c>
      <c r="AV118" s="201">
        <f>AU118-M118-N118-O118-P118-Q118-R118-S118</f>
        <v>48</v>
      </c>
      <c r="AW118" s="201" t="e">
        <f>VLOOKUP(C118,薪酬明细!A:A,2,0)</f>
        <v>#N/A</v>
      </c>
      <c r="AX118" s="201" t="b">
        <f t="shared" si="43"/>
        <v>1</v>
      </c>
      <c r="AY118" s="201" t="b">
        <f t="shared" si="44"/>
        <v>1</v>
      </c>
    </row>
    <row r="119" s="201" customFormat="1" spans="1:51">
      <c r="A119" s="163" t="s">
        <v>47</v>
      </c>
      <c r="B119" s="163" t="s">
        <v>367</v>
      </c>
      <c r="C119" s="163" t="str">
        <f t="shared" si="41"/>
        <v>老龙馄饨钱玉连</v>
      </c>
      <c r="D119" s="163" t="s">
        <v>47</v>
      </c>
      <c r="E119" s="163"/>
      <c r="F119" s="228"/>
      <c r="G119" s="228"/>
      <c r="H119" s="229">
        <f>ROUND($F119*AA119,2)</f>
        <v>0</v>
      </c>
      <c r="I119" s="163">
        <f>ROUND($F119*AB119,2)</f>
        <v>0</v>
      </c>
      <c r="J119" s="163">
        <f>ROUND($F119*AD119,2)</f>
        <v>0</v>
      </c>
      <c r="K119" s="163">
        <f>IF(D119="深圳",ROUND(G119*AE119,1),ROUND(G119*AE119,0))</f>
        <v>0</v>
      </c>
      <c r="L119" s="230">
        <f>ROUND(G119*AF119,0)</f>
        <v>0</v>
      </c>
      <c r="M119" s="229">
        <f>ROUND($F119*U119,2)</f>
        <v>0</v>
      </c>
      <c r="N119" s="163">
        <f>ROUND($F119*Y119,2)</f>
        <v>0</v>
      </c>
      <c r="O119" s="163">
        <f>ROUND($F119*V119,2)</f>
        <v>0</v>
      </c>
      <c r="P119" s="163">
        <f>ROUND($F119*W119,2)</f>
        <v>0</v>
      </c>
      <c r="Q119" s="163">
        <f>ROUND($F119*X119,2)</f>
        <v>0</v>
      </c>
      <c r="R119" s="163">
        <f>K119</f>
        <v>0</v>
      </c>
      <c r="S119" s="163">
        <f>L119</f>
        <v>0</v>
      </c>
      <c r="T119" s="230"/>
      <c r="U119" s="229">
        <f>VLOOKUP($D119,'HR|社保政策'!$A:P,6,0)</f>
        <v>0.16</v>
      </c>
      <c r="V119" s="163">
        <f>VLOOKUP($D119,'HR|社保政策'!$A:Q,7,0)</f>
        <v>0.005</v>
      </c>
      <c r="W119" s="231">
        <f>VLOOKUP($D119,'HR|社保政策'!$A:R,8,0)</f>
        <v>0.002</v>
      </c>
      <c r="X119" s="163">
        <f>VLOOKUP($D119,'HR|社保政策'!$A:S,9,0)</f>
        <v>0.01</v>
      </c>
      <c r="Y119" s="163">
        <v>0.08</v>
      </c>
      <c r="Z119" s="163">
        <f>VLOOKUP($D119,'HR|社保政策'!$A:U,11,0)</f>
        <v>0.07</v>
      </c>
      <c r="AA119" s="163">
        <f>VLOOKUP($D119,'HR|社保政策'!$A:V,12,0)</f>
        <v>0.08</v>
      </c>
      <c r="AB119" s="163">
        <f>VLOOKUP($D119,'HR|社保政策'!$A:W,13,0)</f>
        <v>0.02</v>
      </c>
      <c r="AC119" s="163">
        <f>VLOOKUP($D119,'HR|社保政策'!$A:X,14,0)</f>
        <v>0</v>
      </c>
      <c r="AD119" s="232">
        <f>VLOOKUP($D119,'HR|社保政策'!$A:Y,15,0)</f>
        <v>0.005</v>
      </c>
      <c r="AE119" s="163">
        <f>VLOOKUP($D119,'HR|社保政策'!$A:Z,16,0)</f>
        <v>0.07</v>
      </c>
      <c r="AF119" s="233"/>
      <c r="AG119" s="163">
        <f>H119+I119+J119+K119+L119</f>
        <v>0</v>
      </c>
      <c r="AH119" s="163">
        <f>M119+N119+O119+P119+Q119+R119+S119</f>
        <v>0</v>
      </c>
      <c r="AI119" s="228">
        <f>AG119+AH119</f>
        <v>0</v>
      </c>
      <c r="AJ119" s="234"/>
      <c r="AK119" s="234"/>
      <c r="AL119" s="234"/>
      <c r="AM119" s="234"/>
      <c r="AN119" s="234"/>
      <c r="AO119" s="234" t="str">
        <f>VLOOKUP(B119,薪酬明细!I:I,1,0)</f>
        <v>钱玉连</v>
      </c>
      <c r="AP119" s="201" t="e">
        <f>VLOOKUP(C119,薪酬明细!A:A,1,0)</f>
        <v>#N/A</v>
      </c>
      <c r="AQ119" s="201" t="str">
        <f t="shared" si="42"/>
        <v>老龙馄饨钱玉连</v>
      </c>
      <c r="AS119" s="201">
        <f>H119+I119+J119+K119+L119</f>
        <v>0</v>
      </c>
      <c r="AT119" s="201">
        <f>AR119-AS119</f>
        <v>0</v>
      </c>
      <c r="AU119" s="201">
        <v>48</v>
      </c>
      <c r="AV119" s="201">
        <f>AU119-M119-N119-O119-P119-Q119-R119-S119</f>
        <v>48</v>
      </c>
      <c r="AW119" s="201" t="e">
        <f>VLOOKUP(C119,薪酬明细!A:A,2,0)</f>
        <v>#N/A</v>
      </c>
      <c r="AX119" s="201" t="b">
        <f t="shared" si="43"/>
        <v>1</v>
      </c>
      <c r="AY119" s="201" t="b">
        <f t="shared" si="44"/>
        <v>1</v>
      </c>
    </row>
    <row r="120" s="201" customFormat="1" spans="1:51">
      <c r="A120" s="163" t="s">
        <v>47</v>
      </c>
      <c r="B120" s="163" t="s">
        <v>636</v>
      </c>
      <c r="C120" s="163" t="str">
        <f t="shared" si="41"/>
        <v>老龙馄饨郭迎春</v>
      </c>
      <c r="D120" s="163" t="s">
        <v>47</v>
      </c>
      <c r="E120" s="163"/>
      <c r="F120" s="228"/>
      <c r="G120" s="228"/>
      <c r="H120" s="229">
        <f>ROUND($F120*AA120,2)</f>
        <v>0</v>
      </c>
      <c r="I120" s="163">
        <f>ROUND($F120*AB120,2)</f>
        <v>0</v>
      </c>
      <c r="J120" s="163">
        <f>ROUND($F120*AD120,2)</f>
        <v>0</v>
      </c>
      <c r="K120" s="163">
        <f>IF(D120="深圳",ROUND(G120*AE120,1),ROUND(G120*AE120,0))</f>
        <v>0</v>
      </c>
      <c r="L120" s="230">
        <f>ROUND(G120*AF120,0)</f>
        <v>0</v>
      </c>
      <c r="M120" s="229">
        <f>ROUND($F120*U120,2)</f>
        <v>0</v>
      </c>
      <c r="N120" s="163">
        <f>ROUND($F120*Y120,2)</f>
        <v>0</v>
      </c>
      <c r="O120" s="163">
        <f>ROUND($F120*V120,2)</f>
        <v>0</v>
      </c>
      <c r="P120" s="163">
        <f>ROUND($F120*W120,2)</f>
        <v>0</v>
      </c>
      <c r="Q120" s="163">
        <f>ROUND($F120*X120,2)</f>
        <v>0</v>
      </c>
      <c r="R120" s="163">
        <f>K120</f>
        <v>0</v>
      </c>
      <c r="S120" s="163">
        <f>L120</f>
        <v>0</v>
      </c>
      <c r="T120" s="230"/>
      <c r="U120" s="229">
        <f>VLOOKUP($D120,'HR|社保政策'!$A:P,6,0)</f>
        <v>0.16</v>
      </c>
      <c r="V120" s="163">
        <f>VLOOKUP($D120,'HR|社保政策'!$A:Q,7,0)</f>
        <v>0.005</v>
      </c>
      <c r="W120" s="231">
        <f>VLOOKUP($D120,'HR|社保政策'!$A:R,8,0)</f>
        <v>0.002</v>
      </c>
      <c r="X120" s="163">
        <f>VLOOKUP($D120,'HR|社保政策'!$A:S,9,0)</f>
        <v>0.01</v>
      </c>
      <c r="Y120" s="163">
        <v>0.08</v>
      </c>
      <c r="Z120" s="163">
        <f>VLOOKUP($D120,'HR|社保政策'!$A:U,11,0)</f>
        <v>0.07</v>
      </c>
      <c r="AA120" s="163">
        <f>VLOOKUP($D120,'HR|社保政策'!$A:V,12,0)</f>
        <v>0.08</v>
      </c>
      <c r="AB120" s="163">
        <f>VLOOKUP($D120,'HR|社保政策'!$A:W,13,0)</f>
        <v>0.02</v>
      </c>
      <c r="AC120" s="163">
        <f>VLOOKUP($D120,'HR|社保政策'!$A:X,14,0)</f>
        <v>0</v>
      </c>
      <c r="AD120" s="232">
        <f>VLOOKUP($D120,'HR|社保政策'!$A:Y,15,0)</f>
        <v>0.005</v>
      </c>
      <c r="AE120" s="163">
        <f>VLOOKUP($D120,'HR|社保政策'!$A:Z,16,0)</f>
        <v>0.07</v>
      </c>
      <c r="AF120" s="233"/>
      <c r="AG120" s="163">
        <f>H120+I120+J120+K120+L120</f>
        <v>0</v>
      </c>
      <c r="AH120" s="163">
        <f>M120+N120+O120+P120+Q120+R120+S120</f>
        <v>0</v>
      </c>
      <c r="AI120" s="228">
        <f>AG120+AH120</f>
        <v>0</v>
      </c>
      <c r="AJ120" s="234"/>
      <c r="AK120" s="234"/>
      <c r="AL120" s="234"/>
      <c r="AM120" s="234"/>
      <c r="AN120" s="234"/>
      <c r="AO120" s="234" t="e">
        <f>VLOOKUP(B120,薪酬明细!I:I,1,0)</f>
        <v>#N/A</v>
      </c>
      <c r="AP120" s="201" t="e">
        <f>VLOOKUP(C120,薪酬明细!A:A,1,0)</f>
        <v>#N/A</v>
      </c>
      <c r="AQ120" s="201" t="str">
        <f t="shared" si="42"/>
        <v>老龙馄饨郭迎春</v>
      </c>
      <c r="AS120" s="201">
        <f>H120+I120+J120+K120+L120</f>
        <v>0</v>
      </c>
      <c r="AT120" s="201">
        <f>AR120-AS120</f>
        <v>0</v>
      </c>
      <c r="AU120" s="201">
        <v>48</v>
      </c>
      <c r="AV120" s="201">
        <f>AU120-M120-N120-O120-P120-Q120-R120-S120</f>
        <v>48</v>
      </c>
      <c r="AW120" s="201" t="e">
        <f>VLOOKUP(C120,薪酬明细!A:A,2,0)</f>
        <v>#N/A</v>
      </c>
      <c r="AX120" s="201" t="b">
        <f t="shared" si="43"/>
        <v>1</v>
      </c>
      <c r="AY120" s="201" t="b">
        <f t="shared" si="44"/>
        <v>1</v>
      </c>
    </row>
  </sheetData>
  <autoFilter xmlns:etc="http://www.wps.cn/officeDocument/2017/etCustomData" ref="A2:AZ120" etc:filterBottomFollowUsedRange="0">
    <sortState ref="A2:AZ120">
      <sortCondition ref="A2"/>
    </sortState>
    <extLst/>
  </autoFilter>
  <mergeCells count="10">
    <mergeCell ref="H1:L1"/>
    <mergeCell ref="M1:T1"/>
    <mergeCell ref="U1:AF1"/>
    <mergeCell ref="A1:A2"/>
    <mergeCell ref="B1:B2"/>
    <mergeCell ref="C1:C2"/>
    <mergeCell ref="D1:D2"/>
    <mergeCell ref="E1:E2"/>
    <mergeCell ref="F1:F2"/>
    <mergeCell ref="G1:G2"/>
  </mergeCells>
  <conditionalFormatting sqref="B3">
    <cfRule type="duplicateValues" dxfId="15" priority="1506"/>
  </conditionalFormatting>
  <conditionalFormatting sqref="B4">
    <cfRule type="duplicateValues" dxfId="15" priority="1505"/>
  </conditionalFormatting>
  <conditionalFormatting sqref="B5">
    <cfRule type="duplicateValues" dxfId="15" priority="332"/>
  </conditionalFormatting>
  <conditionalFormatting sqref="C5">
    <cfRule type="duplicateValues" dxfId="16" priority="450"/>
  </conditionalFormatting>
  <conditionalFormatting sqref="B6">
    <cfRule type="duplicateValues" dxfId="15" priority="331"/>
  </conditionalFormatting>
  <conditionalFormatting sqref="C6">
    <cfRule type="duplicateValues" dxfId="16" priority="449"/>
  </conditionalFormatting>
  <conditionalFormatting sqref="B7">
    <cfRule type="duplicateValues" dxfId="15" priority="330"/>
  </conditionalFormatting>
  <conditionalFormatting sqref="C7">
    <cfRule type="duplicateValues" dxfId="16" priority="448"/>
  </conditionalFormatting>
  <conditionalFormatting sqref="B8">
    <cfRule type="duplicateValues" dxfId="15" priority="329"/>
  </conditionalFormatting>
  <conditionalFormatting sqref="C8">
    <cfRule type="duplicateValues" dxfId="16" priority="447"/>
  </conditionalFormatting>
  <conditionalFormatting sqref="B9">
    <cfRule type="duplicateValues" dxfId="15" priority="328"/>
  </conditionalFormatting>
  <conditionalFormatting sqref="C9">
    <cfRule type="duplicateValues" dxfId="16" priority="446"/>
  </conditionalFormatting>
  <conditionalFormatting sqref="B10">
    <cfRule type="duplicateValues" dxfId="15" priority="37"/>
  </conditionalFormatting>
  <conditionalFormatting sqref="C10">
    <cfRule type="duplicateValues" dxfId="16" priority="38"/>
  </conditionalFormatting>
  <conditionalFormatting sqref="B11">
    <cfRule type="duplicateValues" dxfId="15" priority="327"/>
  </conditionalFormatting>
  <conditionalFormatting sqref="C11">
    <cfRule type="duplicateValues" dxfId="16" priority="445"/>
  </conditionalFormatting>
  <conditionalFormatting sqref="B12">
    <cfRule type="duplicateValues" dxfId="15" priority="326"/>
  </conditionalFormatting>
  <conditionalFormatting sqref="C12">
    <cfRule type="duplicateValues" dxfId="16" priority="444"/>
  </conditionalFormatting>
  <conditionalFormatting sqref="B13">
    <cfRule type="duplicateValues" dxfId="15" priority="325"/>
  </conditionalFormatting>
  <conditionalFormatting sqref="C13">
    <cfRule type="duplicateValues" dxfId="16" priority="443"/>
  </conditionalFormatting>
  <conditionalFormatting sqref="B14">
    <cfRule type="duplicateValues" dxfId="15" priority="324"/>
  </conditionalFormatting>
  <conditionalFormatting sqref="C14">
    <cfRule type="duplicateValues" dxfId="16" priority="442"/>
  </conditionalFormatting>
  <conditionalFormatting sqref="B15">
    <cfRule type="duplicateValues" dxfId="15" priority="323"/>
  </conditionalFormatting>
  <conditionalFormatting sqref="C15">
    <cfRule type="duplicateValues" dxfId="16" priority="441"/>
  </conditionalFormatting>
  <conditionalFormatting sqref="B16">
    <cfRule type="duplicateValues" dxfId="15" priority="322"/>
  </conditionalFormatting>
  <conditionalFormatting sqref="C16">
    <cfRule type="duplicateValues" dxfId="16" priority="440"/>
  </conditionalFormatting>
  <conditionalFormatting sqref="B17">
    <cfRule type="duplicateValues" dxfId="15" priority="321"/>
  </conditionalFormatting>
  <conditionalFormatting sqref="C17">
    <cfRule type="duplicateValues" dxfId="16" priority="439"/>
  </conditionalFormatting>
  <conditionalFormatting sqref="B18">
    <cfRule type="duplicateValues" dxfId="15" priority="320"/>
  </conditionalFormatting>
  <conditionalFormatting sqref="C18">
    <cfRule type="duplicateValues" dxfId="16" priority="438"/>
  </conditionalFormatting>
  <conditionalFormatting sqref="B19">
    <cfRule type="duplicateValues" dxfId="15" priority="319"/>
  </conditionalFormatting>
  <conditionalFormatting sqref="C19">
    <cfRule type="duplicateValues" dxfId="16" priority="437"/>
  </conditionalFormatting>
  <conditionalFormatting sqref="B20">
    <cfRule type="duplicateValues" dxfId="15" priority="318"/>
  </conditionalFormatting>
  <conditionalFormatting sqref="C20">
    <cfRule type="duplicateValues" dxfId="16" priority="436"/>
  </conditionalFormatting>
  <conditionalFormatting sqref="B21">
    <cfRule type="duplicateValues" dxfId="15" priority="317"/>
  </conditionalFormatting>
  <conditionalFormatting sqref="C21">
    <cfRule type="duplicateValues" dxfId="16" priority="435"/>
  </conditionalFormatting>
  <conditionalFormatting sqref="B22">
    <cfRule type="duplicateValues" dxfId="15" priority="316"/>
  </conditionalFormatting>
  <conditionalFormatting sqref="C22">
    <cfRule type="duplicateValues" dxfId="16" priority="434"/>
  </conditionalFormatting>
  <conditionalFormatting sqref="B23">
    <cfRule type="duplicateValues" dxfId="15" priority="315"/>
  </conditionalFormatting>
  <conditionalFormatting sqref="C23">
    <cfRule type="duplicateValues" dxfId="16" priority="433"/>
  </conditionalFormatting>
  <conditionalFormatting sqref="B24">
    <cfRule type="duplicateValues" dxfId="15" priority="314"/>
  </conditionalFormatting>
  <conditionalFormatting sqref="C24">
    <cfRule type="duplicateValues" dxfId="16" priority="432"/>
  </conditionalFormatting>
  <conditionalFormatting sqref="B25">
    <cfRule type="duplicateValues" dxfId="15" priority="313"/>
  </conditionalFormatting>
  <conditionalFormatting sqref="C25">
    <cfRule type="duplicateValues" dxfId="16" priority="431"/>
  </conditionalFormatting>
  <conditionalFormatting sqref="B26">
    <cfRule type="duplicateValues" dxfId="15" priority="312"/>
  </conditionalFormatting>
  <conditionalFormatting sqref="C26">
    <cfRule type="duplicateValues" dxfId="16" priority="430"/>
  </conditionalFormatting>
  <conditionalFormatting sqref="B27">
    <cfRule type="duplicateValues" dxfId="15" priority="311"/>
  </conditionalFormatting>
  <conditionalFormatting sqref="C27">
    <cfRule type="duplicateValues" dxfId="16" priority="429"/>
  </conditionalFormatting>
  <conditionalFormatting sqref="B28">
    <cfRule type="duplicateValues" dxfId="15" priority="310"/>
  </conditionalFormatting>
  <conditionalFormatting sqref="C28">
    <cfRule type="duplicateValues" dxfId="16" priority="428"/>
  </conditionalFormatting>
  <conditionalFormatting sqref="B29">
    <cfRule type="duplicateValues" dxfId="15" priority="307"/>
  </conditionalFormatting>
  <conditionalFormatting sqref="C29">
    <cfRule type="duplicateValues" dxfId="16" priority="425"/>
  </conditionalFormatting>
  <conditionalFormatting sqref="B30">
    <cfRule type="duplicateValues" dxfId="15" priority="305"/>
  </conditionalFormatting>
  <conditionalFormatting sqref="C30">
    <cfRule type="duplicateValues" dxfId="16" priority="423"/>
  </conditionalFormatting>
  <conditionalFormatting sqref="B31">
    <cfRule type="duplicateValues" dxfId="15" priority="304"/>
  </conditionalFormatting>
  <conditionalFormatting sqref="C31">
    <cfRule type="duplicateValues" dxfId="16" priority="422"/>
  </conditionalFormatting>
  <conditionalFormatting sqref="B32">
    <cfRule type="duplicateValues" dxfId="15" priority="33"/>
  </conditionalFormatting>
  <conditionalFormatting sqref="C32">
    <cfRule type="duplicateValues" dxfId="16" priority="34"/>
  </conditionalFormatting>
  <conditionalFormatting sqref="B33">
    <cfRule type="duplicateValues" dxfId="15" priority="303"/>
  </conditionalFormatting>
  <conditionalFormatting sqref="C33">
    <cfRule type="duplicateValues" dxfId="16" priority="421"/>
  </conditionalFormatting>
  <conditionalFormatting sqref="B34">
    <cfRule type="duplicateValues" dxfId="15" priority="302"/>
  </conditionalFormatting>
  <conditionalFormatting sqref="C34">
    <cfRule type="duplicateValues" dxfId="16" priority="420"/>
  </conditionalFormatting>
  <conditionalFormatting sqref="B35">
    <cfRule type="duplicateValues" dxfId="15" priority="301"/>
  </conditionalFormatting>
  <conditionalFormatting sqref="C35">
    <cfRule type="duplicateValues" dxfId="16" priority="419"/>
  </conditionalFormatting>
  <conditionalFormatting sqref="B36">
    <cfRule type="duplicateValues" dxfId="15" priority="85"/>
  </conditionalFormatting>
  <conditionalFormatting sqref="C36">
    <cfRule type="duplicateValues" dxfId="16" priority="86"/>
  </conditionalFormatting>
  <conditionalFormatting sqref="B37">
    <cfRule type="duplicateValues" dxfId="15" priority="300"/>
  </conditionalFormatting>
  <conditionalFormatting sqref="C37">
    <cfRule type="duplicateValues" dxfId="16" priority="418"/>
  </conditionalFormatting>
  <conditionalFormatting sqref="B38">
    <cfRule type="duplicateValues" dxfId="15" priority="299"/>
  </conditionalFormatting>
  <conditionalFormatting sqref="C38">
    <cfRule type="duplicateValues" dxfId="16" priority="417"/>
  </conditionalFormatting>
  <conditionalFormatting sqref="B39">
    <cfRule type="duplicateValues" dxfId="15" priority="298"/>
  </conditionalFormatting>
  <conditionalFormatting sqref="C39">
    <cfRule type="duplicateValues" dxfId="16" priority="416"/>
  </conditionalFormatting>
  <conditionalFormatting sqref="B40">
    <cfRule type="duplicateValues" dxfId="15" priority="297"/>
  </conditionalFormatting>
  <conditionalFormatting sqref="C40">
    <cfRule type="duplicateValues" dxfId="16" priority="415"/>
  </conditionalFormatting>
  <conditionalFormatting sqref="B41">
    <cfRule type="duplicateValues" dxfId="15" priority="296"/>
  </conditionalFormatting>
  <conditionalFormatting sqref="C41">
    <cfRule type="duplicateValues" dxfId="16" priority="414"/>
  </conditionalFormatting>
  <conditionalFormatting sqref="B42">
    <cfRule type="duplicateValues" dxfId="15" priority="295"/>
  </conditionalFormatting>
  <conditionalFormatting sqref="C42">
    <cfRule type="duplicateValues" dxfId="16" priority="413"/>
  </conditionalFormatting>
  <conditionalFormatting sqref="B43">
    <cfRule type="duplicateValues" dxfId="15" priority="294"/>
  </conditionalFormatting>
  <conditionalFormatting sqref="C43">
    <cfRule type="duplicateValues" dxfId="16" priority="412"/>
  </conditionalFormatting>
  <conditionalFormatting sqref="B44">
    <cfRule type="duplicateValues" dxfId="15" priority="293"/>
  </conditionalFormatting>
  <conditionalFormatting sqref="C44">
    <cfRule type="duplicateValues" dxfId="16" priority="411"/>
  </conditionalFormatting>
  <conditionalFormatting sqref="B45">
    <cfRule type="duplicateValues" dxfId="15" priority="292"/>
  </conditionalFormatting>
  <conditionalFormatting sqref="C45">
    <cfRule type="duplicateValues" dxfId="16" priority="410"/>
  </conditionalFormatting>
  <conditionalFormatting sqref="B46">
    <cfRule type="duplicateValues" dxfId="15" priority="291"/>
  </conditionalFormatting>
  <conditionalFormatting sqref="C46">
    <cfRule type="duplicateValues" dxfId="16" priority="409"/>
  </conditionalFormatting>
  <conditionalFormatting sqref="B47">
    <cfRule type="duplicateValues" dxfId="15" priority="290"/>
  </conditionalFormatting>
  <conditionalFormatting sqref="C47">
    <cfRule type="duplicateValues" dxfId="16" priority="408"/>
  </conditionalFormatting>
  <conditionalFormatting sqref="B48">
    <cfRule type="duplicateValues" dxfId="15" priority="289"/>
  </conditionalFormatting>
  <conditionalFormatting sqref="C48">
    <cfRule type="duplicateValues" dxfId="16" priority="407"/>
  </conditionalFormatting>
  <conditionalFormatting sqref="B49">
    <cfRule type="duplicateValues" dxfId="15" priority="287"/>
  </conditionalFormatting>
  <conditionalFormatting sqref="C49">
    <cfRule type="duplicateValues" dxfId="16" priority="405"/>
  </conditionalFormatting>
  <conditionalFormatting sqref="B50">
    <cfRule type="duplicateValues" dxfId="15" priority="286"/>
  </conditionalFormatting>
  <conditionalFormatting sqref="C50">
    <cfRule type="duplicateValues" dxfId="16" priority="404"/>
  </conditionalFormatting>
  <conditionalFormatting sqref="B51">
    <cfRule type="duplicateValues" dxfId="15" priority="285"/>
  </conditionalFormatting>
  <conditionalFormatting sqref="C51">
    <cfRule type="duplicateValues" dxfId="16" priority="403"/>
  </conditionalFormatting>
  <conditionalFormatting sqref="B52">
    <cfRule type="duplicateValues" dxfId="15" priority="284"/>
  </conditionalFormatting>
  <conditionalFormatting sqref="C52">
    <cfRule type="duplicateValues" dxfId="16" priority="402"/>
  </conditionalFormatting>
  <conditionalFormatting sqref="B53">
    <cfRule type="duplicateValues" dxfId="15" priority="283"/>
  </conditionalFormatting>
  <conditionalFormatting sqref="C53">
    <cfRule type="duplicateValues" dxfId="16" priority="401"/>
  </conditionalFormatting>
  <conditionalFormatting sqref="B54">
    <cfRule type="duplicateValues" dxfId="15" priority="282"/>
  </conditionalFormatting>
  <conditionalFormatting sqref="C54">
    <cfRule type="duplicateValues" dxfId="16" priority="400"/>
  </conditionalFormatting>
  <conditionalFormatting sqref="B55">
    <cfRule type="duplicateValues" dxfId="15" priority="281"/>
  </conditionalFormatting>
  <conditionalFormatting sqref="C55">
    <cfRule type="duplicateValues" dxfId="16" priority="399"/>
  </conditionalFormatting>
  <conditionalFormatting sqref="B56">
    <cfRule type="duplicateValues" dxfId="15" priority="280"/>
  </conditionalFormatting>
  <conditionalFormatting sqref="C56">
    <cfRule type="duplicateValues" dxfId="16" priority="398"/>
  </conditionalFormatting>
  <conditionalFormatting sqref="B57">
    <cfRule type="duplicateValues" dxfId="15" priority="279"/>
  </conditionalFormatting>
  <conditionalFormatting sqref="C57">
    <cfRule type="duplicateValues" dxfId="16" priority="397"/>
  </conditionalFormatting>
  <conditionalFormatting sqref="B58">
    <cfRule type="duplicateValues" dxfId="15" priority="278"/>
  </conditionalFormatting>
  <conditionalFormatting sqref="C58">
    <cfRule type="duplicateValues" dxfId="16" priority="396"/>
  </conditionalFormatting>
  <conditionalFormatting sqref="B59">
    <cfRule type="duplicateValues" dxfId="15" priority="277"/>
  </conditionalFormatting>
  <conditionalFormatting sqref="C59">
    <cfRule type="duplicateValues" dxfId="16" priority="395"/>
  </conditionalFormatting>
  <conditionalFormatting sqref="B60">
    <cfRule type="duplicateValues" dxfId="15" priority="275"/>
  </conditionalFormatting>
  <conditionalFormatting sqref="C60">
    <cfRule type="duplicateValues" dxfId="16" priority="393"/>
  </conditionalFormatting>
  <conditionalFormatting sqref="B61">
    <cfRule type="duplicateValues" dxfId="15" priority="274"/>
  </conditionalFormatting>
  <conditionalFormatting sqref="C61">
    <cfRule type="duplicateValues" dxfId="16" priority="392"/>
  </conditionalFormatting>
  <conditionalFormatting sqref="B62">
    <cfRule type="duplicateValues" dxfId="15" priority="273"/>
  </conditionalFormatting>
  <conditionalFormatting sqref="C62">
    <cfRule type="duplicateValues" dxfId="16" priority="391"/>
  </conditionalFormatting>
  <conditionalFormatting sqref="B63">
    <cfRule type="duplicateValues" dxfId="15" priority="270"/>
  </conditionalFormatting>
  <conditionalFormatting sqref="C63">
    <cfRule type="duplicateValues" dxfId="16" priority="388"/>
  </conditionalFormatting>
  <conditionalFormatting sqref="B64">
    <cfRule type="duplicateValues" dxfId="15" priority="268"/>
  </conditionalFormatting>
  <conditionalFormatting sqref="C64">
    <cfRule type="duplicateValues" dxfId="16" priority="386"/>
  </conditionalFormatting>
  <conditionalFormatting sqref="B65">
    <cfRule type="duplicateValues" dxfId="15" priority="267"/>
  </conditionalFormatting>
  <conditionalFormatting sqref="C65">
    <cfRule type="duplicateValues" dxfId="16" priority="385"/>
  </conditionalFormatting>
  <conditionalFormatting sqref="B66">
    <cfRule type="duplicateValues" dxfId="15" priority="266"/>
  </conditionalFormatting>
  <conditionalFormatting sqref="C66">
    <cfRule type="duplicateValues" dxfId="16" priority="384"/>
  </conditionalFormatting>
  <conditionalFormatting sqref="B67">
    <cfRule type="duplicateValues" dxfId="15" priority="265"/>
  </conditionalFormatting>
  <conditionalFormatting sqref="C67">
    <cfRule type="duplicateValues" dxfId="16" priority="383"/>
  </conditionalFormatting>
  <conditionalFormatting sqref="B68">
    <cfRule type="duplicateValues" dxfId="15" priority="264"/>
  </conditionalFormatting>
  <conditionalFormatting sqref="C68">
    <cfRule type="duplicateValues" dxfId="16" priority="382"/>
  </conditionalFormatting>
  <conditionalFormatting sqref="B69">
    <cfRule type="duplicateValues" dxfId="15" priority="263"/>
  </conditionalFormatting>
  <conditionalFormatting sqref="C69">
    <cfRule type="duplicateValues" dxfId="16" priority="381"/>
  </conditionalFormatting>
  <conditionalFormatting sqref="B70">
    <cfRule type="duplicateValues" dxfId="15" priority="262"/>
  </conditionalFormatting>
  <conditionalFormatting sqref="C70">
    <cfRule type="duplicateValues" dxfId="16" priority="380"/>
  </conditionalFormatting>
  <conditionalFormatting sqref="B71">
    <cfRule type="duplicateValues" dxfId="15" priority="261"/>
  </conditionalFormatting>
  <conditionalFormatting sqref="C71">
    <cfRule type="duplicateValues" dxfId="16" priority="379"/>
  </conditionalFormatting>
  <conditionalFormatting sqref="B72">
    <cfRule type="duplicateValues" dxfId="15" priority="260"/>
  </conditionalFormatting>
  <conditionalFormatting sqref="C72">
    <cfRule type="duplicateValues" dxfId="16" priority="378"/>
  </conditionalFormatting>
  <conditionalFormatting sqref="B73">
    <cfRule type="duplicateValues" dxfId="15" priority="259"/>
  </conditionalFormatting>
  <conditionalFormatting sqref="C73">
    <cfRule type="duplicateValues" dxfId="16" priority="377"/>
  </conditionalFormatting>
  <conditionalFormatting sqref="B74">
    <cfRule type="duplicateValues" dxfId="15" priority="258"/>
  </conditionalFormatting>
  <conditionalFormatting sqref="C74">
    <cfRule type="duplicateValues" dxfId="16" priority="376"/>
  </conditionalFormatting>
  <conditionalFormatting sqref="B75">
    <cfRule type="duplicateValues" dxfId="15" priority="256"/>
  </conditionalFormatting>
  <conditionalFormatting sqref="C75">
    <cfRule type="duplicateValues" dxfId="16" priority="374"/>
  </conditionalFormatting>
  <conditionalFormatting sqref="B76">
    <cfRule type="duplicateValues" dxfId="15" priority="255"/>
  </conditionalFormatting>
  <conditionalFormatting sqref="C76">
    <cfRule type="duplicateValues" dxfId="16" priority="373"/>
  </conditionalFormatting>
  <conditionalFormatting sqref="B77">
    <cfRule type="duplicateValues" dxfId="15" priority="254"/>
  </conditionalFormatting>
  <conditionalFormatting sqref="C77">
    <cfRule type="duplicateValues" dxfId="16" priority="372"/>
  </conditionalFormatting>
  <conditionalFormatting sqref="B78">
    <cfRule type="duplicateValues" dxfId="15" priority="253"/>
  </conditionalFormatting>
  <conditionalFormatting sqref="C78">
    <cfRule type="duplicateValues" dxfId="16" priority="371"/>
  </conditionalFormatting>
  <conditionalFormatting sqref="B79">
    <cfRule type="duplicateValues" dxfId="15" priority="252"/>
  </conditionalFormatting>
  <conditionalFormatting sqref="C79">
    <cfRule type="duplicateValues" dxfId="16" priority="370"/>
  </conditionalFormatting>
  <conditionalFormatting sqref="B80">
    <cfRule type="duplicateValues" dxfId="15" priority="251"/>
  </conditionalFormatting>
  <conditionalFormatting sqref="C80">
    <cfRule type="duplicateValues" dxfId="16" priority="369"/>
  </conditionalFormatting>
  <conditionalFormatting sqref="B81">
    <cfRule type="duplicateValues" dxfId="15" priority="250"/>
  </conditionalFormatting>
  <conditionalFormatting sqref="C81">
    <cfRule type="duplicateValues" dxfId="16" priority="368"/>
  </conditionalFormatting>
  <conditionalFormatting sqref="B82">
    <cfRule type="duplicateValues" dxfId="15" priority="249"/>
  </conditionalFormatting>
  <conditionalFormatting sqref="C82">
    <cfRule type="duplicateValues" dxfId="16" priority="367"/>
  </conditionalFormatting>
  <conditionalFormatting sqref="B83">
    <cfRule type="duplicateValues" dxfId="15" priority="248"/>
  </conditionalFormatting>
  <conditionalFormatting sqref="C83">
    <cfRule type="duplicateValues" dxfId="16" priority="366"/>
  </conditionalFormatting>
  <conditionalFormatting sqref="B84">
    <cfRule type="duplicateValues" dxfId="15" priority="247"/>
  </conditionalFormatting>
  <conditionalFormatting sqref="C84">
    <cfRule type="duplicateValues" dxfId="16" priority="365"/>
  </conditionalFormatting>
  <conditionalFormatting sqref="B85">
    <cfRule type="duplicateValues" dxfId="15" priority="245"/>
  </conditionalFormatting>
  <conditionalFormatting sqref="C85">
    <cfRule type="duplicateValues" dxfId="16" priority="363"/>
  </conditionalFormatting>
  <conditionalFormatting sqref="B86">
    <cfRule type="duplicateValues" dxfId="15" priority="244"/>
  </conditionalFormatting>
  <conditionalFormatting sqref="C86">
    <cfRule type="duplicateValues" dxfId="16" priority="362"/>
  </conditionalFormatting>
  <conditionalFormatting sqref="B87">
    <cfRule type="duplicateValues" dxfId="15" priority="243"/>
  </conditionalFormatting>
  <conditionalFormatting sqref="C87">
    <cfRule type="duplicateValues" dxfId="16" priority="361"/>
  </conditionalFormatting>
  <conditionalFormatting sqref="B88">
    <cfRule type="duplicateValues" dxfId="15" priority="242"/>
  </conditionalFormatting>
  <conditionalFormatting sqref="C88">
    <cfRule type="duplicateValues" dxfId="16" priority="360"/>
  </conditionalFormatting>
  <conditionalFormatting sqref="B89">
    <cfRule type="duplicateValues" dxfId="15" priority="29"/>
  </conditionalFormatting>
  <conditionalFormatting sqref="C89">
    <cfRule type="duplicateValues" dxfId="16" priority="30"/>
  </conditionalFormatting>
  <conditionalFormatting sqref="B90">
    <cfRule type="duplicateValues" dxfId="15" priority="241"/>
  </conditionalFormatting>
  <conditionalFormatting sqref="C90">
    <cfRule type="duplicateValues" dxfId="16" priority="359"/>
  </conditionalFormatting>
  <conditionalFormatting sqref="B91">
    <cfRule type="duplicateValues" dxfId="15" priority="240"/>
  </conditionalFormatting>
  <conditionalFormatting sqref="C91">
    <cfRule type="duplicateValues" dxfId="16" priority="358"/>
  </conditionalFormatting>
  <conditionalFormatting sqref="B92">
    <cfRule type="duplicateValues" dxfId="15" priority="239"/>
  </conditionalFormatting>
  <conditionalFormatting sqref="C92">
    <cfRule type="duplicateValues" dxfId="16" priority="357"/>
  </conditionalFormatting>
  <conditionalFormatting sqref="B93">
    <cfRule type="duplicateValues" dxfId="15" priority="238"/>
  </conditionalFormatting>
  <conditionalFormatting sqref="C93">
    <cfRule type="duplicateValues" dxfId="16" priority="356"/>
  </conditionalFormatting>
  <conditionalFormatting sqref="B94">
    <cfRule type="duplicateValues" dxfId="15" priority="236"/>
  </conditionalFormatting>
  <conditionalFormatting sqref="C94">
    <cfRule type="duplicateValues" dxfId="16" priority="354"/>
  </conditionalFormatting>
  <conditionalFormatting sqref="B95">
    <cfRule type="duplicateValues" dxfId="15" priority="235"/>
  </conditionalFormatting>
  <conditionalFormatting sqref="C95">
    <cfRule type="duplicateValues" dxfId="16" priority="353"/>
  </conditionalFormatting>
  <conditionalFormatting sqref="B96">
    <cfRule type="duplicateValues" dxfId="15" priority="234"/>
  </conditionalFormatting>
  <conditionalFormatting sqref="C96">
    <cfRule type="duplicateValues" dxfId="16" priority="352"/>
  </conditionalFormatting>
  <conditionalFormatting sqref="B97">
    <cfRule type="duplicateValues" dxfId="15" priority="233"/>
  </conditionalFormatting>
  <conditionalFormatting sqref="C97">
    <cfRule type="duplicateValues" dxfId="16" priority="351"/>
  </conditionalFormatting>
  <conditionalFormatting sqref="B98">
    <cfRule type="duplicateValues" dxfId="15" priority="7"/>
  </conditionalFormatting>
  <conditionalFormatting sqref="C98">
    <cfRule type="duplicateValues" dxfId="16" priority="14"/>
  </conditionalFormatting>
  <conditionalFormatting sqref="B99">
    <cfRule type="duplicateValues" dxfId="15" priority="6"/>
  </conditionalFormatting>
  <conditionalFormatting sqref="C99">
    <cfRule type="duplicateValues" dxfId="16" priority="13"/>
  </conditionalFormatting>
  <conditionalFormatting sqref="B100">
    <cfRule type="duplicateValues" dxfId="15" priority="5"/>
  </conditionalFormatting>
  <conditionalFormatting sqref="C100">
    <cfRule type="duplicateValues" dxfId="16" priority="12"/>
  </conditionalFormatting>
  <conditionalFormatting sqref="B101">
    <cfRule type="duplicateValues" dxfId="15" priority="4"/>
  </conditionalFormatting>
  <conditionalFormatting sqref="C101">
    <cfRule type="duplicateValues" dxfId="16" priority="11"/>
  </conditionalFormatting>
  <conditionalFormatting sqref="B102">
    <cfRule type="duplicateValues" dxfId="15" priority="3"/>
  </conditionalFormatting>
  <conditionalFormatting sqref="C102">
    <cfRule type="duplicateValues" dxfId="16" priority="10"/>
  </conditionalFormatting>
  <conditionalFormatting sqref="B103">
    <cfRule type="duplicateValues" dxfId="15" priority="2"/>
  </conditionalFormatting>
  <conditionalFormatting sqref="C103">
    <cfRule type="duplicateValues" dxfId="16" priority="9"/>
  </conditionalFormatting>
  <conditionalFormatting sqref="B104">
    <cfRule type="duplicateValues" dxfId="15" priority="1"/>
  </conditionalFormatting>
  <conditionalFormatting sqref="C104">
    <cfRule type="duplicateValues" dxfId="16" priority="8"/>
  </conditionalFormatting>
  <conditionalFormatting sqref="B105">
    <cfRule type="duplicateValues" dxfId="15" priority="232"/>
  </conditionalFormatting>
  <conditionalFormatting sqref="C105">
    <cfRule type="duplicateValues" dxfId="16" priority="350"/>
  </conditionalFormatting>
  <conditionalFormatting sqref="B106">
    <cfRule type="duplicateValues" dxfId="15" priority="230"/>
  </conditionalFormatting>
  <conditionalFormatting sqref="C106">
    <cfRule type="duplicateValues" dxfId="16" priority="348"/>
  </conditionalFormatting>
  <conditionalFormatting sqref="B107">
    <cfRule type="duplicateValues" dxfId="15" priority="229"/>
  </conditionalFormatting>
  <conditionalFormatting sqref="C107">
    <cfRule type="duplicateValues" dxfId="16" priority="347"/>
  </conditionalFormatting>
  <conditionalFormatting sqref="B108">
    <cfRule type="duplicateValues" dxfId="15" priority="227"/>
  </conditionalFormatting>
  <conditionalFormatting sqref="C108">
    <cfRule type="duplicateValues" dxfId="16" priority="345"/>
  </conditionalFormatting>
  <conditionalFormatting sqref="B109">
    <cfRule type="duplicateValues" dxfId="15" priority="56"/>
  </conditionalFormatting>
  <conditionalFormatting sqref="C109">
    <cfRule type="duplicateValues" dxfId="16" priority="74"/>
  </conditionalFormatting>
  <conditionalFormatting sqref="B110">
    <cfRule type="duplicateValues" dxfId="15" priority="53"/>
  </conditionalFormatting>
  <conditionalFormatting sqref="C110">
    <cfRule type="duplicateValues" dxfId="16" priority="71"/>
  </conditionalFormatting>
  <conditionalFormatting sqref="B111">
    <cfRule type="duplicateValues" dxfId="15" priority="52"/>
  </conditionalFormatting>
  <conditionalFormatting sqref="C111">
    <cfRule type="duplicateValues" dxfId="16" priority="70"/>
  </conditionalFormatting>
  <conditionalFormatting sqref="B112">
    <cfRule type="duplicateValues" dxfId="15" priority="50"/>
  </conditionalFormatting>
  <conditionalFormatting sqref="C112">
    <cfRule type="duplicateValues" dxfId="16" priority="68"/>
  </conditionalFormatting>
  <conditionalFormatting sqref="B113">
    <cfRule type="duplicateValues" dxfId="15" priority="49"/>
  </conditionalFormatting>
  <conditionalFormatting sqref="C113">
    <cfRule type="duplicateValues" dxfId="16" priority="67"/>
  </conditionalFormatting>
  <conditionalFormatting sqref="B114">
    <cfRule type="duplicateValues" dxfId="15" priority="48"/>
  </conditionalFormatting>
  <conditionalFormatting sqref="C114">
    <cfRule type="duplicateValues" dxfId="16" priority="66"/>
  </conditionalFormatting>
  <conditionalFormatting sqref="B115">
    <cfRule type="duplicateValues" dxfId="15" priority="47"/>
  </conditionalFormatting>
  <conditionalFormatting sqref="C115">
    <cfRule type="duplicateValues" dxfId="16" priority="65"/>
  </conditionalFormatting>
  <conditionalFormatting sqref="B116">
    <cfRule type="duplicateValues" dxfId="15" priority="45"/>
  </conditionalFormatting>
  <conditionalFormatting sqref="C116">
    <cfRule type="duplicateValues" dxfId="16" priority="63"/>
  </conditionalFormatting>
  <conditionalFormatting sqref="B117">
    <cfRule type="duplicateValues" dxfId="15" priority="44"/>
  </conditionalFormatting>
  <conditionalFormatting sqref="C117">
    <cfRule type="duplicateValues" dxfId="16" priority="62"/>
  </conditionalFormatting>
  <conditionalFormatting sqref="B118">
    <cfRule type="duplicateValues" dxfId="15" priority="43"/>
  </conditionalFormatting>
  <conditionalFormatting sqref="C118">
    <cfRule type="duplicateValues" dxfId="16" priority="61"/>
  </conditionalFormatting>
  <conditionalFormatting sqref="B119">
    <cfRule type="duplicateValues" dxfId="15" priority="42"/>
  </conditionalFormatting>
  <conditionalFormatting sqref="C119">
    <cfRule type="duplicateValues" dxfId="16" priority="60"/>
  </conditionalFormatting>
  <conditionalFormatting sqref="B120">
    <cfRule type="duplicateValues" dxfId="15" priority="40"/>
  </conditionalFormatting>
  <conditionalFormatting sqref="C120">
    <cfRule type="duplicateValues" dxfId="16" priority="58"/>
  </conditionalFormatting>
  <conditionalFormatting sqref="B1:B2 B121:B1048576">
    <cfRule type="duplicateValues" dxfId="15" priority="2581"/>
  </conditionalFormatting>
  <conditionalFormatting sqref="C1:C4 C121:C1048576">
    <cfRule type="duplicateValues" dxfId="16" priority="2590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workbookViewId="0">
      <selection activeCell="D30" sqref="D30:K33"/>
    </sheetView>
  </sheetViews>
  <sheetFormatPr defaultColWidth="11" defaultRowHeight="17.6" outlineLevelRow="5"/>
  <sheetData>
    <row r="1" s="186" customFormat="1" ht="26.25" customHeight="1" spans="1:20">
      <c r="B1" s="187" t="s">
        <v>637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</row>
    <row r="2" s="186" customFormat="1" ht="25.25" customHeight="1" spans="1:20">
      <c r="A2" s="188" t="s">
        <v>191</v>
      </c>
      <c r="B2" s="189" t="s">
        <v>638</v>
      </c>
      <c r="C2" s="190" t="s">
        <v>639</v>
      </c>
      <c r="D2" s="190"/>
      <c r="E2" s="190"/>
      <c r="F2" s="190"/>
      <c r="G2" s="190"/>
      <c r="H2" s="190" t="s">
        <v>213</v>
      </c>
      <c r="I2" s="190"/>
      <c r="J2" s="190" t="s">
        <v>235</v>
      </c>
      <c r="K2" s="190"/>
      <c r="L2" s="191" t="s">
        <v>236</v>
      </c>
      <c r="M2" s="191" t="s">
        <v>237</v>
      </c>
      <c r="N2" s="190" t="s">
        <v>214</v>
      </c>
      <c r="O2" s="190"/>
      <c r="P2" s="192" t="s">
        <v>640</v>
      </c>
      <c r="Q2" s="192" t="s">
        <v>641</v>
      </c>
      <c r="R2" s="192" t="s">
        <v>642</v>
      </c>
      <c r="S2" s="192" t="s">
        <v>643</v>
      </c>
      <c r="T2" s="192" t="s">
        <v>644</v>
      </c>
    </row>
    <row r="3" s="186" customFormat="1" ht="25.25" customHeight="1" spans="1:20">
      <c r="A3" s="193"/>
      <c r="B3" s="189"/>
      <c r="C3" s="190" t="s">
        <v>213</v>
      </c>
      <c r="D3" s="190" t="s">
        <v>235</v>
      </c>
      <c r="E3" s="190" t="s">
        <v>236</v>
      </c>
      <c r="F3" s="190" t="s">
        <v>237</v>
      </c>
      <c r="G3" s="190" t="s">
        <v>214</v>
      </c>
      <c r="H3" s="190" t="s">
        <v>645</v>
      </c>
      <c r="I3" s="190" t="s">
        <v>646</v>
      </c>
      <c r="J3" s="190" t="s">
        <v>647</v>
      </c>
      <c r="K3" s="190" t="s">
        <v>648</v>
      </c>
      <c r="L3" s="190" t="s">
        <v>649</v>
      </c>
      <c r="M3" s="190" t="s">
        <v>647</v>
      </c>
      <c r="N3" s="190" t="s">
        <v>650</v>
      </c>
      <c r="O3" s="190" t="s">
        <v>651</v>
      </c>
      <c r="P3" s="194"/>
      <c r="Q3" s="194"/>
      <c r="R3" s="194"/>
      <c r="S3" s="194"/>
      <c r="T3" s="194"/>
    </row>
    <row r="4" s="186" customFormat="1" ht="25.25" customHeight="1" spans="1:20">
      <c r="A4" s="195" t="s">
        <v>264</v>
      </c>
      <c r="B4" s="196" t="s">
        <v>652</v>
      </c>
      <c r="C4" s="195">
        <v>3613</v>
      </c>
      <c r="D4" s="195">
        <v>3613</v>
      </c>
      <c r="E4" s="195">
        <v>4713</v>
      </c>
      <c r="F4" s="195">
        <v>5557</v>
      </c>
      <c r="G4" s="195">
        <v>5557</v>
      </c>
      <c r="H4" s="197">
        <f>C4*0.16</f>
        <v>578.08</v>
      </c>
      <c r="I4" s="197">
        <f>C4*0.08</f>
        <v>289.04</v>
      </c>
      <c r="J4" s="197">
        <f>D4*0.008</f>
        <v>28.904</v>
      </c>
      <c r="K4" s="197">
        <v>0</v>
      </c>
      <c r="L4" s="197">
        <f>E4*0.004</f>
        <v>18.852</v>
      </c>
      <c r="M4" s="197">
        <f>F4*0.008</f>
        <v>44.456</v>
      </c>
      <c r="N4" s="197">
        <f>G4*0.1</f>
        <v>555.7</v>
      </c>
      <c r="O4" s="197">
        <f>(G4*0.02)+3</f>
        <v>114.14</v>
      </c>
      <c r="P4" s="198">
        <f>SUM(H4:O4)</f>
        <v>1629.172</v>
      </c>
      <c r="Q4" s="198"/>
      <c r="R4" s="198"/>
      <c r="S4" s="198"/>
      <c r="T4" s="199"/>
    </row>
    <row r="5" s="186" customFormat="1" ht="25.25" customHeight="1" spans="1:20">
      <c r="A5" s="195" t="s">
        <v>653</v>
      </c>
      <c r="B5" s="196" t="s">
        <v>654</v>
      </c>
      <c r="C5" s="195">
        <v>3613</v>
      </c>
      <c r="D5" s="195">
        <v>3613</v>
      </c>
      <c r="E5" s="195">
        <v>4713</v>
      </c>
      <c r="F5" s="195">
        <v>5557</v>
      </c>
      <c r="G5" s="195">
        <v>5557</v>
      </c>
      <c r="H5" s="197">
        <f>C5*0.16</f>
        <v>578.08</v>
      </c>
      <c r="I5" s="197">
        <f>C5*0.08</f>
        <v>289.04</v>
      </c>
      <c r="J5" s="197">
        <f>D5*0.008</f>
        <v>28.904</v>
      </c>
      <c r="K5" s="197">
        <v>0</v>
      </c>
      <c r="L5" s="197">
        <f>E5*0.004</f>
        <v>18.852</v>
      </c>
      <c r="M5" s="197">
        <f>F5*0.008</f>
        <v>44.456</v>
      </c>
      <c r="N5" s="197">
        <f>G5*0.1</f>
        <v>555.7</v>
      </c>
      <c r="O5" s="197">
        <f>(G5*0.02)+3</f>
        <v>114.14</v>
      </c>
      <c r="P5" s="198">
        <f>SUM(H5:O5)</f>
        <v>1629.172</v>
      </c>
      <c r="Q5" s="198"/>
      <c r="R5" s="198"/>
      <c r="S5" s="198"/>
      <c r="T5" s="199"/>
    </row>
    <row r="6" s="186" customFormat="1" ht="25.25" customHeight="1" spans="1:20">
      <c r="A6" s="195" t="s">
        <v>254</v>
      </c>
      <c r="B6" s="196" t="s">
        <v>655</v>
      </c>
      <c r="C6" s="195">
        <v>6500</v>
      </c>
      <c r="D6" s="195">
        <v>6500</v>
      </c>
      <c r="E6" s="195">
        <v>6500</v>
      </c>
      <c r="F6" s="195">
        <v>6500</v>
      </c>
      <c r="G6" s="195">
        <v>6500</v>
      </c>
      <c r="H6" s="197">
        <f>C6*0.16</f>
        <v>1040</v>
      </c>
      <c r="I6" s="197">
        <f>C6*0.08</f>
        <v>520</v>
      </c>
      <c r="J6" s="197">
        <f>D6*0.008</f>
        <v>52</v>
      </c>
      <c r="K6" s="197">
        <f>D6*0.002</f>
        <v>13</v>
      </c>
      <c r="L6" s="197">
        <f>E6*0.004</f>
        <v>26</v>
      </c>
      <c r="M6" s="197">
        <f>F6*0.008</f>
        <v>52</v>
      </c>
      <c r="N6" s="197">
        <f>G6*0.1</f>
        <v>650</v>
      </c>
      <c r="O6" s="197">
        <f>(G6*0.02)+3</f>
        <v>133</v>
      </c>
      <c r="P6" s="198">
        <f>SUM(H6:O6)</f>
        <v>2486</v>
      </c>
      <c r="Q6" s="195">
        <v>6500</v>
      </c>
      <c r="R6" s="198">
        <f>Q6*0.12</f>
        <v>780</v>
      </c>
      <c r="S6" s="198">
        <f>Q6*0.12</f>
        <v>780</v>
      </c>
      <c r="T6" s="198">
        <f>SUM(R6:S6)</f>
        <v>1560</v>
      </c>
    </row>
  </sheetData>
  <mergeCells count="12">
    <mergeCell ref="B1:T1"/>
    <mergeCell ref="C2:G2"/>
    <mergeCell ref="H2:I2"/>
    <mergeCell ref="J2:K2"/>
    <mergeCell ref="N2:O2"/>
    <mergeCell ref="A2:A3"/>
    <mergeCell ref="B2:B3"/>
    <mergeCell ref="P2:P3"/>
    <mergeCell ref="Q2:Q3"/>
    <mergeCell ref="R2:R3"/>
    <mergeCell ref="S2:S3"/>
    <mergeCell ref="T2:T3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zoomScale="80" zoomScaleNormal="80" workbookViewId="0">
      <pane xSplit="1" ySplit="1" topLeftCell="B2" activePane="bottomRight" state="frozen"/>
      <selection/>
      <selection pane="topRight"/>
      <selection pane="bottomLeft"/>
      <selection pane="bottomRight" activeCell="B27" sqref="B27"/>
    </sheetView>
  </sheetViews>
  <sheetFormatPr defaultColWidth="11" defaultRowHeight="16.8"/>
  <cols>
    <col min="1" max="2" width="20" style="97" customWidth="1"/>
    <col min="3" max="5" width="11.6666666666667" style="97" customWidth="1"/>
    <col min="6" max="6" width="16.8333333333333" style="97" customWidth="1"/>
    <col min="7" max="7" width="16.8333333333333" style="171" customWidth="1"/>
    <col min="8" max="8" width="16.8333333333333" style="172" customWidth="1"/>
    <col min="9" max="11" width="16.8333333333333" style="97" customWidth="1"/>
    <col min="12" max="14" width="17.6583333333333" style="97" customWidth="1"/>
    <col min="15" max="15" width="17.6583333333333" style="171" customWidth="1"/>
    <col min="16" max="16" width="17.6583333333333" style="97" customWidth="1"/>
    <col min="17" max="16384" width="11" style="97"/>
  </cols>
  <sheetData>
    <row r="1" s="103" customFormat="1" ht="17" spans="1:16">
      <c r="A1" s="173" t="s">
        <v>656</v>
      </c>
      <c r="B1" s="173" t="s">
        <v>657</v>
      </c>
      <c r="C1" s="173" t="s">
        <v>658</v>
      </c>
      <c r="D1" s="173" t="s">
        <v>659</v>
      </c>
      <c r="E1" s="173" t="s">
        <v>660</v>
      </c>
      <c r="F1" s="174" t="s">
        <v>213</v>
      </c>
      <c r="G1" s="175" t="s">
        <v>235</v>
      </c>
      <c r="H1" s="176" t="s">
        <v>236</v>
      </c>
      <c r="I1" s="174" t="s">
        <v>237</v>
      </c>
      <c r="J1" s="174" t="s">
        <v>214</v>
      </c>
      <c r="K1" s="475" t="s">
        <v>610</v>
      </c>
      <c r="L1" s="177" t="s">
        <v>611</v>
      </c>
      <c r="M1" s="177" t="s">
        <v>612</v>
      </c>
      <c r="N1" s="177" t="s">
        <v>613</v>
      </c>
      <c r="O1" s="178" t="s">
        <v>614</v>
      </c>
      <c r="P1" s="476" t="s">
        <v>615</v>
      </c>
    </row>
    <row r="2" s="103" customFormat="1" spans="1:16">
      <c r="A2" s="179" t="s">
        <v>57</v>
      </c>
      <c r="B2" s="179" t="s">
        <v>661</v>
      </c>
      <c r="C2" s="179" t="s">
        <v>662</v>
      </c>
      <c r="D2" s="179" t="s">
        <v>663</v>
      </c>
      <c r="E2" s="179" t="s">
        <v>664</v>
      </c>
      <c r="F2" s="180">
        <v>0.16</v>
      </c>
      <c r="G2" s="180">
        <v>0.005</v>
      </c>
      <c r="H2" s="181">
        <v>0.002</v>
      </c>
      <c r="I2" s="180">
        <v>0.01</v>
      </c>
      <c r="J2" s="180">
        <v>0.09</v>
      </c>
      <c r="K2" s="180">
        <v>0.07</v>
      </c>
      <c r="L2" s="182">
        <v>0.08</v>
      </c>
      <c r="M2" s="182">
        <v>0.02</v>
      </c>
      <c r="N2" s="182"/>
      <c r="O2" s="182">
        <v>0.005</v>
      </c>
      <c r="P2" s="182">
        <v>0.07</v>
      </c>
    </row>
    <row r="3" s="103" customFormat="1" spans="1:16">
      <c r="A3" s="179" t="s">
        <v>71</v>
      </c>
      <c r="B3" s="179" t="s">
        <v>661</v>
      </c>
      <c r="C3" s="179" t="s">
        <v>662</v>
      </c>
      <c r="D3" s="179" t="s">
        <v>663</v>
      </c>
      <c r="E3" s="179" t="s">
        <v>664</v>
      </c>
      <c r="F3" s="180">
        <v>0.16</v>
      </c>
      <c r="G3" s="180">
        <v>0.005</v>
      </c>
      <c r="H3" s="181">
        <v>0.002</v>
      </c>
      <c r="I3" s="180">
        <v>0.01</v>
      </c>
      <c r="J3" s="180">
        <v>0.09</v>
      </c>
      <c r="K3" s="180">
        <v>0.07</v>
      </c>
      <c r="L3" s="182">
        <v>0.08</v>
      </c>
      <c r="M3" s="182">
        <v>0.02</v>
      </c>
      <c r="N3" s="182"/>
      <c r="O3" s="182">
        <v>0.005</v>
      </c>
      <c r="P3" s="182">
        <v>0.07</v>
      </c>
    </row>
    <row r="4" spans="1:16">
      <c r="A4" s="179" t="s">
        <v>60</v>
      </c>
      <c r="B4" s="179" t="s">
        <v>661</v>
      </c>
      <c r="C4" s="179" t="s">
        <v>662</v>
      </c>
      <c r="D4" s="179" t="s">
        <v>663</v>
      </c>
      <c r="E4" s="179" t="s">
        <v>664</v>
      </c>
      <c r="F4" s="180">
        <v>0.16</v>
      </c>
      <c r="G4" s="180">
        <v>0.005</v>
      </c>
      <c r="H4" s="183">
        <v>0.0032</v>
      </c>
      <c r="I4" s="180">
        <v>0.01</v>
      </c>
      <c r="J4" s="180">
        <v>0.09</v>
      </c>
      <c r="K4" s="180">
        <v>0.07</v>
      </c>
      <c r="L4" s="182">
        <v>0.08</v>
      </c>
      <c r="M4" s="182">
        <v>0.02</v>
      </c>
      <c r="N4" s="182"/>
      <c r="O4" s="182">
        <v>0.005</v>
      </c>
      <c r="P4" s="182">
        <v>0.07</v>
      </c>
    </row>
    <row r="5" spans="1:16">
      <c r="A5" s="179" t="s">
        <v>665</v>
      </c>
      <c r="B5" s="179" t="s">
        <v>661</v>
      </c>
      <c r="C5" s="179" t="s">
        <v>662</v>
      </c>
      <c r="D5" s="179" t="s">
        <v>663</v>
      </c>
      <c r="E5" s="179" t="s">
        <v>664</v>
      </c>
      <c r="F5" s="180">
        <v>0.16</v>
      </c>
      <c r="G5" s="180">
        <v>0.005</v>
      </c>
      <c r="H5" s="184">
        <v>0.00256</v>
      </c>
      <c r="I5" s="180">
        <v>0.01</v>
      </c>
      <c r="J5" s="180">
        <v>0.09</v>
      </c>
      <c r="K5" s="180">
        <v>0.07</v>
      </c>
      <c r="L5" s="182">
        <v>0.08</v>
      </c>
      <c r="M5" s="182">
        <v>0.02</v>
      </c>
      <c r="N5" s="182"/>
      <c r="O5" s="182">
        <v>0.005</v>
      </c>
      <c r="P5" s="182">
        <v>0.07</v>
      </c>
    </row>
    <row r="6" spans="1:16">
      <c r="A6" s="179" t="s">
        <v>61</v>
      </c>
      <c r="B6" s="179" t="s">
        <v>661</v>
      </c>
      <c r="C6" s="179" t="s">
        <v>662</v>
      </c>
      <c r="D6" s="179" t="s">
        <v>663</v>
      </c>
      <c r="E6" s="179" t="s">
        <v>664</v>
      </c>
      <c r="F6" s="180">
        <v>0.16</v>
      </c>
      <c r="G6" s="180">
        <v>0.005</v>
      </c>
      <c r="H6" s="183">
        <v>0.0032</v>
      </c>
      <c r="I6" s="180">
        <v>0.01</v>
      </c>
      <c r="J6" s="180">
        <v>0.09</v>
      </c>
      <c r="K6" s="180">
        <v>0.07</v>
      </c>
      <c r="L6" s="182">
        <v>0.08</v>
      </c>
      <c r="M6" s="182">
        <v>0.02</v>
      </c>
      <c r="N6" s="182"/>
      <c r="O6" s="182">
        <v>0.005</v>
      </c>
      <c r="P6" s="182">
        <v>0.07</v>
      </c>
    </row>
    <row r="7" spans="1:16">
      <c r="A7" s="179" t="s">
        <v>666</v>
      </c>
      <c r="B7" s="179" t="s">
        <v>661</v>
      </c>
      <c r="C7" s="179" t="s">
        <v>662</v>
      </c>
      <c r="D7" s="179" t="s">
        <v>663</v>
      </c>
      <c r="E7" s="179" t="s">
        <v>664</v>
      </c>
      <c r="F7" s="180">
        <v>0.16</v>
      </c>
      <c r="G7" s="180">
        <v>0.005</v>
      </c>
      <c r="H7" s="184">
        <v>0.0032</v>
      </c>
      <c r="I7" s="180">
        <v>0.01</v>
      </c>
      <c r="J7" s="180">
        <v>0.09</v>
      </c>
      <c r="K7" s="180">
        <v>0.07</v>
      </c>
      <c r="L7" s="182">
        <v>0.08</v>
      </c>
      <c r="M7" s="182">
        <v>0.02</v>
      </c>
      <c r="N7" s="182"/>
      <c r="O7" s="182">
        <v>0.005</v>
      </c>
      <c r="P7" s="182">
        <v>0.07</v>
      </c>
    </row>
    <row r="8" spans="1:16">
      <c r="A8" s="179" t="s">
        <v>626</v>
      </c>
      <c r="B8" s="179" t="s">
        <v>661</v>
      </c>
      <c r="C8" s="179" t="s">
        <v>662</v>
      </c>
      <c r="D8" s="179" t="s">
        <v>663</v>
      </c>
      <c r="E8" s="179" t="s">
        <v>664</v>
      </c>
      <c r="F8" s="180">
        <v>0.16</v>
      </c>
      <c r="G8" s="180">
        <v>0.005</v>
      </c>
      <c r="H8" s="183">
        <v>0.0032</v>
      </c>
      <c r="I8" s="180">
        <v>0.01</v>
      </c>
      <c r="J8" s="180">
        <v>0.09</v>
      </c>
      <c r="K8" s="180">
        <v>0.07</v>
      </c>
      <c r="L8" s="182">
        <v>0.08</v>
      </c>
      <c r="M8" s="182">
        <v>0.02</v>
      </c>
      <c r="N8" s="182"/>
      <c r="O8" s="182">
        <v>0.005</v>
      </c>
      <c r="P8" s="182">
        <v>0.07</v>
      </c>
    </row>
    <row r="9" spans="1:16">
      <c r="A9" s="179" t="s">
        <v>625</v>
      </c>
      <c r="B9" s="179" t="s">
        <v>663</v>
      </c>
      <c r="C9" s="179" t="s">
        <v>667</v>
      </c>
      <c r="D9" s="179" t="s">
        <v>663</v>
      </c>
      <c r="E9" s="179" t="s">
        <v>664</v>
      </c>
      <c r="F9" s="180">
        <v>0.16</v>
      </c>
      <c r="G9" s="180">
        <v>0.005</v>
      </c>
      <c r="H9" s="185">
        <v>0.002</v>
      </c>
      <c r="I9" s="180">
        <v>0.008</v>
      </c>
      <c r="J9" s="180">
        <v>0.09</v>
      </c>
      <c r="K9" s="180">
        <v>0.12</v>
      </c>
      <c r="L9" s="182">
        <v>0.08</v>
      </c>
      <c r="M9" s="182">
        <v>0.02</v>
      </c>
      <c r="N9" s="182">
        <v>3</v>
      </c>
      <c r="O9" s="182">
        <v>0.005</v>
      </c>
      <c r="P9" s="182">
        <v>0.12</v>
      </c>
    </row>
    <row r="10" s="170" customFormat="1" spans="1:16">
      <c r="A10" s="179" t="s">
        <v>624</v>
      </c>
      <c r="B10" s="179" t="s">
        <v>663</v>
      </c>
      <c r="C10" s="179" t="s">
        <v>667</v>
      </c>
      <c r="D10" s="179" t="s">
        <v>663</v>
      </c>
      <c r="E10" s="179" t="s">
        <v>664</v>
      </c>
      <c r="F10" s="180">
        <v>0.16</v>
      </c>
      <c r="G10" s="180">
        <v>0.005</v>
      </c>
      <c r="H10" s="185">
        <v>0.002</v>
      </c>
      <c r="I10" s="180">
        <v>0.008</v>
      </c>
      <c r="J10" s="180">
        <v>0.09</v>
      </c>
      <c r="K10" s="180">
        <v>0.12</v>
      </c>
      <c r="L10" s="182">
        <v>0.08</v>
      </c>
      <c r="M10" s="182">
        <v>0.02</v>
      </c>
      <c r="N10" s="182">
        <v>3</v>
      </c>
      <c r="O10" s="182">
        <v>0.005</v>
      </c>
      <c r="P10" s="182">
        <v>0.12</v>
      </c>
    </row>
    <row r="11" s="170" customFormat="1" spans="1:16">
      <c r="A11" s="179" t="s">
        <v>78</v>
      </c>
      <c r="B11" s="179" t="s">
        <v>661</v>
      </c>
      <c r="C11" s="179" t="s">
        <v>662</v>
      </c>
      <c r="D11" s="179" t="s">
        <v>663</v>
      </c>
      <c r="E11" s="179" t="s">
        <v>664</v>
      </c>
      <c r="F11" s="180">
        <v>0.16</v>
      </c>
      <c r="G11" s="180">
        <v>0.005</v>
      </c>
      <c r="H11" s="181">
        <v>0.002</v>
      </c>
      <c r="I11" s="180">
        <v>0.01</v>
      </c>
      <c r="J11" s="180">
        <v>0.09</v>
      </c>
      <c r="K11" s="180">
        <v>0.07</v>
      </c>
      <c r="L11" s="182">
        <v>0.08</v>
      </c>
      <c r="M11" s="182">
        <v>0.02</v>
      </c>
      <c r="N11" s="182"/>
      <c r="O11" s="182">
        <v>0.005</v>
      </c>
      <c r="P11" s="182">
        <v>0.07</v>
      </c>
    </row>
    <row r="12" spans="1:16">
      <c r="A12" s="179" t="s">
        <v>631</v>
      </c>
      <c r="B12" s="179" t="s">
        <v>663</v>
      </c>
      <c r="C12" s="179" t="s">
        <v>667</v>
      </c>
      <c r="D12" s="179" t="s">
        <v>663</v>
      </c>
      <c r="E12" s="179" t="s">
        <v>664</v>
      </c>
      <c r="F12" s="180">
        <v>0.16</v>
      </c>
      <c r="G12" s="180">
        <v>0.005</v>
      </c>
      <c r="H12" s="185">
        <v>0.002</v>
      </c>
      <c r="I12" s="180">
        <v>0.005</v>
      </c>
      <c r="J12" s="180">
        <v>0.1</v>
      </c>
      <c r="K12" s="180">
        <v>0.11</v>
      </c>
      <c r="L12" s="182">
        <v>0.08</v>
      </c>
      <c r="M12" s="182">
        <v>0.02</v>
      </c>
      <c r="N12" s="182"/>
      <c r="O12" s="182">
        <v>0.005</v>
      </c>
      <c r="P12" s="182">
        <v>0.11</v>
      </c>
    </row>
    <row r="13" spans="1:16">
      <c r="A13" s="179" t="s">
        <v>630</v>
      </c>
      <c r="B13" s="179" t="s">
        <v>663</v>
      </c>
      <c r="C13" s="179" t="s">
        <v>667</v>
      </c>
      <c r="D13" s="179" t="s">
        <v>663</v>
      </c>
      <c r="E13" s="179" t="s">
        <v>664</v>
      </c>
      <c r="F13" s="180">
        <v>0.16</v>
      </c>
      <c r="G13" s="180">
        <v>0.007</v>
      </c>
      <c r="H13" s="185">
        <v>0.0007</v>
      </c>
      <c r="I13" s="180">
        <v>0.0045</v>
      </c>
      <c r="J13" s="180">
        <v>0.052</v>
      </c>
      <c r="K13" s="180">
        <v>0.05</v>
      </c>
      <c r="L13" s="182">
        <v>0.08</v>
      </c>
      <c r="M13" s="182">
        <v>0.02</v>
      </c>
      <c r="N13" s="182"/>
      <c r="O13" s="182">
        <v>0.003</v>
      </c>
      <c r="P13" s="182">
        <v>0.05</v>
      </c>
    </row>
    <row r="14" spans="1:16">
      <c r="A14" s="179" t="s">
        <v>623</v>
      </c>
      <c r="B14" s="179" t="s">
        <v>663</v>
      </c>
      <c r="C14" s="179" t="s">
        <v>667</v>
      </c>
      <c r="D14" s="179" t="s">
        <v>663</v>
      </c>
      <c r="E14" s="179" t="s">
        <v>664</v>
      </c>
      <c r="F14" s="180">
        <v>0</v>
      </c>
      <c r="G14" s="180">
        <v>0</v>
      </c>
      <c r="H14" s="185">
        <v>0</v>
      </c>
      <c r="I14" s="180">
        <v>0</v>
      </c>
      <c r="J14" s="180">
        <v>0</v>
      </c>
      <c r="K14" s="180">
        <v>0</v>
      </c>
      <c r="L14" s="182">
        <v>0</v>
      </c>
      <c r="M14" s="182">
        <v>0</v>
      </c>
      <c r="N14" s="182">
        <v>0</v>
      </c>
      <c r="O14" s="182">
        <v>0</v>
      </c>
      <c r="P14" s="182">
        <v>0</v>
      </c>
    </row>
    <row r="15" s="103" customFormat="1" spans="1:16">
      <c r="A15" s="179" t="s">
        <v>73</v>
      </c>
      <c r="B15" s="179" t="s">
        <v>661</v>
      </c>
      <c r="C15" s="179" t="s">
        <v>662</v>
      </c>
      <c r="D15" s="179" t="s">
        <v>663</v>
      </c>
      <c r="E15" s="179" t="s">
        <v>664</v>
      </c>
      <c r="F15" s="180">
        <v>0.16</v>
      </c>
      <c r="G15" s="180">
        <v>0.005</v>
      </c>
      <c r="H15" s="181">
        <v>0.002</v>
      </c>
      <c r="I15" s="180">
        <v>0.01</v>
      </c>
      <c r="J15" s="180">
        <v>0.09</v>
      </c>
      <c r="K15" s="180">
        <v>0.07</v>
      </c>
      <c r="L15" s="182">
        <v>0.08</v>
      </c>
      <c r="M15" s="182">
        <v>0.02</v>
      </c>
      <c r="N15" s="182"/>
      <c r="O15" s="182">
        <v>0.005</v>
      </c>
      <c r="P15" s="182">
        <v>0.07</v>
      </c>
    </row>
    <row r="16" s="103" customFormat="1" spans="1:16">
      <c r="A16" s="179" t="s">
        <v>72</v>
      </c>
      <c r="B16" s="179" t="s">
        <v>661</v>
      </c>
      <c r="C16" s="179" t="s">
        <v>662</v>
      </c>
      <c r="D16" s="179" t="s">
        <v>663</v>
      </c>
      <c r="E16" s="179" t="s">
        <v>664</v>
      </c>
      <c r="F16" s="180">
        <v>0.16</v>
      </c>
      <c r="G16" s="180">
        <v>0.005</v>
      </c>
      <c r="H16" s="181">
        <v>0.002</v>
      </c>
      <c r="I16" s="180">
        <v>0.01</v>
      </c>
      <c r="J16" s="180">
        <v>0.09</v>
      </c>
      <c r="K16" s="180">
        <v>0.07</v>
      </c>
      <c r="L16" s="182">
        <v>0.08</v>
      </c>
      <c r="M16" s="182">
        <v>0.02</v>
      </c>
      <c r="N16" s="182"/>
      <c r="O16" s="182">
        <v>0.005</v>
      </c>
      <c r="P16" s="182">
        <v>0.07</v>
      </c>
    </row>
    <row r="17" s="103" customFormat="1" spans="1:16">
      <c r="A17" s="179" t="s">
        <v>628</v>
      </c>
      <c r="B17" s="179" t="s">
        <v>661</v>
      </c>
      <c r="C17" s="179" t="s">
        <v>662</v>
      </c>
      <c r="D17" s="179" t="s">
        <v>663</v>
      </c>
      <c r="E17" s="179" t="s">
        <v>664</v>
      </c>
      <c r="F17" s="180">
        <v>0.16</v>
      </c>
      <c r="G17" s="180">
        <v>0.005</v>
      </c>
      <c r="H17" s="181">
        <v>0.002</v>
      </c>
      <c r="I17" s="180">
        <v>0.01</v>
      </c>
      <c r="J17" s="180">
        <v>0.09</v>
      </c>
      <c r="K17" s="180">
        <v>0.07</v>
      </c>
      <c r="L17" s="182">
        <v>0.08</v>
      </c>
      <c r="M17" s="182">
        <v>0.02</v>
      </c>
      <c r="N17" s="182"/>
      <c r="O17" s="182">
        <v>0.005</v>
      </c>
      <c r="P17" s="182">
        <v>0.07</v>
      </c>
    </row>
    <row r="18" s="103" customFormat="1" spans="1:16">
      <c r="A18" s="179" t="s">
        <v>75</v>
      </c>
      <c r="B18" s="179" t="s">
        <v>661</v>
      </c>
      <c r="C18" s="179" t="s">
        <v>662</v>
      </c>
      <c r="D18" s="179" t="s">
        <v>663</v>
      </c>
      <c r="E18" s="179" t="s">
        <v>664</v>
      </c>
      <c r="F18" s="180">
        <v>0.16</v>
      </c>
      <c r="G18" s="180">
        <v>0.005</v>
      </c>
      <c r="H18" s="184">
        <v>0.0032</v>
      </c>
      <c r="I18" s="180">
        <v>0.01</v>
      </c>
      <c r="J18" s="180">
        <v>0.09</v>
      </c>
      <c r="K18" s="180">
        <v>0.07</v>
      </c>
      <c r="L18" s="182">
        <v>0.08</v>
      </c>
      <c r="M18" s="182">
        <v>0.02</v>
      </c>
      <c r="N18" s="182"/>
      <c r="O18" s="182">
        <v>0.005</v>
      </c>
      <c r="P18" s="182">
        <v>0.07</v>
      </c>
    </row>
    <row r="19" spans="1:16">
      <c r="A19" s="179" t="s">
        <v>64</v>
      </c>
      <c r="B19" s="179" t="s">
        <v>661</v>
      </c>
      <c r="C19" s="179" t="s">
        <v>662</v>
      </c>
      <c r="D19" s="179" t="s">
        <v>663</v>
      </c>
      <c r="E19" s="179" t="s">
        <v>664</v>
      </c>
      <c r="F19" s="180">
        <v>0.16</v>
      </c>
      <c r="G19" s="180">
        <v>0.005</v>
      </c>
      <c r="H19" s="184">
        <v>0.0016</v>
      </c>
      <c r="I19" s="180">
        <v>0.01</v>
      </c>
      <c r="J19" s="180">
        <v>0.09</v>
      </c>
      <c r="K19" s="180">
        <v>0.07</v>
      </c>
      <c r="L19" s="182">
        <v>0.08</v>
      </c>
      <c r="M19" s="182">
        <v>0.02</v>
      </c>
      <c r="N19" s="182"/>
      <c r="O19" s="182">
        <v>0.005</v>
      </c>
      <c r="P19" s="182">
        <v>0.07</v>
      </c>
    </row>
    <row r="20" spans="1:16">
      <c r="A20" s="179" t="s">
        <v>668</v>
      </c>
      <c r="B20" s="179">
        <v>0</v>
      </c>
      <c r="C20" s="179">
        <v>0</v>
      </c>
      <c r="D20" s="179">
        <v>0</v>
      </c>
      <c r="E20" s="179">
        <v>0</v>
      </c>
      <c r="F20" s="180">
        <v>0</v>
      </c>
      <c r="G20" s="180">
        <v>0</v>
      </c>
      <c r="H20" s="185">
        <v>0</v>
      </c>
      <c r="I20" s="180">
        <v>0</v>
      </c>
      <c r="J20" s="180">
        <v>0</v>
      </c>
      <c r="K20" s="180">
        <v>0</v>
      </c>
      <c r="L20" s="182">
        <v>0</v>
      </c>
      <c r="M20" s="182">
        <v>0</v>
      </c>
      <c r="N20" s="182">
        <v>0</v>
      </c>
      <c r="O20" s="182">
        <v>0</v>
      </c>
      <c r="P20" s="182">
        <v>0</v>
      </c>
    </row>
    <row r="21" spans="1:16">
      <c r="A21" s="179" t="s">
        <v>629</v>
      </c>
      <c r="B21" s="179">
        <v>0</v>
      </c>
      <c r="C21" s="179">
        <v>0</v>
      </c>
      <c r="D21" s="179">
        <v>0</v>
      </c>
      <c r="E21" s="179">
        <v>0</v>
      </c>
      <c r="F21" s="180">
        <v>0</v>
      </c>
      <c r="G21" s="180">
        <v>0</v>
      </c>
      <c r="H21" s="185">
        <v>0</v>
      </c>
      <c r="I21" s="180">
        <v>0</v>
      </c>
      <c r="J21" s="180">
        <v>0</v>
      </c>
      <c r="K21" s="180">
        <v>0</v>
      </c>
      <c r="L21" s="182">
        <v>0</v>
      </c>
      <c r="M21" s="182">
        <v>0</v>
      </c>
      <c r="N21" s="182">
        <v>0</v>
      </c>
      <c r="O21" s="182">
        <v>0</v>
      </c>
      <c r="P21" s="182">
        <v>0</v>
      </c>
    </row>
    <row r="22" spans="1:16">
      <c r="A22" s="179" t="s">
        <v>32</v>
      </c>
      <c r="B22" s="179" t="s">
        <v>661</v>
      </c>
      <c r="C22" s="179" t="s">
        <v>662</v>
      </c>
      <c r="D22" s="179" t="s">
        <v>663</v>
      </c>
      <c r="E22" s="179" t="s">
        <v>664</v>
      </c>
      <c r="F22" s="180">
        <v>0.16</v>
      </c>
      <c r="G22" s="180">
        <v>0.005</v>
      </c>
      <c r="H22" s="183">
        <v>0.0032</v>
      </c>
      <c r="I22" s="180">
        <v>0.01</v>
      </c>
      <c r="J22" s="180">
        <v>0.09</v>
      </c>
      <c r="K22" s="180">
        <v>0.07</v>
      </c>
      <c r="L22" s="182">
        <v>0.08</v>
      </c>
      <c r="M22" s="182">
        <v>0.02</v>
      </c>
      <c r="N22" s="182"/>
      <c r="O22" s="182">
        <v>0.005</v>
      </c>
      <c r="P22" s="182">
        <v>0.07</v>
      </c>
    </row>
    <row r="23" spans="1:16">
      <c r="A23" s="179" t="s">
        <v>77</v>
      </c>
      <c r="B23" s="179" t="s">
        <v>661</v>
      </c>
      <c r="C23" s="179" t="s">
        <v>662</v>
      </c>
      <c r="D23" s="179" t="s">
        <v>663</v>
      </c>
      <c r="E23" s="179" t="s">
        <v>664</v>
      </c>
      <c r="F23" s="180">
        <v>0.16</v>
      </c>
      <c r="G23" s="180">
        <v>0.005</v>
      </c>
      <c r="H23" s="181">
        <v>0.002</v>
      </c>
      <c r="I23" s="180">
        <v>0.01</v>
      </c>
      <c r="J23" s="180">
        <v>0.09</v>
      </c>
      <c r="K23" s="180">
        <v>0.07</v>
      </c>
      <c r="L23" s="182">
        <v>0.08</v>
      </c>
      <c r="M23" s="182">
        <v>0.02</v>
      </c>
      <c r="N23" s="182"/>
      <c r="O23" s="182">
        <v>0.005</v>
      </c>
      <c r="P23" s="182">
        <v>0.07</v>
      </c>
    </row>
    <row r="24" s="103" customFormat="1" spans="1:16">
      <c r="A24" s="179" t="s">
        <v>47</v>
      </c>
      <c r="B24" s="179" t="s">
        <v>661</v>
      </c>
      <c r="C24" s="179" t="s">
        <v>662</v>
      </c>
      <c r="D24" s="179" t="s">
        <v>663</v>
      </c>
      <c r="E24" s="179" t="s">
        <v>664</v>
      </c>
      <c r="F24" s="180">
        <v>0.16</v>
      </c>
      <c r="G24" s="180">
        <v>0.005</v>
      </c>
      <c r="H24" s="181">
        <v>0.002</v>
      </c>
      <c r="I24" s="180">
        <v>0.01</v>
      </c>
      <c r="J24" s="180">
        <v>0.09</v>
      </c>
      <c r="K24" s="180">
        <v>0.07</v>
      </c>
      <c r="L24" s="182">
        <v>0.08</v>
      </c>
      <c r="M24" s="182">
        <v>0.02</v>
      </c>
      <c r="N24" s="182"/>
      <c r="O24" s="182">
        <v>0.005</v>
      </c>
      <c r="P24" s="182">
        <v>0.07</v>
      </c>
    </row>
    <row r="25" ht="17.6" spans="1:16">
      <c r="B25"/>
    </row>
    <row r="26" ht="17.6" spans="1:16">
      <c r="B26"/>
    </row>
    <row r="27" ht="17.6" spans="1:16">
      <c r="B27"/>
    </row>
    <row r="28" ht="17.6" spans="1:16">
      <c r="B28"/>
    </row>
    <row r="29" ht="17.6" spans="1:16">
      <c r="B29"/>
    </row>
    <row r="30" ht="17.6" spans="1:16">
      <c r="B30"/>
    </row>
    <row r="31" ht="17.6" spans="1:16">
      <c r="B31"/>
    </row>
  </sheetData>
  <autoFilter xmlns:etc="http://www.wps.cn/officeDocument/2017/etCustomData" ref="A1:P24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130"/>
  <sheetViews>
    <sheetView workbookViewId="0">
      <pane xSplit="4" ySplit="3" topLeftCell="AX4" activePane="bottomRight" state="frozen"/>
      <selection/>
      <selection pane="topRight"/>
      <selection pane="bottomLeft"/>
      <selection pane="bottomRight" activeCell="C136" sqref="C136"/>
    </sheetView>
  </sheetViews>
  <sheetFormatPr defaultColWidth="9" defaultRowHeight="16.8"/>
  <cols>
    <col min="1" max="1" width="15.1666666666667" style="97" customWidth="1"/>
    <col min="2" max="2" width="9" style="97" customWidth="1"/>
    <col min="3" max="3" width="23" style="97" customWidth="1"/>
    <col min="4" max="4" width="12.1666666666667" style="151" customWidth="1"/>
    <col min="5" max="5" width="14.6666666666667" style="152" hidden="1" customWidth="1" outlineLevel="1"/>
    <col min="6" max="12" width="12.3333333333333" style="152" hidden="1" customWidth="1" outlineLevel="1"/>
    <col min="13" max="13" width="12.5" style="153" customWidth="1" collapsed="1"/>
    <col min="14" max="21" width="12.3333333333333" style="152" hidden="1" customWidth="1" outlineLevel="1"/>
    <col min="22" max="22" width="12.5" style="153" customWidth="1" collapsed="1"/>
    <col min="23" max="30" width="12.3333333333333" style="152" hidden="1" customWidth="1" outlineLevel="1"/>
    <col min="31" max="31" width="12.5" style="153" customWidth="1" collapsed="1"/>
    <col min="32" max="39" width="12.3333333333333" style="152" hidden="1" customWidth="1" outlineLevel="1"/>
    <col min="40" max="40" width="12.5" style="153" customWidth="1" collapsed="1"/>
    <col min="41" max="41" width="16" style="152" hidden="1" customWidth="1" outlineLevel="1"/>
    <col min="42" max="48" width="12.3333333333333" style="152" hidden="1" customWidth="1" outlineLevel="1"/>
    <col min="49" max="49" width="12.5" style="153" customWidth="1" collapsed="1"/>
    <col min="50" max="50" width="14.1666666666667" style="152" hidden="1" customWidth="1" outlineLevel="1"/>
    <col min="51" max="52" width="12.3333333333333" style="152" hidden="1" customWidth="1" outlineLevel="1"/>
    <col min="53" max="53" width="18.1666666666667" style="152" hidden="1" customWidth="1" outlineLevel="1"/>
    <col min="54" max="57" width="12.3333333333333" style="152" hidden="1" customWidth="1" outlineLevel="1"/>
    <col min="58" max="58" width="12.5" style="153" customWidth="1" collapsed="1"/>
    <col min="59" max="66" width="12.3333333333333" style="152" hidden="1" customWidth="1" outlineLevel="1"/>
    <col min="67" max="67" width="12.5" style="153" customWidth="1" collapsed="1"/>
    <col min="68" max="75" width="12.3333333333333" style="152" hidden="1" customWidth="1" outlineLevel="1"/>
    <col min="76" max="76" width="12.5" style="153" customWidth="1" collapsed="1"/>
    <col min="77" max="77" width="14.6666666666667" style="152" hidden="1" customWidth="1" outlineLevel="1"/>
    <col min="78" max="84" width="12.3333333333333" style="152" hidden="1" customWidth="1" outlineLevel="1"/>
    <col min="85" max="85" width="12.5" style="153" customWidth="1" collapsed="1"/>
    <col min="86" max="86" width="14.3333333333333" style="152" hidden="1" customWidth="1" outlineLevel="1"/>
    <col min="87" max="93" width="12.3333333333333" style="152" hidden="1" customWidth="1" outlineLevel="1"/>
    <col min="94" max="94" width="12.5" style="153" customWidth="1" collapsed="1"/>
    <col min="95" max="95" width="13.6666666666667" style="152" hidden="1" customWidth="1" outlineLevel="1"/>
    <col min="96" max="102" width="12.3333333333333" style="152" hidden="1" customWidth="1" outlineLevel="1"/>
    <col min="103" max="103" width="12.5" style="153" customWidth="1" collapsed="1"/>
    <col min="104" max="104" width="15.3333333333333" style="152" hidden="1" customWidth="1" outlineLevel="1"/>
    <col min="105" max="111" width="12.3333333333333" style="152" hidden="1" customWidth="1" outlineLevel="1"/>
    <col min="112" max="112" width="12.5" style="153" customWidth="1" collapsed="1"/>
    <col min="113" max="113" width="13.8333333333333" style="152" hidden="1" customWidth="1" outlineLevel="1"/>
    <col min="114" max="120" width="12.3333333333333" style="152" hidden="1" customWidth="1" outlineLevel="1"/>
    <col min="121" max="121" width="12.5" style="153" customWidth="1" collapsed="1"/>
    <col min="122" max="122" width="12.5" style="153" customWidth="1"/>
    <col min="123" max="123" width="14" style="153" customWidth="1"/>
    <col min="124" max="124" width="13.5" style="153" customWidth="1"/>
    <col min="125" max="127" width="12.5" style="153" customWidth="1"/>
    <col min="128" max="128" width="19" style="153" customWidth="1"/>
    <col min="129" max="129" width="11" style="153" customWidth="1"/>
    <col min="130" max="16384" width="9" style="153"/>
  </cols>
  <sheetData>
    <row r="1" s="148" customFormat="1" spans="1:129">
      <c r="A1" s="154" t="s">
        <v>604</v>
      </c>
      <c r="B1" s="154" t="s">
        <v>191</v>
      </c>
      <c r="C1" s="154" t="s">
        <v>605</v>
      </c>
      <c r="D1" s="154" t="s">
        <v>669</v>
      </c>
      <c r="E1" s="155">
        <v>1</v>
      </c>
      <c r="F1" s="155"/>
      <c r="G1" s="155"/>
      <c r="H1" s="155"/>
      <c r="I1" s="155"/>
      <c r="J1" s="155"/>
      <c r="K1" s="155"/>
      <c r="L1" s="155"/>
      <c r="M1" s="155"/>
      <c r="N1" s="155" t="s">
        <v>670</v>
      </c>
      <c r="O1" s="155"/>
      <c r="P1" s="155"/>
      <c r="Q1" s="155"/>
      <c r="R1" s="155"/>
      <c r="S1" s="155"/>
      <c r="T1" s="155"/>
      <c r="U1" s="155"/>
      <c r="V1" s="155"/>
      <c r="W1" s="155">
        <v>2</v>
      </c>
      <c r="X1" s="155"/>
      <c r="Y1" s="155"/>
      <c r="Z1" s="155"/>
      <c r="AA1" s="155"/>
      <c r="AB1" s="155"/>
      <c r="AC1" s="155"/>
      <c r="AD1" s="155"/>
      <c r="AE1" s="155"/>
      <c r="AF1" s="155">
        <v>3</v>
      </c>
      <c r="AG1" s="155"/>
      <c r="AH1" s="155"/>
      <c r="AI1" s="155"/>
      <c r="AJ1" s="155"/>
      <c r="AK1" s="155"/>
      <c r="AL1" s="155"/>
      <c r="AM1" s="155"/>
      <c r="AN1" s="155"/>
      <c r="AO1" s="155">
        <v>4</v>
      </c>
      <c r="AP1" s="155"/>
      <c r="AQ1" s="155"/>
      <c r="AR1" s="155"/>
      <c r="AS1" s="155"/>
      <c r="AT1" s="155"/>
      <c r="AU1" s="155"/>
      <c r="AV1" s="155"/>
      <c r="AW1" s="155"/>
      <c r="AX1" s="155">
        <v>5</v>
      </c>
      <c r="AY1" s="155"/>
      <c r="AZ1" s="155"/>
      <c r="BA1" s="155"/>
      <c r="BB1" s="155"/>
      <c r="BC1" s="155"/>
      <c r="BD1" s="155"/>
      <c r="BE1" s="155"/>
      <c r="BF1" s="155"/>
      <c r="BG1" s="155">
        <v>6</v>
      </c>
      <c r="BH1" s="155"/>
      <c r="BI1" s="155"/>
      <c r="BJ1" s="155"/>
      <c r="BK1" s="155"/>
      <c r="BL1" s="155"/>
      <c r="BM1" s="155"/>
      <c r="BN1" s="155"/>
      <c r="BO1" s="155"/>
      <c r="BP1" s="155">
        <v>7</v>
      </c>
      <c r="BQ1" s="155"/>
      <c r="BR1" s="155"/>
      <c r="BS1" s="155"/>
      <c r="BT1" s="155"/>
      <c r="BU1" s="155"/>
      <c r="BV1" s="155"/>
      <c r="BW1" s="155"/>
      <c r="BX1" s="155"/>
      <c r="BY1" s="155">
        <v>8</v>
      </c>
      <c r="BZ1" s="155"/>
      <c r="CA1" s="155"/>
      <c r="CB1" s="155"/>
      <c r="CC1" s="155"/>
      <c r="CD1" s="155"/>
      <c r="CE1" s="155"/>
      <c r="CF1" s="155"/>
      <c r="CG1" s="155"/>
      <c r="CH1" s="155">
        <v>9</v>
      </c>
      <c r="CI1" s="155"/>
      <c r="CJ1" s="155"/>
      <c r="CK1" s="155"/>
      <c r="CL1" s="155"/>
      <c r="CM1" s="155"/>
      <c r="CN1" s="155"/>
      <c r="CO1" s="155"/>
      <c r="CP1" s="155"/>
      <c r="CQ1" s="155">
        <v>10</v>
      </c>
      <c r="CR1" s="155"/>
      <c r="CS1" s="155"/>
      <c r="CT1" s="155"/>
      <c r="CU1" s="155"/>
      <c r="CV1" s="155"/>
      <c r="CW1" s="155"/>
      <c r="CX1" s="155"/>
      <c r="CY1" s="155"/>
      <c r="CZ1" s="155">
        <v>11</v>
      </c>
      <c r="DA1" s="155"/>
      <c r="DB1" s="155"/>
      <c r="DC1" s="155"/>
      <c r="DD1" s="155"/>
      <c r="DE1" s="155"/>
      <c r="DF1" s="155"/>
      <c r="DG1" s="155"/>
      <c r="DH1" s="155"/>
      <c r="DI1" s="155">
        <v>12</v>
      </c>
      <c r="DJ1" s="155"/>
      <c r="DK1" s="155"/>
      <c r="DL1" s="155"/>
      <c r="DM1" s="155"/>
      <c r="DN1" s="155"/>
      <c r="DO1" s="155"/>
      <c r="DP1" s="155"/>
      <c r="DQ1" s="155"/>
      <c r="DR1" s="156" t="s">
        <v>671</v>
      </c>
      <c r="DS1" s="156" t="s">
        <v>672</v>
      </c>
      <c r="DT1" s="157" t="s">
        <v>673</v>
      </c>
      <c r="DU1" s="156" t="s">
        <v>674</v>
      </c>
      <c r="DV1" s="158" t="s">
        <v>675</v>
      </c>
      <c r="DW1" s="159" t="s">
        <v>245</v>
      </c>
    </row>
    <row r="2" s="148" customFormat="1" spans="1:129">
      <c r="A2" s="154"/>
      <c r="B2" s="154"/>
      <c r="C2" s="154"/>
      <c r="D2" s="154"/>
      <c r="E2" s="477" t="s">
        <v>676</v>
      </c>
      <c r="F2" s="156"/>
      <c r="G2" s="156"/>
      <c r="H2" s="156"/>
      <c r="I2" s="156"/>
      <c r="J2" s="156"/>
      <c r="K2" s="156"/>
      <c r="L2" s="156"/>
      <c r="M2" s="156"/>
      <c r="N2" s="477" t="s">
        <v>676</v>
      </c>
      <c r="O2" s="156"/>
      <c r="P2" s="156"/>
      <c r="Q2" s="156"/>
      <c r="R2" s="156"/>
      <c r="S2" s="156"/>
      <c r="T2" s="156"/>
      <c r="U2" s="156"/>
      <c r="V2" s="156"/>
      <c r="W2" s="477" t="s">
        <v>677</v>
      </c>
      <c r="X2" s="156"/>
      <c r="Y2" s="156"/>
      <c r="Z2" s="156"/>
      <c r="AA2" s="156"/>
      <c r="AB2" s="156"/>
      <c r="AC2" s="156"/>
      <c r="AD2" s="156"/>
      <c r="AE2" s="156"/>
      <c r="AF2" s="477" t="s">
        <v>678</v>
      </c>
      <c r="AG2" s="156"/>
      <c r="AH2" s="156"/>
      <c r="AI2" s="156"/>
      <c r="AJ2" s="156"/>
      <c r="AK2" s="156"/>
      <c r="AL2" s="156"/>
      <c r="AM2" s="156"/>
      <c r="AN2" s="156"/>
      <c r="AO2" s="477" t="s">
        <v>679</v>
      </c>
      <c r="AP2" s="156"/>
      <c r="AQ2" s="156"/>
      <c r="AR2" s="156"/>
      <c r="AS2" s="156"/>
      <c r="AT2" s="156"/>
      <c r="AU2" s="156"/>
      <c r="AV2" s="156"/>
      <c r="AW2" s="156"/>
      <c r="AX2" s="477" t="s">
        <v>680</v>
      </c>
      <c r="AY2" s="156"/>
      <c r="AZ2" s="156"/>
      <c r="BA2" s="156"/>
      <c r="BB2" s="156"/>
      <c r="BC2" s="156"/>
      <c r="BD2" s="156"/>
      <c r="BE2" s="156"/>
      <c r="BF2" s="156"/>
      <c r="BG2" s="477" t="s">
        <v>681</v>
      </c>
      <c r="BH2" s="156"/>
      <c r="BI2" s="156"/>
      <c r="BJ2" s="156"/>
      <c r="BK2" s="156"/>
      <c r="BL2" s="156"/>
      <c r="BM2" s="156"/>
      <c r="BN2" s="156"/>
      <c r="BO2" s="156"/>
      <c r="BP2" s="477" t="s">
        <v>682</v>
      </c>
      <c r="BQ2" s="156"/>
      <c r="BR2" s="156"/>
      <c r="BS2" s="156"/>
      <c r="BT2" s="156"/>
      <c r="BU2" s="156"/>
      <c r="BV2" s="156"/>
      <c r="BW2" s="156"/>
      <c r="BX2" s="156"/>
      <c r="BY2" s="477" t="s">
        <v>683</v>
      </c>
      <c r="BZ2" s="156"/>
      <c r="CA2" s="156"/>
      <c r="CB2" s="156"/>
      <c r="CC2" s="156"/>
      <c r="CD2" s="156"/>
      <c r="CE2" s="156"/>
      <c r="CF2" s="156"/>
      <c r="CG2" s="156"/>
      <c r="CH2" s="477" t="s">
        <v>684</v>
      </c>
      <c r="CI2" s="156"/>
      <c r="CJ2" s="156"/>
      <c r="CK2" s="156"/>
      <c r="CL2" s="156"/>
      <c r="CM2" s="156"/>
      <c r="CN2" s="156"/>
      <c r="CO2" s="156"/>
      <c r="CP2" s="156"/>
      <c r="CQ2" s="477" t="s">
        <v>685</v>
      </c>
      <c r="CR2" s="156"/>
      <c r="CS2" s="156"/>
      <c r="CT2" s="156"/>
      <c r="CU2" s="156"/>
      <c r="CV2" s="156"/>
      <c r="CW2" s="156"/>
      <c r="CX2" s="156"/>
      <c r="CY2" s="156"/>
      <c r="CZ2" s="477" t="s">
        <v>686</v>
      </c>
      <c r="DA2" s="156"/>
      <c r="DB2" s="156"/>
      <c r="DC2" s="156"/>
      <c r="DD2" s="156"/>
      <c r="DE2" s="156"/>
      <c r="DF2" s="156"/>
      <c r="DG2" s="156"/>
      <c r="DH2" s="156"/>
      <c r="DI2" s="477" t="s">
        <v>687</v>
      </c>
      <c r="DJ2" s="156"/>
      <c r="DK2" s="156"/>
      <c r="DL2" s="156"/>
      <c r="DM2" s="156"/>
      <c r="DN2" s="156"/>
      <c r="DO2" s="156"/>
      <c r="DP2" s="156"/>
      <c r="DQ2" s="156"/>
      <c r="DR2" s="156"/>
      <c r="DS2" s="156"/>
      <c r="DT2" s="160"/>
      <c r="DU2" s="156"/>
      <c r="DV2" s="158"/>
      <c r="DW2" s="159"/>
    </row>
    <row r="3" s="148" customFormat="1" spans="1:129">
      <c r="A3" s="154"/>
      <c r="B3" s="154"/>
      <c r="C3" s="154"/>
      <c r="D3" s="154"/>
      <c r="E3" s="161" t="s">
        <v>201</v>
      </c>
      <c r="F3" s="161" t="s">
        <v>218</v>
      </c>
      <c r="G3" s="161" t="s">
        <v>219</v>
      </c>
      <c r="H3" s="161" t="s">
        <v>220</v>
      </c>
      <c r="I3" s="161" t="s">
        <v>221</v>
      </c>
      <c r="J3" s="161" t="s">
        <v>222</v>
      </c>
      <c r="K3" s="161" t="s">
        <v>223</v>
      </c>
      <c r="L3" s="161" t="s">
        <v>688</v>
      </c>
      <c r="M3" s="477" t="s">
        <v>689</v>
      </c>
      <c r="N3" s="161" t="s">
        <v>201</v>
      </c>
      <c r="O3" s="161" t="s">
        <v>218</v>
      </c>
      <c r="P3" s="161" t="s">
        <v>219</v>
      </c>
      <c r="Q3" s="161" t="s">
        <v>220</v>
      </c>
      <c r="R3" s="161" t="s">
        <v>221</v>
      </c>
      <c r="S3" s="161" t="s">
        <v>222</v>
      </c>
      <c r="T3" s="161" t="s">
        <v>223</v>
      </c>
      <c r="U3" s="161" t="s">
        <v>688</v>
      </c>
      <c r="V3" s="477" t="s">
        <v>689</v>
      </c>
      <c r="W3" s="161" t="s">
        <v>201</v>
      </c>
      <c r="X3" s="161" t="s">
        <v>218</v>
      </c>
      <c r="Y3" s="161" t="s">
        <v>219</v>
      </c>
      <c r="Z3" s="161" t="s">
        <v>220</v>
      </c>
      <c r="AA3" s="161" t="s">
        <v>221</v>
      </c>
      <c r="AB3" s="161" t="s">
        <v>222</v>
      </c>
      <c r="AC3" s="161" t="s">
        <v>223</v>
      </c>
      <c r="AD3" s="161" t="s">
        <v>688</v>
      </c>
      <c r="AE3" s="477" t="s">
        <v>689</v>
      </c>
      <c r="AF3" s="161" t="s">
        <v>201</v>
      </c>
      <c r="AG3" s="161" t="s">
        <v>218</v>
      </c>
      <c r="AH3" s="161" t="s">
        <v>219</v>
      </c>
      <c r="AI3" s="161" t="s">
        <v>220</v>
      </c>
      <c r="AJ3" s="161" t="s">
        <v>221</v>
      </c>
      <c r="AK3" s="161" t="s">
        <v>222</v>
      </c>
      <c r="AL3" s="161" t="s">
        <v>223</v>
      </c>
      <c r="AM3" s="161" t="s">
        <v>688</v>
      </c>
      <c r="AN3" s="477" t="s">
        <v>689</v>
      </c>
      <c r="AO3" s="161" t="s">
        <v>201</v>
      </c>
      <c r="AP3" s="161" t="s">
        <v>218</v>
      </c>
      <c r="AQ3" s="161" t="s">
        <v>219</v>
      </c>
      <c r="AR3" s="161" t="s">
        <v>220</v>
      </c>
      <c r="AS3" s="161" t="s">
        <v>221</v>
      </c>
      <c r="AT3" s="161" t="s">
        <v>222</v>
      </c>
      <c r="AU3" s="161" t="s">
        <v>223</v>
      </c>
      <c r="AV3" s="161" t="s">
        <v>688</v>
      </c>
      <c r="AW3" s="477" t="s">
        <v>689</v>
      </c>
      <c r="AX3" s="161" t="s">
        <v>201</v>
      </c>
      <c r="AY3" s="161" t="s">
        <v>218</v>
      </c>
      <c r="AZ3" s="161" t="s">
        <v>219</v>
      </c>
      <c r="BA3" s="161" t="s">
        <v>220</v>
      </c>
      <c r="BB3" s="161" t="s">
        <v>221</v>
      </c>
      <c r="BC3" s="161" t="s">
        <v>222</v>
      </c>
      <c r="BD3" s="161" t="s">
        <v>223</v>
      </c>
      <c r="BE3" s="161" t="s">
        <v>688</v>
      </c>
      <c r="BF3" s="477" t="s">
        <v>689</v>
      </c>
      <c r="BG3" s="161" t="s">
        <v>201</v>
      </c>
      <c r="BH3" s="161" t="s">
        <v>218</v>
      </c>
      <c r="BI3" s="161" t="s">
        <v>219</v>
      </c>
      <c r="BJ3" s="161" t="s">
        <v>220</v>
      </c>
      <c r="BK3" s="161" t="s">
        <v>221</v>
      </c>
      <c r="BL3" s="161" t="s">
        <v>222</v>
      </c>
      <c r="BM3" s="161" t="s">
        <v>223</v>
      </c>
      <c r="BN3" s="161" t="s">
        <v>688</v>
      </c>
      <c r="BO3" s="477" t="s">
        <v>689</v>
      </c>
      <c r="BP3" s="161" t="s">
        <v>201</v>
      </c>
      <c r="BQ3" s="161" t="s">
        <v>218</v>
      </c>
      <c r="BR3" s="161" t="s">
        <v>219</v>
      </c>
      <c r="BS3" s="161" t="s">
        <v>220</v>
      </c>
      <c r="BT3" s="161" t="s">
        <v>221</v>
      </c>
      <c r="BU3" s="161" t="s">
        <v>222</v>
      </c>
      <c r="BV3" s="161" t="s">
        <v>223</v>
      </c>
      <c r="BW3" s="161" t="s">
        <v>688</v>
      </c>
      <c r="BX3" s="477" t="s">
        <v>689</v>
      </c>
      <c r="BY3" s="161" t="s">
        <v>201</v>
      </c>
      <c r="BZ3" s="161" t="s">
        <v>218</v>
      </c>
      <c r="CA3" s="161" t="s">
        <v>219</v>
      </c>
      <c r="CB3" s="161" t="s">
        <v>220</v>
      </c>
      <c r="CC3" s="161" t="s">
        <v>221</v>
      </c>
      <c r="CD3" s="161" t="s">
        <v>222</v>
      </c>
      <c r="CE3" s="161" t="s">
        <v>223</v>
      </c>
      <c r="CF3" s="161" t="s">
        <v>688</v>
      </c>
      <c r="CG3" s="477" t="s">
        <v>689</v>
      </c>
      <c r="CH3" s="161" t="s">
        <v>201</v>
      </c>
      <c r="CI3" s="161" t="s">
        <v>218</v>
      </c>
      <c r="CJ3" s="161" t="s">
        <v>219</v>
      </c>
      <c r="CK3" s="161" t="s">
        <v>220</v>
      </c>
      <c r="CL3" s="161" t="s">
        <v>221</v>
      </c>
      <c r="CM3" s="161" t="s">
        <v>222</v>
      </c>
      <c r="CN3" s="161" t="s">
        <v>223</v>
      </c>
      <c r="CO3" s="161" t="s">
        <v>688</v>
      </c>
      <c r="CP3" s="477" t="s">
        <v>689</v>
      </c>
      <c r="CQ3" s="161" t="s">
        <v>201</v>
      </c>
      <c r="CR3" s="161" t="s">
        <v>218</v>
      </c>
      <c r="CS3" s="161" t="s">
        <v>219</v>
      </c>
      <c r="CT3" s="161" t="s">
        <v>220</v>
      </c>
      <c r="CU3" s="161" t="s">
        <v>221</v>
      </c>
      <c r="CV3" s="161" t="s">
        <v>222</v>
      </c>
      <c r="CW3" s="161" t="s">
        <v>223</v>
      </c>
      <c r="CX3" s="161" t="s">
        <v>688</v>
      </c>
      <c r="CY3" s="477" t="s">
        <v>689</v>
      </c>
      <c r="CZ3" s="161" t="s">
        <v>201</v>
      </c>
      <c r="DA3" s="161" t="s">
        <v>218</v>
      </c>
      <c r="DB3" s="161" t="s">
        <v>219</v>
      </c>
      <c r="DC3" s="161" t="s">
        <v>220</v>
      </c>
      <c r="DD3" s="161" t="s">
        <v>221</v>
      </c>
      <c r="DE3" s="161" t="s">
        <v>222</v>
      </c>
      <c r="DF3" s="161" t="s">
        <v>223</v>
      </c>
      <c r="DG3" s="161" t="s">
        <v>688</v>
      </c>
      <c r="DH3" s="477" t="s">
        <v>689</v>
      </c>
      <c r="DI3" s="161" t="s">
        <v>201</v>
      </c>
      <c r="DJ3" s="161" t="s">
        <v>218</v>
      </c>
      <c r="DK3" s="161" t="s">
        <v>219</v>
      </c>
      <c r="DL3" s="161" t="s">
        <v>220</v>
      </c>
      <c r="DM3" s="161" t="s">
        <v>221</v>
      </c>
      <c r="DN3" s="161" t="s">
        <v>222</v>
      </c>
      <c r="DO3" s="161" t="s">
        <v>223</v>
      </c>
      <c r="DP3" s="161" t="s">
        <v>688</v>
      </c>
      <c r="DQ3" s="477" t="s">
        <v>689</v>
      </c>
      <c r="DR3" s="156"/>
      <c r="DS3" s="156"/>
      <c r="DT3" s="162"/>
      <c r="DU3" s="156"/>
      <c r="DV3" s="158"/>
      <c r="DW3" s="159"/>
    </row>
    <row r="4" s="149" customFormat="1" spans="1:129">
      <c r="A4" s="163" t="s">
        <v>66</v>
      </c>
      <c r="B4" s="163" t="s">
        <v>254</v>
      </c>
      <c r="C4" s="164" t="str">
        <f t="shared" ref="C4:C67" si="0">A4&amp;B4</f>
        <v>北京点才杨崴</v>
      </c>
      <c r="D4" s="165">
        <v>46023</v>
      </c>
      <c r="E4" s="164">
        <v>8234.85</v>
      </c>
      <c r="F4" s="164">
        <v>1595.01</v>
      </c>
      <c r="G4" s="164">
        <v>0</v>
      </c>
      <c r="H4" s="164">
        <v>0</v>
      </c>
      <c r="I4" s="164">
        <v>0</v>
      </c>
      <c r="J4" s="164">
        <v>3000</v>
      </c>
      <c r="K4" s="164">
        <v>0</v>
      </c>
      <c r="L4" s="164">
        <f t="shared" ref="L4:L67" si="1">SUM(G4:K4)</f>
        <v>3000</v>
      </c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>
        <v>7577.25</v>
      </c>
      <c r="X4" s="164">
        <v>1595.01</v>
      </c>
      <c r="Y4" s="164">
        <v>0</v>
      </c>
      <c r="Z4" s="164">
        <v>0</v>
      </c>
      <c r="AA4" s="164">
        <v>0</v>
      </c>
      <c r="AB4" s="164">
        <v>3000</v>
      </c>
      <c r="AC4" s="164">
        <v>0</v>
      </c>
      <c r="AD4" s="164">
        <f t="shared" ref="AD4:AD67" si="2">SUM(Y4:AC4)</f>
        <v>3000</v>
      </c>
      <c r="AE4" s="164"/>
      <c r="AF4" s="164">
        <v>8234.85</v>
      </c>
      <c r="AG4" s="164">
        <v>1595.01</v>
      </c>
      <c r="AH4" s="164">
        <v>0</v>
      </c>
      <c r="AI4" s="164">
        <v>0</v>
      </c>
      <c r="AJ4" s="164">
        <v>0</v>
      </c>
      <c r="AK4" s="164">
        <v>3000</v>
      </c>
      <c r="AL4" s="164">
        <v>0</v>
      </c>
      <c r="AM4" s="164">
        <f t="shared" ref="AM4:AM67" si="3">SUM(AH4:AL4)</f>
        <v>3000</v>
      </c>
      <c r="AN4" s="164">
        <v>0</v>
      </c>
      <c r="AO4" s="164">
        <v>8267.4</v>
      </c>
      <c r="AP4" s="164">
        <v>1595.01</v>
      </c>
      <c r="AQ4" s="164">
        <v>0</v>
      </c>
      <c r="AR4" s="164">
        <v>0</v>
      </c>
      <c r="AS4" s="164">
        <v>0</v>
      </c>
      <c r="AT4" s="164">
        <v>3000</v>
      </c>
      <c r="AU4" s="164">
        <v>0</v>
      </c>
      <c r="AV4" s="164">
        <f t="shared" ref="AV4:AV67" si="4">SUM(AQ4:AU4)</f>
        <v>3000</v>
      </c>
      <c r="AW4" s="164">
        <v>0</v>
      </c>
      <c r="AX4" s="164">
        <v>8267.4</v>
      </c>
      <c r="AY4" s="164">
        <v>1595.01</v>
      </c>
      <c r="AZ4" s="164">
        <v>0</v>
      </c>
      <c r="BA4" s="164">
        <v>0</v>
      </c>
      <c r="BB4" s="164">
        <v>0</v>
      </c>
      <c r="BC4" s="164">
        <v>3000</v>
      </c>
      <c r="BD4" s="164">
        <v>0</v>
      </c>
      <c r="BE4" s="164">
        <f t="shared" ref="BE4:BE67" si="5">SUM(AZ4:BD4)</f>
        <v>3000</v>
      </c>
      <c r="BF4" s="164">
        <v>0</v>
      </c>
      <c r="BG4" s="164">
        <f>VLOOKUP(C4,薪酬明细!A:AC,29,0)</f>
        <v>8267.4</v>
      </c>
      <c r="BH4" s="164">
        <v>1595.01</v>
      </c>
      <c r="BI4" s="164">
        <v>0</v>
      </c>
      <c r="BJ4" s="164">
        <v>0</v>
      </c>
      <c r="BK4" s="164">
        <v>0</v>
      </c>
      <c r="BL4" s="164">
        <v>3000</v>
      </c>
      <c r="BM4" s="164">
        <v>0</v>
      </c>
      <c r="BN4" s="164">
        <f t="shared" ref="BN4:BN67" si="6">SUM(BI4:BM4)</f>
        <v>3000</v>
      </c>
      <c r="BO4" s="164"/>
      <c r="BP4" s="164"/>
      <c r="BQ4" s="164"/>
      <c r="BR4" s="164"/>
      <c r="BS4" s="164"/>
      <c r="BT4" s="164"/>
      <c r="BU4" s="164"/>
      <c r="BV4" s="164"/>
      <c r="BW4" s="164"/>
      <c r="BX4" s="164"/>
      <c r="BY4" s="164"/>
      <c r="BZ4" s="164"/>
      <c r="CA4" s="164"/>
      <c r="CB4" s="164"/>
      <c r="CC4" s="164"/>
      <c r="CD4" s="164"/>
      <c r="CE4" s="164"/>
      <c r="CF4" s="164"/>
      <c r="CG4" s="164"/>
      <c r="CH4" s="164"/>
      <c r="CI4" s="164"/>
      <c r="CJ4" s="164"/>
      <c r="CK4" s="164"/>
      <c r="CL4" s="164"/>
      <c r="CM4" s="164"/>
      <c r="CN4" s="164"/>
      <c r="CO4" s="164"/>
      <c r="CP4" s="164"/>
      <c r="CQ4" s="164"/>
      <c r="CR4" s="164"/>
      <c r="CS4" s="164"/>
      <c r="CT4" s="164"/>
      <c r="CU4" s="164"/>
      <c r="CV4" s="164"/>
      <c r="CW4" s="164"/>
      <c r="CX4" s="164"/>
      <c r="CY4" s="164"/>
      <c r="CZ4" s="164"/>
      <c r="DA4" s="164"/>
      <c r="DB4" s="164"/>
      <c r="DC4" s="164"/>
      <c r="DD4" s="164"/>
      <c r="DE4" s="164"/>
      <c r="DF4" s="164"/>
      <c r="DG4" s="164"/>
      <c r="DH4" s="164"/>
      <c r="DI4" s="164"/>
      <c r="DJ4" s="164"/>
      <c r="DK4" s="164"/>
      <c r="DL4" s="164"/>
      <c r="DM4" s="164"/>
      <c r="DN4" s="164"/>
      <c r="DO4" s="164"/>
      <c r="DP4" s="164"/>
      <c r="DQ4" s="164"/>
      <c r="DR4" s="163"/>
      <c r="DS4" s="164">
        <f t="shared" ref="DS4:DS67" si="7">E4+N4+W4+AF4+AO4+AX4+BG4+BP4+BY4+CH4+CQ4+CZ4+DI4</f>
        <v>48849.15</v>
      </c>
      <c r="DT4" s="164">
        <f t="shared" ref="DT4:DT67" si="8">F4+O4+X4+AG4+AP4+AY4+BH4+BQ4+BZ4+CI4+CR4+DA4+DJ4</f>
        <v>9570.06</v>
      </c>
      <c r="DU4" s="164">
        <f t="shared" ref="DU4:DU67" si="9">L4+U4+AD4+AM4+AV4+BE4+BN4+BW4+CF4+CO4+CX4+DG4+DP4</f>
        <v>18000</v>
      </c>
      <c r="DV4" s="164">
        <f t="shared" ref="DV4:DV67" si="10">M4+V4+AE4+AN4+AW4+BF4+BO4+BX4+CG4+CP4+CY4+DH4+DQ4</f>
        <v>0</v>
      </c>
      <c r="DW4" s="166"/>
      <c r="DX4" s="153" t="str">
        <f>VLOOKUP(C4,薪酬明细!A:A,1,0)</f>
        <v>北京点才杨崴</v>
      </c>
    </row>
    <row r="5" s="149" customFormat="1" spans="1:129">
      <c r="A5" s="163" t="s">
        <v>66</v>
      </c>
      <c r="B5" s="163" t="s">
        <v>256</v>
      </c>
      <c r="C5" s="164" t="str">
        <f t="shared" si="0"/>
        <v>北京点才孟庆芳</v>
      </c>
      <c r="D5" s="165">
        <v>46023</v>
      </c>
      <c r="E5" s="164">
        <v>1600</v>
      </c>
      <c r="F5" s="164">
        <v>0</v>
      </c>
      <c r="G5" s="164">
        <v>0</v>
      </c>
      <c r="H5" s="164">
        <v>0</v>
      </c>
      <c r="I5" s="164">
        <v>0</v>
      </c>
      <c r="J5" s="164">
        <v>0</v>
      </c>
      <c r="K5" s="164">
        <v>0</v>
      </c>
      <c r="L5" s="164">
        <f t="shared" si="1"/>
        <v>0</v>
      </c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>
        <v>1600</v>
      </c>
      <c r="X5" s="164">
        <v>0</v>
      </c>
      <c r="Y5" s="164">
        <v>0</v>
      </c>
      <c r="Z5" s="164">
        <v>0</v>
      </c>
      <c r="AA5" s="164">
        <v>0</v>
      </c>
      <c r="AB5" s="164">
        <v>0</v>
      </c>
      <c r="AC5" s="164">
        <v>0</v>
      </c>
      <c r="AD5" s="164">
        <f t="shared" si="2"/>
        <v>0</v>
      </c>
      <c r="AE5" s="164"/>
      <c r="AF5" s="164">
        <v>1600</v>
      </c>
      <c r="AG5" s="164">
        <v>0</v>
      </c>
      <c r="AH5" s="164">
        <v>0</v>
      </c>
      <c r="AI5" s="164">
        <v>0</v>
      </c>
      <c r="AJ5" s="164">
        <v>0</v>
      </c>
      <c r="AK5" s="164">
        <v>0</v>
      </c>
      <c r="AL5" s="164">
        <v>0</v>
      </c>
      <c r="AM5" s="164">
        <f t="shared" si="3"/>
        <v>0</v>
      </c>
      <c r="AN5" s="164">
        <v>0</v>
      </c>
      <c r="AO5" s="164">
        <v>1600</v>
      </c>
      <c r="AP5" s="164">
        <v>0</v>
      </c>
      <c r="AQ5" s="164">
        <v>0</v>
      </c>
      <c r="AR5" s="164">
        <v>0</v>
      </c>
      <c r="AS5" s="164">
        <v>0</v>
      </c>
      <c r="AT5" s="164">
        <v>0</v>
      </c>
      <c r="AU5" s="164">
        <v>0</v>
      </c>
      <c r="AV5" s="164">
        <f t="shared" si="4"/>
        <v>0</v>
      </c>
      <c r="AW5" s="164">
        <v>0</v>
      </c>
      <c r="AX5" s="164">
        <v>1600</v>
      </c>
      <c r="AY5" s="164">
        <v>0</v>
      </c>
      <c r="AZ5" s="164">
        <v>0</v>
      </c>
      <c r="BA5" s="164">
        <v>0</v>
      </c>
      <c r="BB5" s="164">
        <v>0</v>
      </c>
      <c r="BC5" s="164">
        <v>0</v>
      </c>
      <c r="BD5" s="164">
        <v>0</v>
      </c>
      <c r="BE5" s="164">
        <f t="shared" si="5"/>
        <v>0</v>
      </c>
      <c r="BF5" s="164">
        <v>0</v>
      </c>
      <c r="BG5" s="164">
        <f>VLOOKUP(C5,薪酬明细!A:AC,29,0)</f>
        <v>1600</v>
      </c>
      <c r="BH5" s="164">
        <v>0</v>
      </c>
      <c r="BI5" s="164">
        <v>0</v>
      </c>
      <c r="BJ5" s="164">
        <v>0</v>
      </c>
      <c r="BK5" s="164">
        <v>0</v>
      </c>
      <c r="BL5" s="164">
        <v>0</v>
      </c>
      <c r="BM5" s="164">
        <v>0</v>
      </c>
      <c r="BN5" s="164">
        <f t="shared" si="6"/>
        <v>0</v>
      </c>
      <c r="BO5" s="164"/>
      <c r="BP5" s="164"/>
      <c r="BQ5" s="164"/>
      <c r="BR5" s="164"/>
      <c r="BS5" s="164"/>
      <c r="BT5" s="164"/>
      <c r="BU5" s="164"/>
      <c r="BV5" s="164"/>
      <c r="BW5" s="164"/>
      <c r="BX5" s="164"/>
      <c r="BY5" s="164"/>
      <c r="BZ5" s="164"/>
      <c r="CA5" s="164"/>
      <c r="CB5" s="164"/>
      <c r="CC5" s="164"/>
      <c r="CD5" s="164"/>
      <c r="CE5" s="164"/>
      <c r="CF5" s="164"/>
      <c r="CG5" s="164"/>
      <c r="CH5" s="164"/>
      <c r="CI5" s="164"/>
      <c r="CJ5" s="164"/>
      <c r="CK5" s="164"/>
      <c r="CL5" s="164"/>
      <c r="CM5" s="164"/>
      <c r="CN5" s="164"/>
      <c r="CO5" s="164"/>
      <c r="CP5" s="164"/>
      <c r="CQ5" s="164"/>
      <c r="CR5" s="164"/>
      <c r="CS5" s="164"/>
      <c r="CT5" s="164"/>
      <c r="CU5" s="164"/>
      <c r="CV5" s="164"/>
      <c r="CW5" s="164"/>
      <c r="CX5" s="164"/>
      <c r="CY5" s="164"/>
      <c r="CZ5" s="164"/>
      <c r="DA5" s="164"/>
      <c r="DB5" s="164"/>
      <c r="DC5" s="164"/>
      <c r="DD5" s="164"/>
      <c r="DE5" s="164"/>
      <c r="DF5" s="164"/>
      <c r="DG5" s="164"/>
      <c r="DH5" s="164"/>
      <c r="DI5" s="164"/>
      <c r="DJ5" s="164"/>
      <c r="DK5" s="164"/>
      <c r="DL5" s="164"/>
      <c r="DM5" s="164"/>
      <c r="DN5" s="164"/>
      <c r="DO5" s="164"/>
      <c r="DP5" s="164"/>
      <c r="DQ5" s="164"/>
      <c r="DR5" s="163"/>
      <c r="DS5" s="164">
        <f t="shared" si="7"/>
        <v>9600</v>
      </c>
      <c r="DT5" s="164">
        <f t="shared" si="8"/>
        <v>0</v>
      </c>
      <c r="DU5" s="164">
        <f t="shared" si="9"/>
        <v>0</v>
      </c>
      <c r="DV5" s="164">
        <f t="shared" si="10"/>
        <v>0</v>
      </c>
      <c r="DW5" s="166"/>
      <c r="DX5" s="153" t="str">
        <f>VLOOKUP(C5,薪酬明细!A:A,1,0)</f>
        <v>北京点才孟庆芳</v>
      </c>
    </row>
    <row r="6" s="149" customFormat="1" spans="1:129">
      <c r="A6" s="163" t="s">
        <v>66</v>
      </c>
      <c r="B6" s="163" t="s">
        <v>264</v>
      </c>
      <c r="C6" s="164" t="str">
        <f t="shared" si="0"/>
        <v>北京点才尚庆军</v>
      </c>
      <c r="D6" s="165">
        <v>46023</v>
      </c>
      <c r="E6" s="164">
        <v>3295.01</v>
      </c>
      <c r="F6" s="164">
        <v>755.01</v>
      </c>
      <c r="G6" s="164">
        <v>0</v>
      </c>
      <c r="H6" s="164">
        <v>0</v>
      </c>
      <c r="I6" s="164">
        <v>0</v>
      </c>
      <c r="J6" s="164">
        <v>0</v>
      </c>
      <c r="K6" s="164">
        <v>0</v>
      </c>
      <c r="L6" s="164">
        <f t="shared" si="1"/>
        <v>0</v>
      </c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>
        <v>3295.01</v>
      </c>
      <c r="X6" s="164">
        <v>755.01</v>
      </c>
      <c r="Y6" s="164">
        <v>0</v>
      </c>
      <c r="Z6" s="164">
        <v>0</v>
      </c>
      <c r="AA6" s="164">
        <v>0</v>
      </c>
      <c r="AB6" s="164">
        <v>0</v>
      </c>
      <c r="AC6" s="164">
        <v>0</v>
      </c>
      <c r="AD6" s="164">
        <f t="shared" si="2"/>
        <v>0</v>
      </c>
      <c r="AE6" s="164"/>
      <c r="AF6" s="164">
        <v>3295.01</v>
      </c>
      <c r="AG6" s="164">
        <v>755.01</v>
      </c>
      <c r="AH6" s="164">
        <v>0</v>
      </c>
      <c r="AI6" s="164">
        <v>0</v>
      </c>
      <c r="AJ6" s="164">
        <v>0</v>
      </c>
      <c r="AK6" s="164">
        <v>0</v>
      </c>
      <c r="AL6" s="164">
        <v>0</v>
      </c>
      <c r="AM6" s="164">
        <f t="shared" si="3"/>
        <v>0</v>
      </c>
      <c r="AN6" s="164">
        <v>0</v>
      </c>
      <c r="AO6" s="164">
        <v>3295.01</v>
      </c>
      <c r="AP6" s="164">
        <v>755.01</v>
      </c>
      <c r="AQ6" s="164">
        <v>0</v>
      </c>
      <c r="AR6" s="164">
        <v>0</v>
      </c>
      <c r="AS6" s="164">
        <v>0</v>
      </c>
      <c r="AT6" s="164">
        <v>0</v>
      </c>
      <c r="AU6" s="164">
        <v>0</v>
      </c>
      <c r="AV6" s="164">
        <f t="shared" si="4"/>
        <v>0</v>
      </c>
      <c r="AW6" s="164">
        <v>0</v>
      </c>
      <c r="AX6" s="164">
        <v>3295.01</v>
      </c>
      <c r="AY6" s="164">
        <v>755.01</v>
      </c>
      <c r="AZ6" s="164">
        <v>0</v>
      </c>
      <c r="BA6" s="164">
        <v>0</v>
      </c>
      <c r="BB6" s="164">
        <v>0</v>
      </c>
      <c r="BC6" s="164">
        <v>0</v>
      </c>
      <c r="BD6" s="164">
        <v>0</v>
      </c>
      <c r="BE6" s="164">
        <f t="shared" si="5"/>
        <v>0</v>
      </c>
      <c r="BF6" s="164">
        <v>0</v>
      </c>
      <c r="BG6" s="164">
        <f>VLOOKUP(C6,薪酬明细!A:AC,29,0)</f>
        <v>3295.01</v>
      </c>
      <c r="BH6" s="164">
        <v>755.01</v>
      </c>
      <c r="BI6" s="164">
        <v>0</v>
      </c>
      <c r="BJ6" s="164">
        <v>0</v>
      </c>
      <c r="BK6" s="164">
        <v>0</v>
      </c>
      <c r="BL6" s="164">
        <v>0</v>
      </c>
      <c r="BM6" s="164">
        <v>0</v>
      </c>
      <c r="BN6" s="164">
        <f t="shared" si="6"/>
        <v>0</v>
      </c>
      <c r="BO6" s="164"/>
      <c r="BP6" s="164"/>
      <c r="BQ6" s="164"/>
      <c r="BR6" s="164"/>
      <c r="BS6" s="164"/>
      <c r="BT6" s="164"/>
      <c r="BU6" s="164"/>
      <c r="BV6" s="164"/>
      <c r="BW6" s="164"/>
      <c r="BX6" s="164"/>
      <c r="BY6" s="164"/>
      <c r="BZ6" s="164"/>
      <c r="CA6" s="164"/>
      <c r="CB6" s="164"/>
      <c r="CC6" s="164"/>
      <c r="CD6" s="164"/>
      <c r="CE6" s="164"/>
      <c r="CF6" s="164"/>
      <c r="CG6" s="164"/>
      <c r="CH6" s="164"/>
      <c r="CI6" s="164"/>
      <c r="CJ6" s="164"/>
      <c r="CK6" s="164"/>
      <c r="CL6" s="164"/>
      <c r="CM6" s="164"/>
      <c r="CN6" s="164"/>
      <c r="CO6" s="164"/>
      <c r="CP6" s="164"/>
      <c r="CQ6" s="164"/>
      <c r="CR6" s="164"/>
      <c r="CS6" s="164"/>
      <c r="CT6" s="164"/>
      <c r="CU6" s="164"/>
      <c r="CV6" s="164"/>
      <c r="CW6" s="164"/>
      <c r="CX6" s="164"/>
      <c r="CY6" s="164"/>
      <c r="CZ6" s="164"/>
      <c r="DA6" s="164"/>
      <c r="DB6" s="164"/>
      <c r="DC6" s="164"/>
      <c r="DD6" s="164"/>
      <c r="DE6" s="164"/>
      <c r="DF6" s="164"/>
      <c r="DG6" s="164"/>
      <c r="DH6" s="164"/>
      <c r="DI6" s="164"/>
      <c r="DJ6" s="164"/>
      <c r="DK6" s="164"/>
      <c r="DL6" s="164"/>
      <c r="DM6" s="164"/>
      <c r="DN6" s="164"/>
      <c r="DO6" s="164"/>
      <c r="DP6" s="164"/>
      <c r="DQ6" s="164"/>
      <c r="DR6" s="163"/>
      <c r="DS6" s="164">
        <f t="shared" si="7"/>
        <v>19770.06</v>
      </c>
      <c r="DT6" s="164">
        <f t="shared" si="8"/>
        <v>4530.06</v>
      </c>
      <c r="DU6" s="164">
        <f t="shared" si="9"/>
        <v>0</v>
      </c>
      <c r="DV6" s="164">
        <f t="shared" si="10"/>
        <v>0</v>
      </c>
      <c r="DW6" s="166"/>
      <c r="DX6" s="153" t="str">
        <f>VLOOKUP(C6,薪酬明细!A:A,1,0)</f>
        <v>北京点才尚庆军</v>
      </c>
      <c r="DY6" s="153"/>
    </row>
    <row r="7" spans="1:129">
      <c r="A7" s="163" t="s">
        <v>66</v>
      </c>
      <c r="B7" s="163" t="s">
        <v>270</v>
      </c>
      <c r="C7" s="164" t="str">
        <f t="shared" si="0"/>
        <v>北京点才王倩</v>
      </c>
      <c r="D7" s="165">
        <v>46023</v>
      </c>
      <c r="E7" s="164">
        <v>1000</v>
      </c>
      <c r="F7" s="164">
        <v>0</v>
      </c>
      <c r="G7" s="164">
        <v>0</v>
      </c>
      <c r="H7" s="164">
        <v>0</v>
      </c>
      <c r="I7" s="164">
        <v>0</v>
      </c>
      <c r="J7" s="164">
        <v>0</v>
      </c>
      <c r="K7" s="164">
        <v>0</v>
      </c>
      <c r="L7" s="164">
        <f t="shared" si="1"/>
        <v>0</v>
      </c>
      <c r="M7" s="164">
        <v>40</v>
      </c>
      <c r="N7" s="164"/>
      <c r="O7" s="164"/>
      <c r="P7" s="164"/>
      <c r="Q7" s="164"/>
      <c r="R7" s="164"/>
      <c r="S7" s="164"/>
      <c r="T7" s="164"/>
      <c r="U7" s="164"/>
      <c r="V7" s="164"/>
      <c r="W7" s="164">
        <v>1000</v>
      </c>
      <c r="X7" s="164">
        <v>0</v>
      </c>
      <c r="Y7" s="164">
        <v>0</v>
      </c>
      <c r="Z7" s="164">
        <v>0</v>
      </c>
      <c r="AA7" s="164">
        <v>0</v>
      </c>
      <c r="AB7" s="164">
        <v>0</v>
      </c>
      <c r="AC7" s="164">
        <v>0</v>
      </c>
      <c r="AD7" s="164">
        <f t="shared" si="2"/>
        <v>0</v>
      </c>
      <c r="AE7" s="164">
        <v>40</v>
      </c>
      <c r="AF7" s="164">
        <v>1000</v>
      </c>
      <c r="AG7" s="164">
        <v>0</v>
      </c>
      <c r="AH7" s="164">
        <v>0</v>
      </c>
      <c r="AI7" s="164">
        <v>0</v>
      </c>
      <c r="AJ7" s="164">
        <v>0</v>
      </c>
      <c r="AK7" s="164">
        <v>0</v>
      </c>
      <c r="AL7" s="164">
        <v>0</v>
      </c>
      <c r="AM7" s="164">
        <f t="shared" si="3"/>
        <v>0</v>
      </c>
      <c r="AN7" s="164">
        <v>40</v>
      </c>
      <c r="AO7" s="164">
        <v>1000</v>
      </c>
      <c r="AP7" s="164">
        <v>0</v>
      </c>
      <c r="AQ7" s="164">
        <v>0</v>
      </c>
      <c r="AR7" s="164">
        <v>0</v>
      </c>
      <c r="AS7" s="164">
        <v>0</v>
      </c>
      <c r="AT7" s="164">
        <v>0</v>
      </c>
      <c r="AU7" s="164">
        <v>0</v>
      </c>
      <c r="AV7" s="164">
        <f t="shared" si="4"/>
        <v>0</v>
      </c>
      <c r="AW7" s="164">
        <v>40</v>
      </c>
      <c r="AX7" s="164">
        <v>1000</v>
      </c>
      <c r="AY7" s="164">
        <v>0</v>
      </c>
      <c r="AZ7" s="164">
        <v>0</v>
      </c>
      <c r="BA7" s="164">
        <v>0</v>
      </c>
      <c r="BB7" s="164">
        <v>0</v>
      </c>
      <c r="BC7" s="164">
        <v>0</v>
      </c>
      <c r="BD7" s="164">
        <v>0</v>
      </c>
      <c r="BE7" s="164">
        <f t="shared" si="5"/>
        <v>0</v>
      </c>
      <c r="BF7" s="164">
        <v>40</v>
      </c>
      <c r="BG7" s="164">
        <f>VLOOKUP(C7,薪酬明细!A:AC,29,0)</f>
        <v>1000</v>
      </c>
      <c r="BH7" s="164">
        <v>0</v>
      </c>
      <c r="BI7" s="164">
        <v>0</v>
      </c>
      <c r="BJ7" s="164">
        <v>0</v>
      </c>
      <c r="BK7" s="164">
        <v>0</v>
      </c>
      <c r="BL7" s="164">
        <v>0</v>
      </c>
      <c r="BM7" s="164">
        <v>0</v>
      </c>
      <c r="BN7" s="164">
        <f t="shared" si="6"/>
        <v>0</v>
      </c>
      <c r="BO7" s="164"/>
      <c r="BP7" s="164"/>
      <c r="BQ7" s="164"/>
      <c r="BR7" s="164"/>
      <c r="BS7" s="164"/>
      <c r="BT7" s="164"/>
      <c r="BU7" s="164"/>
      <c r="BV7" s="164"/>
      <c r="BW7" s="164"/>
      <c r="BX7" s="164"/>
      <c r="BY7" s="164"/>
      <c r="BZ7" s="164"/>
      <c r="CA7" s="164"/>
      <c r="CB7" s="164"/>
      <c r="CC7" s="164"/>
      <c r="CD7" s="164"/>
      <c r="CE7" s="164"/>
      <c r="CF7" s="164"/>
      <c r="CG7" s="164"/>
      <c r="CH7" s="164"/>
      <c r="CI7" s="164"/>
      <c r="CJ7" s="164"/>
      <c r="CK7" s="164"/>
      <c r="CL7" s="164"/>
      <c r="CM7" s="164"/>
      <c r="CN7" s="164"/>
      <c r="CO7" s="164"/>
      <c r="CP7" s="164"/>
      <c r="CQ7" s="164"/>
      <c r="CR7" s="164"/>
      <c r="CS7" s="164"/>
      <c r="CT7" s="164"/>
      <c r="CU7" s="164"/>
      <c r="CV7" s="164"/>
      <c r="CW7" s="164"/>
      <c r="CX7" s="164"/>
      <c r="CY7" s="164"/>
      <c r="CZ7" s="164"/>
      <c r="DA7" s="164"/>
      <c r="DB7" s="164"/>
      <c r="DC7" s="164"/>
      <c r="DD7" s="164"/>
      <c r="DE7" s="164"/>
      <c r="DF7" s="164"/>
      <c r="DG7" s="164"/>
      <c r="DH7" s="164"/>
      <c r="DI7" s="164"/>
      <c r="DJ7" s="164"/>
      <c r="DK7" s="164"/>
      <c r="DL7" s="164"/>
      <c r="DM7" s="164"/>
      <c r="DN7" s="164"/>
      <c r="DO7" s="164"/>
      <c r="DP7" s="164"/>
      <c r="DQ7" s="164"/>
      <c r="DR7" s="163"/>
      <c r="DS7" s="164">
        <f t="shared" si="7"/>
        <v>6000</v>
      </c>
      <c r="DT7" s="164">
        <f t="shared" si="8"/>
        <v>0</v>
      </c>
      <c r="DU7" s="164">
        <f t="shared" si="9"/>
        <v>0</v>
      </c>
      <c r="DV7" s="164">
        <f t="shared" si="10"/>
        <v>200</v>
      </c>
      <c r="DW7" s="166"/>
      <c r="DX7" s="153" t="str">
        <f>VLOOKUP(C7,薪酬明细!A:A,1,0)</f>
        <v>北京点才王倩</v>
      </c>
    </row>
    <row r="8" spans="1:129">
      <c r="A8" s="163" t="s">
        <v>64</v>
      </c>
      <c r="B8" s="163" t="s">
        <v>270</v>
      </c>
      <c r="C8" s="164" t="str">
        <f t="shared" si="0"/>
        <v>开博人才王倩</v>
      </c>
      <c r="D8" s="165">
        <v>46023</v>
      </c>
      <c r="E8" s="164">
        <v>1000</v>
      </c>
      <c r="F8" s="164">
        <v>0</v>
      </c>
      <c r="G8" s="164">
        <v>0</v>
      </c>
      <c r="H8" s="164">
        <v>0</v>
      </c>
      <c r="I8" s="164">
        <v>0</v>
      </c>
      <c r="J8" s="164">
        <v>0</v>
      </c>
      <c r="K8" s="164">
        <v>0</v>
      </c>
      <c r="L8" s="164">
        <f t="shared" si="1"/>
        <v>0</v>
      </c>
      <c r="M8" s="164">
        <v>40</v>
      </c>
      <c r="N8" s="164"/>
      <c r="O8" s="164"/>
      <c r="P8" s="164"/>
      <c r="Q8" s="164"/>
      <c r="R8" s="164"/>
      <c r="S8" s="164"/>
      <c r="T8" s="164"/>
      <c r="U8" s="164"/>
      <c r="V8" s="164"/>
      <c r="W8" s="164">
        <v>1000</v>
      </c>
      <c r="X8" s="164">
        <v>0</v>
      </c>
      <c r="Y8" s="164">
        <v>0</v>
      </c>
      <c r="Z8" s="164">
        <v>0</v>
      </c>
      <c r="AA8" s="164">
        <v>0</v>
      </c>
      <c r="AB8" s="164">
        <v>0</v>
      </c>
      <c r="AC8" s="164">
        <v>0</v>
      </c>
      <c r="AD8" s="164">
        <f t="shared" si="2"/>
        <v>0</v>
      </c>
      <c r="AE8" s="164">
        <v>40</v>
      </c>
      <c r="AF8" s="164">
        <v>1000</v>
      </c>
      <c r="AG8" s="164">
        <v>0</v>
      </c>
      <c r="AH8" s="164">
        <v>0</v>
      </c>
      <c r="AI8" s="164">
        <v>0</v>
      </c>
      <c r="AJ8" s="164">
        <v>0</v>
      </c>
      <c r="AK8" s="164">
        <v>0</v>
      </c>
      <c r="AL8" s="164">
        <v>0</v>
      </c>
      <c r="AM8" s="164">
        <f t="shared" si="3"/>
        <v>0</v>
      </c>
      <c r="AN8" s="164">
        <v>40</v>
      </c>
      <c r="AO8" s="164">
        <v>1000</v>
      </c>
      <c r="AP8" s="164">
        <v>0</v>
      </c>
      <c r="AQ8" s="164">
        <v>0</v>
      </c>
      <c r="AR8" s="164">
        <v>0</v>
      </c>
      <c r="AS8" s="164">
        <v>0</v>
      </c>
      <c r="AT8" s="164">
        <v>0</v>
      </c>
      <c r="AU8" s="164">
        <v>0</v>
      </c>
      <c r="AV8" s="164">
        <f t="shared" si="4"/>
        <v>0</v>
      </c>
      <c r="AW8" s="164">
        <v>40</v>
      </c>
      <c r="AX8" s="164">
        <v>1000</v>
      </c>
      <c r="AY8" s="164">
        <v>0</v>
      </c>
      <c r="AZ8" s="164">
        <v>0</v>
      </c>
      <c r="BA8" s="164">
        <v>0</v>
      </c>
      <c r="BB8" s="164">
        <v>0</v>
      </c>
      <c r="BC8" s="164">
        <v>0</v>
      </c>
      <c r="BD8" s="164">
        <v>0</v>
      </c>
      <c r="BE8" s="164">
        <f t="shared" si="5"/>
        <v>0</v>
      </c>
      <c r="BF8" s="164">
        <v>40</v>
      </c>
      <c r="BG8" s="164">
        <f>VLOOKUP(C8,薪酬明细!A:AC,29,0)</f>
        <v>1000</v>
      </c>
      <c r="BH8" s="164">
        <v>0</v>
      </c>
      <c r="BI8" s="164">
        <v>0</v>
      </c>
      <c r="BJ8" s="164">
        <v>0</v>
      </c>
      <c r="BK8" s="164">
        <v>0</v>
      </c>
      <c r="BL8" s="164">
        <v>0</v>
      </c>
      <c r="BM8" s="164">
        <v>0</v>
      </c>
      <c r="BN8" s="164">
        <f t="shared" si="6"/>
        <v>0</v>
      </c>
      <c r="BO8" s="164"/>
      <c r="BP8" s="164"/>
      <c r="BQ8" s="164"/>
      <c r="BR8" s="164"/>
      <c r="BS8" s="164"/>
      <c r="BT8" s="164"/>
      <c r="BU8" s="164"/>
      <c r="BV8" s="164"/>
      <c r="BW8" s="164"/>
      <c r="BX8" s="164"/>
      <c r="BY8" s="164"/>
      <c r="BZ8" s="164"/>
      <c r="CA8" s="164"/>
      <c r="CB8" s="164"/>
      <c r="CC8" s="164"/>
      <c r="CD8" s="164"/>
      <c r="CE8" s="164"/>
      <c r="CF8" s="164"/>
      <c r="CG8" s="164"/>
      <c r="CH8" s="164"/>
      <c r="CI8" s="164"/>
      <c r="CJ8" s="164"/>
      <c r="CK8" s="164"/>
      <c r="CL8" s="164"/>
      <c r="CM8" s="164"/>
      <c r="CN8" s="164"/>
      <c r="CO8" s="164"/>
      <c r="CP8" s="164"/>
      <c r="CQ8" s="164"/>
      <c r="CR8" s="164"/>
      <c r="CS8" s="164"/>
      <c r="CT8" s="164"/>
      <c r="CU8" s="164"/>
      <c r="CV8" s="164"/>
      <c r="CW8" s="164"/>
      <c r="CX8" s="164"/>
      <c r="CY8" s="164"/>
      <c r="CZ8" s="164"/>
      <c r="DA8" s="164"/>
      <c r="DB8" s="164"/>
      <c r="DC8" s="164"/>
      <c r="DD8" s="164"/>
      <c r="DE8" s="164"/>
      <c r="DF8" s="164"/>
      <c r="DG8" s="164"/>
      <c r="DH8" s="164"/>
      <c r="DI8" s="164"/>
      <c r="DJ8" s="164"/>
      <c r="DK8" s="164"/>
      <c r="DL8" s="164"/>
      <c r="DM8" s="164"/>
      <c r="DN8" s="164"/>
      <c r="DO8" s="164"/>
      <c r="DP8" s="164"/>
      <c r="DQ8" s="164"/>
      <c r="DR8" s="163"/>
      <c r="DS8" s="164">
        <f t="shared" si="7"/>
        <v>6000</v>
      </c>
      <c r="DT8" s="164">
        <f t="shared" si="8"/>
        <v>0</v>
      </c>
      <c r="DU8" s="164">
        <f t="shared" si="9"/>
        <v>0</v>
      </c>
      <c r="DV8" s="164">
        <f t="shared" si="10"/>
        <v>200</v>
      </c>
      <c r="DW8" s="166"/>
      <c r="DX8" s="153" t="str">
        <f>VLOOKUP(C8,薪酬明细!A:A,1,0)</f>
        <v>开博人才王倩</v>
      </c>
    </row>
    <row r="9" spans="1:129">
      <c r="A9" s="163" t="s">
        <v>63</v>
      </c>
      <c r="B9" s="163" t="s">
        <v>280</v>
      </c>
      <c r="C9" s="164" t="str">
        <f t="shared" si="0"/>
        <v>靠普人力英成盛</v>
      </c>
      <c r="D9" s="165">
        <v>46023</v>
      </c>
      <c r="E9" s="164">
        <v>3523.3</v>
      </c>
      <c r="F9" s="164">
        <v>783.3</v>
      </c>
      <c r="G9" s="164">
        <v>0</v>
      </c>
      <c r="H9" s="164">
        <v>0</v>
      </c>
      <c r="I9" s="164">
        <v>0</v>
      </c>
      <c r="J9" s="164">
        <v>0</v>
      </c>
      <c r="K9" s="164">
        <v>0</v>
      </c>
      <c r="L9" s="164">
        <f t="shared" si="1"/>
        <v>0</v>
      </c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>
        <v>3523.3</v>
      </c>
      <c r="X9" s="164">
        <v>783.3</v>
      </c>
      <c r="Y9" s="164">
        <v>0</v>
      </c>
      <c r="Z9" s="164">
        <v>0</v>
      </c>
      <c r="AA9" s="164">
        <v>0</v>
      </c>
      <c r="AB9" s="164">
        <v>0</v>
      </c>
      <c r="AC9" s="164">
        <v>0</v>
      </c>
      <c r="AD9" s="164">
        <f t="shared" si="2"/>
        <v>0</v>
      </c>
      <c r="AE9" s="164"/>
      <c r="AF9" s="164">
        <v>3523.3</v>
      </c>
      <c r="AG9" s="164">
        <v>783.3</v>
      </c>
      <c r="AH9" s="164">
        <v>0</v>
      </c>
      <c r="AI9" s="164">
        <v>0</v>
      </c>
      <c r="AJ9" s="164">
        <v>0</v>
      </c>
      <c r="AK9" s="164">
        <v>0</v>
      </c>
      <c r="AL9" s="164">
        <v>0</v>
      </c>
      <c r="AM9" s="164">
        <f t="shared" si="3"/>
        <v>0</v>
      </c>
      <c r="AN9" s="164">
        <v>0</v>
      </c>
      <c r="AO9" s="164">
        <v>3523.3</v>
      </c>
      <c r="AP9" s="164">
        <v>783.3</v>
      </c>
      <c r="AQ9" s="164">
        <v>0</v>
      </c>
      <c r="AR9" s="164">
        <v>0</v>
      </c>
      <c r="AS9" s="164">
        <v>0</v>
      </c>
      <c r="AT9" s="164">
        <v>0</v>
      </c>
      <c r="AU9" s="164">
        <v>0</v>
      </c>
      <c r="AV9" s="164">
        <f t="shared" si="4"/>
        <v>0</v>
      </c>
      <c r="AW9" s="164">
        <v>0</v>
      </c>
      <c r="AX9" s="164">
        <v>3523.3</v>
      </c>
      <c r="AY9" s="164">
        <v>783.3</v>
      </c>
      <c r="AZ9" s="164">
        <v>0</v>
      </c>
      <c r="BA9" s="164">
        <v>0</v>
      </c>
      <c r="BB9" s="164">
        <v>0</v>
      </c>
      <c r="BC9" s="164">
        <v>0</v>
      </c>
      <c r="BD9" s="164">
        <v>0</v>
      </c>
      <c r="BE9" s="164">
        <f t="shared" si="5"/>
        <v>0</v>
      </c>
      <c r="BF9" s="164">
        <v>0</v>
      </c>
      <c r="BG9" s="164">
        <f>VLOOKUP(C9,薪酬明细!A:AC,29,0)</f>
        <v>3523.3</v>
      </c>
      <c r="BH9" s="164">
        <v>783.3</v>
      </c>
      <c r="BI9" s="164">
        <v>0</v>
      </c>
      <c r="BJ9" s="164">
        <v>0</v>
      </c>
      <c r="BK9" s="164">
        <v>0</v>
      </c>
      <c r="BL9" s="164">
        <v>0</v>
      </c>
      <c r="BM9" s="164">
        <v>0</v>
      </c>
      <c r="BN9" s="164">
        <f t="shared" si="6"/>
        <v>0</v>
      </c>
      <c r="BO9" s="164"/>
      <c r="BP9" s="164"/>
      <c r="BQ9" s="164"/>
      <c r="BR9" s="164"/>
      <c r="BS9" s="164"/>
      <c r="BT9" s="164"/>
      <c r="BU9" s="164"/>
      <c r="BV9" s="164"/>
      <c r="BW9" s="164"/>
      <c r="BX9" s="164"/>
      <c r="BY9" s="164"/>
      <c r="BZ9" s="164"/>
      <c r="CA9" s="164"/>
      <c r="CB9" s="164"/>
      <c r="CC9" s="164"/>
      <c r="CD9" s="164"/>
      <c r="CE9" s="164"/>
      <c r="CF9" s="164"/>
      <c r="CG9" s="164"/>
      <c r="CH9" s="164"/>
      <c r="CI9" s="164"/>
      <c r="CJ9" s="164"/>
      <c r="CK9" s="164"/>
      <c r="CL9" s="164"/>
      <c r="CM9" s="164"/>
      <c r="CN9" s="164"/>
      <c r="CO9" s="164"/>
      <c r="CP9" s="164"/>
      <c r="CQ9" s="164"/>
      <c r="CR9" s="164"/>
      <c r="CS9" s="164"/>
      <c r="CT9" s="164"/>
      <c r="CU9" s="164"/>
      <c r="CV9" s="164"/>
      <c r="CW9" s="164"/>
      <c r="CX9" s="164"/>
      <c r="CY9" s="164"/>
      <c r="CZ9" s="164"/>
      <c r="DA9" s="164"/>
      <c r="DB9" s="164"/>
      <c r="DC9" s="164"/>
      <c r="DD9" s="164"/>
      <c r="DE9" s="164"/>
      <c r="DF9" s="164"/>
      <c r="DG9" s="164"/>
      <c r="DH9" s="164"/>
      <c r="DI9" s="164"/>
      <c r="DJ9" s="164"/>
      <c r="DK9" s="164"/>
      <c r="DL9" s="164"/>
      <c r="DM9" s="164"/>
      <c r="DN9" s="164"/>
      <c r="DO9" s="164"/>
      <c r="DP9" s="164"/>
      <c r="DQ9" s="164"/>
      <c r="DR9" s="163"/>
      <c r="DS9" s="164">
        <f t="shared" si="7"/>
        <v>21139.8</v>
      </c>
      <c r="DT9" s="164">
        <f t="shared" si="8"/>
        <v>4699.8</v>
      </c>
      <c r="DU9" s="164">
        <f t="shared" si="9"/>
        <v>0</v>
      </c>
      <c r="DV9" s="164">
        <f t="shared" si="10"/>
        <v>0</v>
      </c>
      <c r="DW9" s="166"/>
      <c r="DX9" s="153" t="str">
        <f>VLOOKUP(C9,薪酬明细!A:A,1,0)</f>
        <v>靠普人力英成盛</v>
      </c>
    </row>
    <row r="10" spans="1:129">
      <c r="A10" s="163" t="s">
        <v>62</v>
      </c>
      <c r="B10" s="163" t="s">
        <v>270</v>
      </c>
      <c r="C10" s="164" t="str">
        <f t="shared" si="0"/>
        <v>开弈企业外包王倩</v>
      </c>
      <c r="D10" s="165">
        <v>46023</v>
      </c>
      <c r="E10" s="164">
        <v>1000</v>
      </c>
      <c r="F10" s="164">
        <v>0</v>
      </c>
      <c r="G10" s="164">
        <v>0</v>
      </c>
      <c r="H10" s="164">
        <v>0</v>
      </c>
      <c r="I10" s="164">
        <v>0</v>
      </c>
      <c r="J10" s="164">
        <v>0</v>
      </c>
      <c r="K10" s="164">
        <v>0</v>
      </c>
      <c r="L10" s="164">
        <f t="shared" si="1"/>
        <v>0</v>
      </c>
      <c r="M10" s="164">
        <v>40</v>
      </c>
      <c r="N10" s="164"/>
      <c r="O10" s="164"/>
      <c r="P10" s="164"/>
      <c r="Q10" s="164"/>
      <c r="R10" s="164"/>
      <c r="S10" s="164"/>
      <c r="T10" s="164"/>
      <c r="U10" s="164"/>
      <c r="V10" s="164"/>
      <c r="W10" s="164">
        <v>1000</v>
      </c>
      <c r="X10" s="164">
        <v>0</v>
      </c>
      <c r="Y10" s="164">
        <v>0</v>
      </c>
      <c r="Z10" s="164">
        <v>0</v>
      </c>
      <c r="AA10" s="164">
        <v>0</v>
      </c>
      <c r="AB10" s="164">
        <v>0</v>
      </c>
      <c r="AC10" s="164">
        <v>0</v>
      </c>
      <c r="AD10" s="164">
        <f t="shared" si="2"/>
        <v>0</v>
      </c>
      <c r="AE10" s="164">
        <v>40</v>
      </c>
      <c r="AF10" s="164">
        <v>1000</v>
      </c>
      <c r="AG10" s="164">
        <v>0</v>
      </c>
      <c r="AH10" s="164">
        <v>0</v>
      </c>
      <c r="AI10" s="164">
        <v>0</v>
      </c>
      <c r="AJ10" s="164">
        <v>0</v>
      </c>
      <c r="AK10" s="164">
        <v>0</v>
      </c>
      <c r="AL10" s="164">
        <v>0</v>
      </c>
      <c r="AM10" s="164">
        <f t="shared" si="3"/>
        <v>0</v>
      </c>
      <c r="AN10" s="164">
        <v>40</v>
      </c>
      <c r="AO10" s="164">
        <v>1000</v>
      </c>
      <c r="AP10" s="164">
        <v>0</v>
      </c>
      <c r="AQ10" s="164">
        <v>0</v>
      </c>
      <c r="AR10" s="164">
        <v>0</v>
      </c>
      <c r="AS10" s="164">
        <v>0</v>
      </c>
      <c r="AT10" s="164">
        <v>0</v>
      </c>
      <c r="AU10" s="164">
        <v>0</v>
      </c>
      <c r="AV10" s="164">
        <f t="shared" si="4"/>
        <v>0</v>
      </c>
      <c r="AW10" s="164">
        <v>40</v>
      </c>
      <c r="AX10" s="164">
        <v>1000</v>
      </c>
      <c r="AY10" s="164">
        <v>0</v>
      </c>
      <c r="AZ10" s="164">
        <v>0</v>
      </c>
      <c r="BA10" s="164">
        <v>0</v>
      </c>
      <c r="BB10" s="164">
        <v>0</v>
      </c>
      <c r="BC10" s="164">
        <v>0</v>
      </c>
      <c r="BD10" s="164">
        <v>0</v>
      </c>
      <c r="BE10" s="164">
        <f t="shared" si="5"/>
        <v>0</v>
      </c>
      <c r="BF10" s="164">
        <v>40</v>
      </c>
      <c r="BG10" s="164">
        <f>VLOOKUP(C10,薪酬明细!A:AC,29,0)</f>
        <v>1000</v>
      </c>
      <c r="BH10" s="164">
        <v>0</v>
      </c>
      <c r="BI10" s="164">
        <v>0</v>
      </c>
      <c r="BJ10" s="164">
        <v>0</v>
      </c>
      <c r="BK10" s="164">
        <v>0</v>
      </c>
      <c r="BL10" s="164">
        <v>0</v>
      </c>
      <c r="BM10" s="164">
        <v>0</v>
      </c>
      <c r="BN10" s="164">
        <f t="shared" si="6"/>
        <v>0</v>
      </c>
      <c r="BO10" s="164"/>
      <c r="BP10" s="164"/>
      <c r="BQ10" s="164"/>
      <c r="BR10" s="164"/>
      <c r="BS10" s="164"/>
      <c r="BT10" s="164"/>
      <c r="BU10" s="164"/>
      <c r="BV10" s="164"/>
      <c r="BW10" s="164"/>
      <c r="BX10" s="164"/>
      <c r="BY10" s="164"/>
      <c r="BZ10" s="164"/>
      <c r="CA10" s="164"/>
      <c r="CB10" s="164"/>
      <c r="CC10" s="164"/>
      <c r="CD10" s="164"/>
      <c r="CE10" s="164"/>
      <c r="CF10" s="164"/>
      <c r="CG10" s="164"/>
      <c r="CH10" s="164"/>
      <c r="CI10" s="164"/>
      <c r="CJ10" s="164"/>
      <c r="CK10" s="164"/>
      <c r="CL10" s="164"/>
      <c r="CM10" s="164"/>
      <c r="CN10" s="164"/>
      <c r="CO10" s="164"/>
      <c r="CP10" s="164"/>
      <c r="CQ10" s="164"/>
      <c r="CR10" s="164"/>
      <c r="CS10" s="164"/>
      <c r="CT10" s="164"/>
      <c r="CU10" s="164"/>
      <c r="CV10" s="164"/>
      <c r="CW10" s="164"/>
      <c r="CX10" s="164"/>
      <c r="CY10" s="164"/>
      <c r="CZ10" s="164"/>
      <c r="DA10" s="164"/>
      <c r="DB10" s="164"/>
      <c r="DC10" s="164"/>
      <c r="DD10" s="164"/>
      <c r="DE10" s="164"/>
      <c r="DF10" s="164"/>
      <c r="DG10" s="164"/>
      <c r="DH10" s="164"/>
      <c r="DI10" s="164"/>
      <c r="DJ10" s="164"/>
      <c r="DK10" s="164"/>
      <c r="DL10" s="164"/>
      <c r="DM10" s="164"/>
      <c r="DN10" s="164"/>
      <c r="DO10" s="164"/>
      <c r="DP10" s="164"/>
      <c r="DQ10" s="164"/>
      <c r="DR10" s="163"/>
      <c r="DS10" s="164">
        <f t="shared" si="7"/>
        <v>6000</v>
      </c>
      <c r="DT10" s="164">
        <f t="shared" si="8"/>
        <v>0</v>
      </c>
      <c r="DU10" s="164">
        <f t="shared" si="9"/>
        <v>0</v>
      </c>
      <c r="DV10" s="164">
        <f t="shared" si="10"/>
        <v>200</v>
      </c>
      <c r="DW10" s="166"/>
      <c r="DX10" s="153" t="str">
        <f>VLOOKUP(C10,薪酬明细!A:A,1,0)</f>
        <v>开弈企业外包王倩</v>
      </c>
    </row>
    <row r="11" spans="1:129">
      <c r="A11" s="163" t="s">
        <v>62</v>
      </c>
      <c r="B11" s="163" t="s">
        <v>277</v>
      </c>
      <c r="C11" s="164" t="str">
        <f t="shared" si="0"/>
        <v>开弈企业外包吴玉斌</v>
      </c>
      <c r="D11" s="165">
        <v>46023</v>
      </c>
      <c r="E11" s="164">
        <v>3523.3</v>
      </c>
      <c r="F11" s="164">
        <v>783.3</v>
      </c>
      <c r="G11" s="164">
        <v>0</v>
      </c>
      <c r="H11" s="164">
        <v>0</v>
      </c>
      <c r="I11" s="164">
        <v>0</v>
      </c>
      <c r="J11" s="164">
        <v>0</v>
      </c>
      <c r="K11" s="164">
        <v>0</v>
      </c>
      <c r="L11" s="164">
        <f t="shared" si="1"/>
        <v>0</v>
      </c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>
        <v>3523.3</v>
      </c>
      <c r="X11" s="164">
        <v>783.3</v>
      </c>
      <c r="Y11" s="164">
        <v>0</v>
      </c>
      <c r="Z11" s="164">
        <v>0</v>
      </c>
      <c r="AA11" s="164">
        <v>0</v>
      </c>
      <c r="AB11" s="164">
        <v>0</v>
      </c>
      <c r="AC11" s="164">
        <v>0</v>
      </c>
      <c r="AD11" s="164">
        <f t="shared" si="2"/>
        <v>0</v>
      </c>
      <c r="AE11" s="164"/>
      <c r="AF11" s="164">
        <v>3523.3</v>
      </c>
      <c r="AG11" s="164">
        <v>783.3</v>
      </c>
      <c r="AH11" s="164">
        <v>0</v>
      </c>
      <c r="AI11" s="164">
        <v>0</v>
      </c>
      <c r="AJ11" s="164">
        <v>0</v>
      </c>
      <c r="AK11" s="164">
        <v>0</v>
      </c>
      <c r="AL11" s="164">
        <v>0</v>
      </c>
      <c r="AM11" s="164">
        <f t="shared" si="3"/>
        <v>0</v>
      </c>
      <c r="AN11" s="164">
        <v>0</v>
      </c>
      <c r="AO11" s="164">
        <v>3523.3</v>
      </c>
      <c r="AP11" s="164">
        <v>783.3</v>
      </c>
      <c r="AQ11" s="164">
        <v>0</v>
      </c>
      <c r="AR11" s="164">
        <v>0</v>
      </c>
      <c r="AS11" s="164">
        <v>0</v>
      </c>
      <c r="AT11" s="164">
        <v>0</v>
      </c>
      <c r="AU11" s="164">
        <v>0</v>
      </c>
      <c r="AV11" s="164">
        <f t="shared" si="4"/>
        <v>0</v>
      </c>
      <c r="AW11" s="164">
        <v>0</v>
      </c>
      <c r="AX11" s="164">
        <v>3523.3</v>
      </c>
      <c r="AY11" s="164">
        <v>783.3</v>
      </c>
      <c r="AZ11" s="164">
        <v>0</v>
      </c>
      <c r="BA11" s="164">
        <v>0</v>
      </c>
      <c r="BB11" s="164">
        <v>0</v>
      </c>
      <c r="BC11" s="164">
        <v>0</v>
      </c>
      <c r="BD11" s="164">
        <v>0</v>
      </c>
      <c r="BE11" s="164">
        <f t="shared" si="5"/>
        <v>0</v>
      </c>
      <c r="BF11" s="164">
        <v>0</v>
      </c>
      <c r="BG11" s="164">
        <f>VLOOKUP(C11,薪酬明细!A:AC,29,0)</f>
        <v>3523.3</v>
      </c>
      <c r="BH11" s="164">
        <v>783.3</v>
      </c>
      <c r="BI11" s="164">
        <v>0</v>
      </c>
      <c r="BJ11" s="164">
        <v>0</v>
      </c>
      <c r="BK11" s="164">
        <v>0</v>
      </c>
      <c r="BL11" s="164">
        <v>0</v>
      </c>
      <c r="BM11" s="164">
        <v>0</v>
      </c>
      <c r="BN11" s="164">
        <f t="shared" si="6"/>
        <v>0</v>
      </c>
      <c r="BO11" s="164"/>
      <c r="BP11" s="164"/>
      <c r="BQ11" s="164"/>
      <c r="BR11" s="164"/>
      <c r="BS11" s="164"/>
      <c r="BT11" s="164"/>
      <c r="BU11" s="164"/>
      <c r="BV11" s="164"/>
      <c r="BW11" s="164"/>
      <c r="BX11" s="164"/>
      <c r="BY11" s="164"/>
      <c r="BZ11" s="164"/>
      <c r="CA11" s="164"/>
      <c r="CB11" s="164"/>
      <c r="CC11" s="164"/>
      <c r="CD11" s="164"/>
      <c r="CE11" s="164"/>
      <c r="CF11" s="164"/>
      <c r="CG11" s="164"/>
      <c r="CH11" s="164"/>
      <c r="CI11" s="164"/>
      <c r="CJ11" s="164"/>
      <c r="CK11" s="164"/>
      <c r="CL11" s="164"/>
      <c r="CM11" s="164"/>
      <c r="CN11" s="164"/>
      <c r="CO11" s="164"/>
      <c r="CP11" s="164"/>
      <c r="CQ11" s="164"/>
      <c r="CR11" s="164"/>
      <c r="CS11" s="164"/>
      <c r="CT11" s="164"/>
      <c r="CU11" s="164"/>
      <c r="CV11" s="164"/>
      <c r="CW11" s="164"/>
      <c r="CX11" s="164"/>
      <c r="CY11" s="164"/>
      <c r="CZ11" s="164"/>
      <c r="DA11" s="164"/>
      <c r="DB11" s="164"/>
      <c r="DC11" s="164"/>
      <c r="DD11" s="164"/>
      <c r="DE11" s="164"/>
      <c r="DF11" s="164"/>
      <c r="DG11" s="164"/>
      <c r="DH11" s="164"/>
      <c r="DI11" s="164"/>
      <c r="DJ11" s="164"/>
      <c r="DK11" s="164"/>
      <c r="DL11" s="164"/>
      <c r="DM11" s="164"/>
      <c r="DN11" s="164"/>
      <c r="DO11" s="164"/>
      <c r="DP11" s="164"/>
      <c r="DQ11" s="164"/>
      <c r="DR11" s="163"/>
      <c r="DS11" s="164">
        <f t="shared" si="7"/>
        <v>21139.8</v>
      </c>
      <c r="DT11" s="164">
        <f t="shared" si="8"/>
        <v>4699.8</v>
      </c>
      <c r="DU11" s="164">
        <f t="shared" si="9"/>
        <v>0</v>
      </c>
      <c r="DV11" s="164">
        <f t="shared" si="10"/>
        <v>0</v>
      </c>
      <c r="DW11" s="166"/>
      <c r="DX11" s="153" t="str">
        <f>VLOOKUP(C11,薪酬明细!A:A,1,0)</f>
        <v>开弈企业外包吴玉斌</v>
      </c>
    </row>
    <row r="12" spans="1:129">
      <c r="A12" s="163" t="s">
        <v>61</v>
      </c>
      <c r="B12" s="163" t="s">
        <v>292</v>
      </c>
      <c r="C12" s="164" t="str">
        <f t="shared" si="0"/>
        <v>开弈人力资源孙文丽</v>
      </c>
      <c r="D12" s="165">
        <v>46023</v>
      </c>
      <c r="E12" s="164">
        <v>3523.3</v>
      </c>
      <c r="F12" s="164">
        <v>783.3</v>
      </c>
      <c r="G12" s="164">
        <v>0</v>
      </c>
      <c r="H12" s="164">
        <v>0</v>
      </c>
      <c r="I12" s="164">
        <v>0</v>
      </c>
      <c r="J12" s="164">
        <v>0</v>
      </c>
      <c r="K12" s="164">
        <v>0</v>
      </c>
      <c r="L12" s="164">
        <f t="shared" si="1"/>
        <v>0</v>
      </c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>
        <v>3523.3</v>
      </c>
      <c r="X12" s="164">
        <v>783.3</v>
      </c>
      <c r="Y12" s="164">
        <v>0</v>
      </c>
      <c r="Z12" s="164">
        <v>0</v>
      </c>
      <c r="AA12" s="164">
        <v>0</v>
      </c>
      <c r="AB12" s="164">
        <v>0</v>
      </c>
      <c r="AC12" s="164">
        <v>0</v>
      </c>
      <c r="AD12" s="164">
        <f t="shared" si="2"/>
        <v>0</v>
      </c>
      <c r="AE12" s="164"/>
      <c r="AF12" s="164">
        <v>3523.3</v>
      </c>
      <c r="AG12" s="164">
        <v>783.3</v>
      </c>
      <c r="AH12" s="164">
        <v>0</v>
      </c>
      <c r="AI12" s="164">
        <v>0</v>
      </c>
      <c r="AJ12" s="164">
        <v>0</v>
      </c>
      <c r="AK12" s="164">
        <v>0</v>
      </c>
      <c r="AL12" s="164">
        <v>0</v>
      </c>
      <c r="AM12" s="164">
        <f t="shared" si="3"/>
        <v>0</v>
      </c>
      <c r="AN12" s="164">
        <v>0</v>
      </c>
      <c r="AO12" s="164">
        <v>3523.3</v>
      </c>
      <c r="AP12" s="164">
        <v>783.3</v>
      </c>
      <c r="AQ12" s="164">
        <v>0</v>
      </c>
      <c r="AR12" s="164">
        <v>0</v>
      </c>
      <c r="AS12" s="164">
        <v>0</v>
      </c>
      <c r="AT12" s="164">
        <v>0</v>
      </c>
      <c r="AU12" s="164">
        <v>0</v>
      </c>
      <c r="AV12" s="164">
        <f t="shared" si="4"/>
        <v>0</v>
      </c>
      <c r="AW12" s="164">
        <v>0</v>
      </c>
      <c r="AX12" s="164">
        <v>3523.3</v>
      </c>
      <c r="AY12" s="164">
        <v>783.3</v>
      </c>
      <c r="AZ12" s="164">
        <v>0</v>
      </c>
      <c r="BA12" s="164">
        <v>0</v>
      </c>
      <c r="BB12" s="164">
        <v>0</v>
      </c>
      <c r="BC12" s="164">
        <v>0</v>
      </c>
      <c r="BD12" s="164">
        <v>0</v>
      </c>
      <c r="BE12" s="164">
        <f t="shared" si="5"/>
        <v>0</v>
      </c>
      <c r="BF12" s="164">
        <v>0</v>
      </c>
      <c r="BG12" s="164">
        <f>VLOOKUP(C12,薪酬明细!A:AC,29,0)</f>
        <v>3523.3</v>
      </c>
      <c r="BH12" s="164">
        <v>783.3</v>
      </c>
      <c r="BI12" s="164">
        <v>0</v>
      </c>
      <c r="BJ12" s="164">
        <v>0</v>
      </c>
      <c r="BK12" s="164">
        <v>0</v>
      </c>
      <c r="BL12" s="164">
        <v>0</v>
      </c>
      <c r="BM12" s="164">
        <v>0</v>
      </c>
      <c r="BN12" s="164">
        <f t="shared" si="6"/>
        <v>0</v>
      </c>
      <c r="BO12" s="164"/>
      <c r="BP12" s="164"/>
      <c r="BQ12" s="164"/>
      <c r="BR12" s="164"/>
      <c r="BS12" s="164"/>
      <c r="BT12" s="164"/>
      <c r="BU12" s="164"/>
      <c r="BV12" s="164"/>
      <c r="BW12" s="164"/>
      <c r="BX12" s="164"/>
      <c r="BY12" s="164"/>
      <c r="BZ12" s="164"/>
      <c r="CA12" s="164"/>
      <c r="CB12" s="164"/>
      <c r="CC12" s="164"/>
      <c r="CD12" s="164"/>
      <c r="CE12" s="164"/>
      <c r="CF12" s="164"/>
      <c r="CG12" s="164"/>
      <c r="CH12" s="164"/>
      <c r="CI12" s="164"/>
      <c r="CJ12" s="164"/>
      <c r="CK12" s="164"/>
      <c r="CL12" s="164"/>
      <c r="CM12" s="164"/>
      <c r="CN12" s="164"/>
      <c r="CO12" s="164"/>
      <c r="CP12" s="164"/>
      <c r="CQ12" s="164"/>
      <c r="CR12" s="164"/>
      <c r="CS12" s="164"/>
      <c r="CT12" s="164"/>
      <c r="CU12" s="164"/>
      <c r="CV12" s="164"/>
      <c r="CW12" s="164"/>
      <c r="CX12" s="164"/>
      <c r="CY12" s="164"/>
      <c r="CZ12" s="164"/>
      <c r="DA12" s="164"/>
      <c r="DB12" s="164"/>
      <c r="DC12" s="164"/>
      <c r="DD12" s="164"/>
      <c r="DE12" s="164"/>
      <c r="DF12" s="164"/>
      <c r="DG12" s="164"/>
      <c r="DH12" s="164"/>
      <c r="DI12" s="164"/>
      <c r="DJ12" s="164"/>
      <c r="DK12" s="164"/>
      <c r="DL12" s="164"/>
      <c r="DM12" s="164"/>
      <c r="DN12" s="164"/>
      <c r="DO12" s="164"/>
      <c r="DP12" s="164"/>
      <c r="DQ12" s="164"/>
      <c r="DR12" s="163"/>
      <c r="DS12" s="164">
        <f t="shared" si="7"/>
        <v>21139.8</v>
      </c>
      <c r="DT12" s="164">
        <f t="shared" si="8"/>
        <v>4699.8</v>
      </c>
      <c r="DU12" s="164">
        <f t="shared" si="9"/>
        <v>0</v>
      </c>
      <c r="DV12" s="164">
        <f t="shared" si="10"/>
        <v>0</v>
      </c>
      <c r="DW12" s="166"/>
      <c r="DX12" s="153" t="str">
        <f>VLOOKUP(C12,薪酬明细!A:A,1,0)</f>
        <v>开弈人力资源孙文丽</v>
      </c>
    </row>
    <row r="13" spans="1:129">
      <c r="A13" s="163" t="s">
        <v>60</v>
      </c>
      <c r="B13" s="163" t="s">
        <v>298</v>
      </c>
      <c r="C13" s="164" t="str">
        <f t="shared" si="0"/>
        <v>开弈人才徐峰</v>
      </c>
      <c r="D13" s="165">
        <v>46023</v>
      </c>
      <c r="E13" s="164">
        <v>1850.18</v>
      </c>
      <c r="F13" s="164">
        <v>1448.3</v>
      </c>
      <c r="G13" s="164">
        <v>0</v>
      </c>
      <c r="H13" s="164">
        <v>0</v>
      </c>
      <c r="I13" s="164">
        <v>0</v>
      </c>
      <c r="J13" s="164">
        <v>3000</v>
      </c>
      <c r="K13" s="164">
        <v>0</v>
      </c>
      <c r="L13" s="164">
        <f t="shared" si="1"/>
        <v>3000</v>
      </c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>
        <v>1850.18</v>
      </c>
      <c r="X13" s="164">
        <v>1448.3</v>
      </c>
      <c r="Y13" s="164">
        <v>0</v>
      </c>
      <c r="Z13" s="164">
        <v>0</v>
      </c>
      <c r="AA13" s="164">
        <v>0</v>
      </c>
      <c r="AB13" s="164">
        <v>3000</v>
      </c>
      <c r="AC13" s="164">
        <v>0</v>
      </c>
      <c r="AD13" s="164">
        <f t="shared" si="2"/>
        <v>3000</v>
      </c>
      <c r="AE13" s="164"/>
      <c r="AF13" s="164">
        <v>1850.18</v>
      </c>
      <c r="AG13" s="164">
        <v>1448.3</v>
      </c>
      <c r="AH13" s="164">
        <v>0</v>
      </c>
      <c r="AI13" s="164">
        <v>0</v>
      </c>
      <c r="AJ13" s="164">
        <v>0</v>
      </c>
      <c r="AK13" s="164">
        <v>3000</v>
      </c>
      <c r="AL13" s="164">
        <v>0</v>
      </c>
      <c r="AM13" s="164">
        <f t="shared" si="3"/>
        <v>3000</v>
      </c>
      <c r="AN13" s="164">
        <v>0</v>
      </c>
      <c r="AO13" s="164">
        <v>1928.66</v>
      </c>
      <c r="AP13" s="164">
        <v>1448.3</v>
      </c>
      <c r="AQ13" s="164">
        <v>0</v>
      </c>
      <c r="AR13" s="164">
        <v>0</v>
      </c>
      <c r="AS13" s="164">
        <v>0</v>
      </c>
      <c r="AT13" s="164">
        <v>3000</v>
      </c>
      <c r="AU13" s="164">
        <v>0</v>
      </c>
      <c r="AV13" s="164">
        <f t="shared" si="4"/>
        <v>3000</v>
      </c>
      <c r="AW13" s="164">
        <v>0</v>
      </c>
      <c r="AX13" s="164">
        <v>1928.66</v>
      </c>
      <c r="AY13" s="164">
        <v>1448.3</v>
      </c>
      <c r="AZ13" s="164">
        <v>0</v>
      </c>
      <c r="BA13" s="164">
        <v>0</v>
      </c>
      <c r="BB13" s="164">
        <v>0</v>
      </c>
      <c r="BC13" s="164">
        <v>3000</v>
      </c>
      <c r="BD13" s="164">
        <v>0</v>
      </c>
      <c r="BE13" s="164">
        <f t="shared" si="5"/>
        <v>3000</v>
      </c>
      <c r="BF13" s="164">
        <v>0</v>
      </c>
      <c r="BG13" s="164">
        <f>VLOOKUP(C13,薪酬明细!A:AC,29,0)</f>
        <v>1928.66</v>
      </c>
      <c r="BH13" s="164">
        <v>1448.3</v>
      </c>
      <c r="BI13" s="164">
        <v>0</v>
      </c>
      <c r="BJ13" s="164">
        <v>0</v>
      </c>
      <c r="BK13" s="164">
        <v>0</v>
      </c>
      <c r="BL13" s="164">
        <v>3000</v>
      </c>
      <c r="BM13" s="164">
        <v>0</v>
      </c>
      <c r="BN13" s="164">
        <f t="shared" si="6"/>
        <v>3000</v>
      </c>
      <c r="BO13" s="164"/>
      <c r="BP13" s="164"/>
      <c r="BQ13" s="164"/>
      <c r="BR13" s="164"/>
      <c r="BS13" s="164"/>
      <c r="BT13" s="164"/>
      <c r="BU13" s="164"/>
      <c r="BV13" s="164"/>
      <c r="BW13" s="164"/>
      <c r="BX13" s="164"/>
      <c r="BY13" s="164"/>
      <c r="BZ13" s="164"/>
      <c r="CA13" s="164"/>
      <c r="CB13" s="164"/>
      <c r="CC13" s="164"/>
      <c r="CD13" s="164"/>
      <c r="CE13" s="164"/>
      <c r="CF13" s="164"/>
      <c r="CG13" s="164"/>
      <c r="CH13" s="164"/>
      <c r="CI13" s="164"/>
      <c r="CJ13" s="164"/>
      <c r="CK13" s="164"/>
      <c r="CL13" s="164"/>
      <c r="CM13" s="164"/>
      <c r="CN13" s="164"/>
      <c r="CO13" s="164"/>
      <c r="CP13" s="164"/>
      <c r="CQ13" s="164"/>
      <c r="CR13" s="164"/>
      <c r="CS13" s="164"/>
      <c r="CT13" s="164"/>
      <c r="CU13" s="164"/>
      <c r="CV13" s="164"/>
      <c r="CW13" s="164"/>
      <c r="CX13" s="164"/>
      <c r="CY13" s="164"/>
      <c r="CZ13" s="164"/>
      <c r="DA13" s="164"/>
      <c r="DB13" s="164"/>
      <c r="DC13" s="164"/>
      <c r="DD13" s="164"/>
      <c r="DE13" s="164"/>
      <c r="DF13" s="164"/>
      <c r="DG13" s="164"/>
      <c r="DH13" s="164"/>
      <c r="DI13" s="164"/>
      <c r="DJ13" s="164"/>
      <c r="DK13" s="164"/>
      <c r="DL13" s="164"/>
      <c r="DM13" s="164"/>
      <c r="DN13" s="164"/>
      <c r="DO13" s="164"/>
      <c r="DP13" s="164"/>
      <c r="DQ13" s="164"/>
      <c r="DR13" s="163"/>
      <c r="DS13" s="164">
        <f t="shared" si="7"/>
        <v>11336.52</v>
      </c>
      <c r="DT13" s="164">
        <f t="shared" si="8"/>
        <v>8689.8</v>
      </c>
      <c r="DU13" s="164">
        <f t="shared" si="9"/>
        <v>18000</v>
      </c>
      <c r="DV13" s="164">
        <f t="shared" si="10"/>
        <v>0</v>
      </c>
      <c r="DW13" s="166"/>
      <c r="DX13" s="153" t="str">
        <f>VLOOKUP(C13,薪酬明细!A:A,1,0)</f>
        <v>开弈人才徐峰</v>
      </c>
    </row>
    <row r="14" spans="1:129">
      <c r="A14" s="163" t="s">
        <v>61</v>
      </c>
      <c r="B14" s="163" t="s">
        <v>286</v>
      </c>
      <c r="C14" s="164" t="str">
        <f t="shared" si="0"/>
        <v>开弈人力资源李晓晓</v>
      </c>
      <c r="D14" s="165">
        <v>46023</v>
      </c>
      <c r="E14" s="164">
        <v>3523.3</v>
      </c>
      <c r="F14" s="164">
        <v>783.3</v>
      </c>
      <c r="G14" s="164">
        <v>0</v>
      </c>
      <c r="H14" s="164">
        <v>0</v>
      </c>
      <c r="I14" s="164">
        <v>0</v>
      </c>
      <c r="J14" s="164">
        <v>0</v>
      </c>
      <c r="K14" s="164">
        <v>0</v>
      </c>
      <c r="L14" s="164">
        <f t="shared" si="1"/>
        <v>0</v>
      </c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>
        <v>3523.3</v>
      </c>
      <c r="X14" s="164">
        <v>783.3</v>
      </c>
      <c r="Y14" s="164">
        <v>0</v>
      </c>
      <c r="Z14" s="164">
        <v>0</v>
      </c>
      <c r="AA14" s="164">
        <v>0</v>
      </c>
      <c r="AB14" s="164">
        <v>0</v>
      </c>
      <c r="AC14" s="164">
        <v>0</v>
      </c>
      <c r="AD14" s="164">
        <f t="shared" si="2"/>
        <v>0</v>
      </c>
      <c r="AE14" s="164"/>
      <c r="AF14" s="164">
        <v>3523.3</v>
      </c>
      <c r="AG14" s="164">
        <v>783.3</v>
      </c>
      <c r="AH14" s="164">
        <v>0</v>
      </c>
      <c r="AI14" s="164">
        <v>0</v>
      </c>
      <c r="AJ14" s="164">
        <v>0</v>
      </c>
      <c r="AK14" s="164">
        <v>0</v>
      </c>
      <c r="AL14" s="164">
        <v>0</v>
      </c>
      <c r="AM14" s="164">
        <f t="shared" si="3"/>
        <v>0</v>
      </c>
      <c r="AN14" s="164">
        <v>0</v>
      </c>
      <c r="AO14" s="164">
        <v>3523.3</v>
      </c>
      <c r="AP14" s="164">
        <v>783.3</v>
      </c>
      <c r="AQ14" s="164">
        <v>0</v>
      </c>
      <c r="AR14" s="164">
        <v>0</v>
      </c>
      <c r="AS14" s="164">
        <v>0</v>
      </c>
      <c r="AT14" s="164">
        <v>0</v>
      </c>
      <c r="AU14" s="164">
        <v>0</v>
      </c>
      <c r="AV14" s="164">
        <f t="shared" si="4"/>
        <v>0</v>
      </c>
      <c r="AW14" s="164">
        <v>0</v>
      </c>
      <c r="AX14" s="164">
        <v>3523.3</v>
      </c>
      <c r="AY14" s="164">
        <v>783.3</v>
      </c>
      <c r="AZ14" s="164">
        <v>0</v>
      </c>
      <c r="BA14" s="164">
        <v>0</v>
      </c>
      <c r="BB14" s="164">
        <v>0</v>
      </c>
      <c r="BC14" s="164">
        <v>0</v>
      </c>
      <c r="BD14" s="164">
        <v>0</v>
      </c>
      <c r="BE14" s="164">
        <f t="shared" si="5"/>
        <v>0</v>
      </c>
      <c r="BF14" s="164">
        <v>0</v>
      </c>
      <c r="BG14" s="164">
        <f>VLOOKUP(C14,薪酬明细!A:AC,29,0)</f>
        <v>3523.3</v>
      </c>
      <c r="BH14" s="164">
        <v>783.3</v>
      </c>
      <c r="BI14" s="164">
        <v>0</v>
      </c>
      <c r="BJ14" s="164">
        <v>0</v>
      </c>
      <c r="BK14" s="164">
        <v>0</v>
      </c>
      <c r="BL14" s="164">
        <v>0</v>
      </c>
      <c r="BM14" s="164">
        <v>0</v>
      </c>
      <c r="BN14" s="164">
        <f t="shared" si="6"/>
        <v>0</v>
      </c>
      <c r="BO14" s="164"/>
      <c r="BP14" s="164"/>
      <c r="BQ14" s="164"/>
      <c r="BR14" s="164"/>
      <c r="BS14" s="164"/>
      <c r="BT14" s="164"/>
      <c r="BU14" s="164"/>
      <c r="BV14" s="164"/>
      <c r="BW14" s="164"/>
      <c r="BX14" s="164"/>
      <c r="BY14" s="164"/>
      <c r="BZ14" s="164"/>
      <c r="CA14" s="164"/>
      <c r="CB14" s="164"/>
      <c r="CC14" s="164"/>
      <c r="CD14" s="164"/>
      <c r="CE14" s="164"/>
      <c r="CF14" s="164"/>
      <c r="CG14" s="164"/>
      <c r="CH14" s="164"/>
      <c r="CI14" s="164"/>
      <c r="CJ14" s="164"/>
      <c r="CK14" s="164"/>
      <c r="CL14" s="164"/>
      <c r="CM14" s="164"/>
      <c r="CN14" s="164"/>
      <c r="CO14" s="164"/>
      <c r="CP14" s="164"/>
      <c r="CQ14" s="164"/>
      <c r="CR14" s="164"/>
      <c r="CS14" s="164"/>
      <c r="CT14" s="164"/>
      <c r="CU14" s="164"/>
      <c r="CV14" s="164"/>
      <c r="CW14" s="164"/>
      <c r="CX14" s="164"/>
      <c r="CY14" s="164"/>
      <c r="CZ14" s="164"/>
      <c r="DA14" s="164"/>
      <c r="DB14" s="164"/>
      <c r="DC14" s="164"/>
      <c r="DD14" s="164"/>
      <c r="DE14" s="164"/>
      <c r="DF14" s="164"/>
      <c r="DG14" s="164"/>
      <c r="DH14" s="164"/>
      <c r="DI14" s="164"/>
      <c r="DJ14" s="164"/>
      <c r="DK14" s="164"/>
      <c r="DL14" s="164"/>
      <c r="DM14" s="164"/>
      <c r="DN14" s="164"/>
      <c r="DO14" s="164"/>
      <c r="DP14" s="164"/>
      <c r="DQ14" s="164"/>
      <c r="DR14" s="163"/>
      <c r="DS14" s="164">
        <f t="shared" si="7"/>
        <v>21139.8</v>
      </c>
      <c r="DT14" s="164">
        <f t="shared" si="8"/>
        <v>4699.8</v>
      </c>
      <c r="DU14" s="164">
        <f t="shared" si="9"/>
        <v>0</v>
      </c>
      <c r="DV14" s="164">
        <f t="shared" si="10"/>
        <v>0</v>
      </c>
      <c r="DW14" s="166"/>
      <c r="DX14" s="153" t="str">
        <f>VLOOKUP(C14,薪酬明细!A:A,1,0)</f>
        <v>开弈人力资源李晓晓</v>
      </c>
    </row>
    <row r="15" spans="1:129">
      <c r="A15" s="163" t="s">
        <v>60</v>
      </c>
      <c r="B15" s="163" t="s">
        <v>294</v>
      </c>
      <c r="C15" s="164" t="str">
        <f t="shared" si="0"/>
        <v>开弈人才谢宁</v>
      </c>
      <c r="D15" s="165">
        <v>46023</v>
      </c>
      <c r="E15" s="164">
        <v>3523.3</v>
      </c>
      <c r="F15" s="164">
        <v>783.3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4">
        <f t="shared" si="1"/>
        <v>0</v>
      </c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>
        <v>3523.3</v>
      </c>
      <c r="X15" s="164">
        <v>783.3</v>
      </c>
      <c r="Y15" s="164">
        <v>0</v>
      </c>
      <c r="Z15" s="164">
        <v>0</v>
      </c>
      <c r="AA15" s="164">
        <v>0</v>
      </c>
      <c r="AB15" s="164">
        <v>0</v>
      </c>
      <c r="AC15" s="164">
        <v>0</v>
      </c>
      <c r="AD15" s="164">
        <f t="shared" si="2"/>
        <v>0</v>
      </c>
      <c r="AE15" s="164"/>
      <c r="AF15" s="164">
        <v>3523.3</v>
      </c>
      <c r="AG15" s="164">
        <v>783.3</v>
      </c>
      <c r="AH15" s="164">
        <v>0</v>
      </c>
      <c r="AI15" s="164">
        <v>0</v>
      </c>
      <c r="AJ15" s="164">
        <v>0</v>
      </c>
      <c r="AK15" s="164">
        <v>0</v>
      </c>
      <c r="AL15" s="164">
        <v>0</v>
      </c>
      <c r="AM15" s="164">
        <f t="shared" si="3"/>
        <v>0</v>
      </c>
      <c r="AN15" s="164">
        <v>0</v>
      </c>
      <c r="AO15" s="164">
        <v>3523.3</v>
      </c>
      <c r="AP15" s="164">
        <v>783.3</v>
      </c>
      <c r="AQ15" s="164">
        <v>0</v>
      </c>
      <c r="AR15" s="164">
        <v>0</v>
      </c>
      <c r="AS15" s="164">
        <v>0</v>
      </c>
      <c r="AT15" s="164">
        <v>0</v>
      </c>
      <c r="AU15" s="164">
        <v>0</v>
      </c>
      <c r="AV15" s="164">
        <f t="shared" si="4"/>
        <v>0</v>
      </c>
      <c r="AW15" s="164">
        <v>0</v>
      </c>
      <c r="AX15" s="164">
        <v>3523.3</v>
      </c>
      <c r="AY15" s="164">
        <v>783.3</v>
      </c>
      <c r="AZ15" s="164">
        <v>0</v>
      </c>
      <c r="BA15" s="164">
        <v>0</v>
      </c>
      <c r="BB15" s="164">
        <v>0</v>
      </c>
      <c r="BC15" s="164">
        <v>0</v>
      </c>
      <c r="BD15" s="164">
        <v>0</v>
      </c>
      <c r="BE15" s="164">
        <f t="shared" si="5"/>
        <v>0</v>
      </c>
      <c r="BF15" s="164">
        <v>0</v>
      </c>
      <c r="BG15" s="164">
        <f>VLOOKUP(C15,薪酬明细!A:AC,29,0)</f>
        <v>3523.3</v>
      </c>
      <c r="BH15" s="164">
        <v>783.3</v>
      </c>
      <c r="BI15" s="164">
        <v>0</v>
      </c>
      <c r="BJ15" s="164">
        <v>0</v>
      </c>
      <c r="BK15" s="164">
        <v>0</v>
      </c>
      <c r="BL15" s="164">
        <v>0</v>
      </c>
      <c r="BM15" s="164">
        <v>0</v>
      </c>
      <c r="BN15" s="164">
        <f t="shared" si="6"/>
        <v>0</v>
      </c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64"/>
      <c r="CG15" s="164"/>
      <c r="CH15" s="164"/>
      <c r="CI15" s="164"/>
      <c r="CJ15" s="164"/>
      <c r="CK15" s="164"/>
      <c r="CL15" s="164"/>
      <c r="CM15" s="164"/>
      <c r="CN15" s="164"/>
      <c r="CO15" s="164"/>
      <c r="CP15" s="164"/>
      <c r="CQ15" s="164"/>
      <c r="CR15" s="164"/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164"/>
      <c r="DD15" s="164"/>
      <c r="DE15" s="164"/>
      <c r="DF15" s="164"/>
      <c r="DG15" s="164"/>
      <c r="DH15" s="164"/>
      <c r="DI15" s="164"/>
      <c r="DJ15" s="164"/>
      <c r="DK15" s="164"/>
      <c r="DL15" s="164"/>
      <c r="DM15" s="164"/>
      <c r="DN15" s="164"/>
      <c r="DO15" s="164"/>
      <c r="DP15" s="164"/>
      <c r="DQ15" s="164"/>
      <c r="DR15" s="163"/>
      <c r="DS15" s="164">
        <f t="shared" si="7"/>
        <v>21139.8</v>
      </c>
      <c r="DT15" s="164">
        <f t="shared" si="8"/>
        <v>4699.8</v>
      </c>
      <c r="DU15" s="164">
        <f t="shared" si="9"/>
        <v>0</v>
      </c>
      <c r="DV15" s="164">
        <f t="shared" si="10"/>
        <v>0</v>
      </c>
      <c r="DW15" s="166"/>
      <c r="DX15" s="153" t="str">
        <f>VLOOKUP(C15,薪酬明细!A:A,1,0)</f>
        <v>开弈人才谢宁</v>
      </c>
    </row>
    <row r="16" spans="1:129">
      <c r="A16" s="163" t="s">
        <v>61</v>
      </c>
      <c r="B16" s="163" t="s">
        <v>290</v>
      </c>
      <c r="C16" s="164" t="str">
        <f t="shared" si="0"/>
        <v>开弈人力资源施宏宇</v>
      </c>
      <c r="D16" s="165">
        <v>46023</v>
      </c>
      <c r="E16" s="164">
        <v>3711.3</v>
      </c>
      <c r="F16" s="164">
        <v>971.3</v>
      </c>
      <c r="G16" s="164">
        <v>0</v>
      </c>
      <c r="H16" s="164">
        <v>0</v>
      </c>
      <c r="I16" s="164">
        <v>0</v>
      </c>
      <c r="J16" s="164">
        <v>0</v>
      </c>
      <c r="K16" s="164">
        <v>0</v>
      </c>
      <c r="L16" s="164">
        <f t="shared" si="1"/>
        <v>0</v>
      </c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>
        <v>3711.3</v>
      </c>
      <c r="X16" s="164">
        <v>971.3</v>
      </c>
      <c r="Y16" s="164">
        <v>0</v>
      </c>
      <c r="Z16" s="164">
        <v>0</v>
      </c>
      <c r="AA16" s="164">
        <v>0</v>
      </c>
      <c r="AB16" s="164">
        <v>0</v>
      </c>
      <c r="AC16" s="164">
        <v>0</v>
      </c>
      <c r="AD16" s="164">
        <f t="shared" si="2"/>
        <v>0</v>
      </c>
      <c r="AE16" s="164"/>
      <c r="AF16" s="164">
        <v>3711.3</v>
      </c>
      <c r="AG16" s="164">
        <v>971.3</v>
      </c>
      <c r="AH16" s="164">
        <v>0</v>
      </c>
      <c r="AI16" s="164">
        <v>0</v>
      </c>
      <c r="AJ16" s="164">
        <v>0</v>
      </c>
      <c r="AK16" s="164">
        <v>0</v>
      </c>
      <c r="AL16" s="164">
        <v>0</v>
      </c>
      <c r="AM16" s="164">
        <f t="shared" si="3"/>
        <v>0</v>
      </c>
      <c r="AN16" s="164">
        <v>0</v>
      </c>
      <c r="AO16" s="164">
        <v>3711.3</v>
      </c>
      <c r="AP16" s="164">
        <v>971.3</v>
      </c>
      <c r="AQ16" s="164">
        <v>0</v>
      </c>
      <c r="AR16" s="164">
        <v>0</v>
      </c>
      <c r="AS16" s="164">
        <v>0</v>
      </c>
      <c r="AT16" s="164">
        <v>0</v>
      </c>
      <c r="AU16" s="164">
        <v>0</v>
      </c>
      <c r="AV16" s="164">
        <f t="shared" si="4"/>
        <v>0</v>
      </c>
      <c r="AW16" s="164">
        <v>0</v>
      </c>
      <c r="AX16" s="164">
        <v>3711.3</v>
      </c>
      <c r="AY16" s="164">
        <v>971.3</v>
      </c>
      <c r="AZ16" s="164">
        <v>0</v>
      </c>
      <c r="BA16" s="164">
        <v>0</v>
      </c>
      <c r="BB16" s="164">
        <v>0</v>
      </c>
      <c r="BC16" s="164">
        <v>0</v>
      </c>
      <c r="BD16" s="164">
        <v>0</v>
      </c>
      <c r="BE16" s="164">
        <f t="shared" si="5"/>
        <v>0</v>
      </c>
      <c r="BF16" s="164">
        <v>0</v>
      </c>
      <c r="BG16" s="164">
        <f>VLOOKUP(C16,薪酬明细!A:AC,29,0)</f>
        <v>3711.3</v>
      </c>
      <c r="BH16" s="164">
        <v>971.3</v>
      </c>
      <c r="BI16" s="164">
        <v>0</v>
      </c>
      <c r="BJ16" s="164">
        <v>0</v>
      </c>
      <c r="BK16" s="164">
        <v>0</v>
      </c>
      <c r="BL16" s="164">
        <v>0</v>
      </c>
      <c r="BM16" s="164">
        <v>0</v>
      </c>
      <c r="BN16" s="164">
        <f t="shared" si="6"/>
        <v>0</v>
      </c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4"/>
      <c r="CD16" s="164"/>
      <c r="CE16" s="164"/>
      <c r="CF16" s="164"/>
      <c r="CG16" s="164"/>
      <c r="CH16" s="164"/>
      <c r="CI16" s="164"/>
      <c r="CJ16" s="164"/>
      <c r="CK16" s="164"/>
      <c r="CL16" s="164"/>
      <c r="CM16" s="164"/>
      <c r="CN16" s="164"/>
      <c r="CO16" s="164"/>
      <c r="CP16" s="164"/>
      <c r="CQ16" s="164"/>
      <c r="CR16" s="164"/>
      <c r="CS16" s="164"/>
      <c r="CT16" s="164"/>
      <c r="CU16" s="164"/>
      <c r="CV16" s="164"/>
      <c r="CW16" s="164"/>
      <c r="CX16" s="164"/>
      <c r="CY16" s="164"/>
      <c r="CZ16" s="164"/>
      <c r="DA16" s="164"/>
      <c r="DB16" s="164"/>
      <c r="DC16" s="164"/>
      <c r="DD16" s="164"/>
      <c r="DE16" s="164"/>
      <c r="DF16" s="164"/>
      <c r="DG16" s="164"/>
      <c r="DH16" s="164"/>
      <c r="DI16" s="164"/>
      <c r="DJ16" s="164"/>
      <c r="DK16" s="164"/>
      <c r="DL16" s="164"/>
      <c r="DM16" s="164"/>
      <c r="DN16" s="164"/>
      <c r="DO16" s="164"/>
      <c r="DP16" s="164"/>
      <c r="DQ16" s="164"/>
      <c r="DR16" s="163"/>
      <c r="DS16" s="164">
        <f t="shared" si="7"/>
        <v>22267.8</v>
      </c>
      <c r="DT16" s="164">
        <f t="shared" si="8"/>
        <v>5827.8</v>
      </c>
      <c r="DU16" s="164">
        <f t="shared" si="9"/>
        <v>0</v>
      </c>
      <c r="DV16" s="164">
        <f t="shared" si="10"/>
        <v>0</v>
      </c>
      <c r="DW16" s="166"/>
      <c r="DX16" s="153" t="str">
        <f>VLOOKUP(C16,薪酬明细!A:A,1,0)</f>
        <v>开弈人力资源施宏宇</v>
      </c>
    </row>
    <row r="17" spans="1:128">
      <c r="A17" s="163" t="s">
        <v>61</v>
      </c>
      <c r="B17" s="163" t="s">
        <v>330</v>
      </c>
      <c r="C17" s="164" t="str">
        <f t="shared" si="0"/>
        <v>开弈人力资源沈丽霞</v>
      </c>
      <c r="D17" s="165">
        <v>46023</v>
      </c>
      <c r="E17" s="164">
        <v>12072.85</v>
      </c>
      <c r="F17" s="164">
        <v>1669.3</v>
      </c>
      <c r="G17" s="164">
        <v>2000</v>
      </c>
      <c r="H17" s="164">
        <v>0</v>
      </c>
      <c r="I17" s="164">
        <v>0</v>
      </c>
      <c r="J17" s="164">
        <v>3000</v>
      </c>
      <c r="K17" s="164">
        <v>0</v>
      </c>
      <c r="L17" s="164">
        <f t="shared" si="1"/>
        <v>5000</v>
      </c>
      <c r="M17" s="164">
        <v>12.11</v>
      </c>
      <c r="N17" s="164"/>
      <c r="O17" s="164"/>
      <c r="P17" s="164"/>
      <c r="Q17" s="164"/>
      <c r="R17" s="164"/>
      <c r="S17" s="164"/>
      <c r="T17" s="164"/>
      <c r="U17" s="164"/>
      <c r="V17" s="164"/>
      <c r="W17" s="164">
        <v>11168.65</v>
      </c>
      <c r="X17" s="164">
        <v>1669.3</v>
      </c>
      <c r="Y17" s="164">
        <v>2000</v>
      </c>
      <c r="Z17" s="164">
        <v>0</v>
      </c>
      <c r="AA17" s="164">
        <v>0</v>
      </c>
      <c r="AB17" s="164">
        <v>3000</v>
      </c>
      <c r="AC17" s="164">
        <v>0</v>
      </c>
      <c r="AD17" s="164">
        <f t="shared" si="2"/>
        <v>5000</v>
      </c>
      <c r="AE17" s="164"/>
      <c r="AF17" s="164">
        <v>12072.85</v>
      </c>
      <c r="AG17" s="164">
        <v>1669.3</v>
      </c>
      <c r="AH17" s="164">
        <v>2000</v>
      </c>
      <c r="AI17" s="164">
        <v>0</v>
      </c>
      <c r="AJ17" s="164">
        <v>0</v>
      </c>
      <c r="AK17" s="164">
        <v>3000</v>
      </c>
      <c r="AL17" s="164">
        <v>0</v>
      </c>
      <c r="AM17" s="164">
        <f t="shared" si="3"/>
        <v>5000</v>
      </c>
      <c r="AN17" s="164">
        <v>0</v>
      </c>
      <c r="AO17" s="164">
        <v>12105.4</v>
      </c>
      <c r="AP17" s="164">
        <v>1669.3</v>
      </c>
      <c r="AQ17" s="164">
        <v>2000</v>
      </c>
      <c r="AR17" s="164">
        <v>0</v>
      </c>
      <c r="AS17" s="164">
        <v>0</v>
      </c>
      <c r="AT17" s="164">
        <v>3000</v>
      </c>
      <c r="AU17" s="164">
        <v>0</v>
      </c>
      <c r="AV17" s="164">
        <f t="shared" si="4"/>
        <v>5000</v>
      </c>
      <c r="AW17" s="164">
        <v>10.17</v>
      </c>
      <c r="AX17" s="164">
        <v>21649.94</v>
      </c>
      <c r="AY17" s="164">
        <v>1669.3</v>
      </c>
      <c r="AZ17" s="164">
        <v>2000</v>
      </c>
      <c r="BA17" s="164">
        <v>0</v>
      </c>
      <c r="BB17" s="164">
        <v>0</v>
      </c>
      <c r="BC17" s="164">
        <v>3000</v>
      </c>
      <c r="BD17" s="164">
        <v>0</v>
      </c>
      <c r="BE17" s="164">
        <f t="shared" si="5"/>
        <v>5000</v>
      </c>
      <c r="BF17" s="164">
        <v>299.42</v>
      </c>
      <c r="BG17" s="164">
        <f>VLOOKUP(C17,薪酬明细!A:AC,29,0)</f>
        <v>12105.4</v>
      </c>
      <c r="BH17" s="164">
        <v>1669.3</v>
      </c>
      <c r="BI17" s="164">
        <v>2000</v>
      </c>
      <c r="BJ17" s="164">
        <v>0</v>
      </c>
      <c r="BK17" s="164">
        <v>0</v>
      </c>
      <c r="BL17" s="164">
        <v>3000</v>
      </c>
      <c r="BM17" s="164">
        <v>0</v>
      </c>
      <c r="BN17" s="164">
        <f t="shared" si="6"/>
        <v>5000</v>
      </c>
      <c r="BO17" s="164"/>
      <c r="BP17" s="164"/>
      <c r="BQ17" s="164"/>
      <c r="BR17" s="164"/>
      <c r="BS17" s="164"/>
      <c r="BT17" s="164"/>
      <c r="BU17" s="164"/>
      <c r="BV17" s="164"/>
      <c r="BW17" s="164"/>
      <c r="BX17" s="164"/>
      <c r="BY17" s="164"/>
      <c r="BZ17" s="164"/>
      <c r="CA17" s="164"/>
      <c r="CB17" s="164"/>
      <c r="CC17" s="164"/>
      <c r="CD17" s="164"/>
      <c r="CE17" s="164"/>
      <c r="CF17" s="164"/>
      <c r="CG17" s="164"/>
      <c r="CH17" s="164"/>
      <c r="CI17" s="164"/>
      <c r="CJ17" s="164"/>
      <c r="CK17" s="164"/>
      <c r="CL17" s="164"/>
      <c r="CM17" s="164"/>
      <c r="CN17" s="164"/>
      <c r="CO17" s="164"/>
      <c r="CP17" s="164"/>
      <c r="CQ17" s="164"/>
      <c r="CR17" s="164"/>
      <c r="CS17" s="164"/>
      <c r="CT17" s="164"/>
      <c r="CU17" s="164"/>
      <c r="CV17" s="164"/>
      <c r="CW17" s="164"/>
      <c r="CX17" s="164"/>
      <c r="CY17" s="164"/>
      <c r="CZ17" s="164"/>
      <c r="DA17" s="164"/>
      <c r="DB17" s="164"/>
      <c r="DC17" s="164"/>
      <c r="DD17" s="164"/>
      <c r="DE17" s="164"/>
      <c r="DF17" s="164"/>
      <c r="DG17" s="164"/>
      <c r="DH17" s="164"/>
      <c r="DI17" s="164"/>
      <c r="DJ17" s="164"/>
      <c r="DK17" s="164"/>
      <c r="DL17" s="164"/>
      <c r="DM17" s="164"/>
      <c r="DN17" s="164"/>
      <c r="DO17" s="164"/>
      <c r="DP17" s="164"/>
      <c r="DQ17" s="164"/>
      <c r="DR17" s="163"/>
      <c r="DS17" s="164">
        <f t="shared" si="7"/>
        <v>81175.09</v>
      </c>
      <c r="DT17" s="164">
        <f t="shared" si="8"/>
        <v>10015.8</v>
      </c>
      <c r="DU17" s="164">
        <f t="shared" si="9"/>
        <v>30000</v>
      </c>
      <c r="DV17" s="164">
        <f t="shared" si="10"/>
        <v>321.7</v>
      </c>
      <c r="DW17" s="166"/>
      <c r="DX17" s="153" t="str">
        <f>VLOOKUP(C17,薪酬明细!A:A,1,0)</f>
        <v>开弈人力资源沈丽霞</v>
      </c>
    </row>
    <row r="18" spans="1:128">
      <c r="A18" s="163" t="s">
        <v>61</v>
      </c>
      <c r="B18" s="163" t="s">
        <v>262</v>
      </c>
      <c r="C18" s="164" t="str">
        <f t="shared" si="0"/>
        <v>开弈人力资源葛豪平</v>
      </c>
      <c r="D18" s="165">
        <v>46023</v>
      </c>
      <c r="E18" s="164">
        <v>15413.85</v>
      </c>
      <c r="F18" s="164">
        <v>2250</v>
      </c>
      <c r="G18" s="164">
        <v>0</v>
      </c>
      <c r="H18" s="164">
        <v>0</v>
      </c>
      <c r="I18" s="164">
        <v>0</v>
      </c>
      <c r="J18" s="164">
        <v>0</v>
      </c>
      <c r="K18" s="164">
        <v>0</v>
      </c>
      <c r="L18" s="164">
        <f t="shared" si="1"/>
        <v>0</v>
      </c>
      <c r="M18" s="164">
        <v>244.92</v>
      </c>
      <c r="N18" s="164"/>
      <c r="O18" s="164"/>
      <c r="P18" s="164"/>
      <c r="Q18" s="164"/>
      <c r="R18" s="164"/>
      <c r="S18" s="164"/>
      <c r="T18" s="164"/>
      <c r="U18" s="164"/>
      <c r="V18" s="164"/>
      <c r="W18" s="164">
        <v>14180.85</v>
      </c>
      <c r="X18" s="164">
        <v>2250</v>
      </c>
      <c r="Y18" s="164">
        <v>0</v>
      </c>
      <c r="Z18" s="164">
        <v>0</v>
      </c>
      <c r="AA18" s="164">
        <v>0</v>
      </c>
      <c r="AB18" s="164">
        <v>0</v>
      </c>
      <c r="AC18" s="164">
        <v>0</v>
      </c>
      <c r="AD18" s="164">
        <f t="shared" si="2"/>
        <v>0</v>
      </c>
      <c r="AE18" s="164">
        <v>207.92</v>
      </c>
      <c r="AF18" s="164">
        <v>15413.85</v>
      </c>
      <c r="AG18" s="164">
        <v>2250</v>
      </c>
      <c r="AH18" s="164">
        <v>0</v>
      </c>
      <c r="AI18" s="164">
        <v>0</v>
      </c>
      <c r="AJ18" s="164">
        <v>0</v>
      </c>
      <c r="AK18" s="164">
        <v>0</v>
      </c>
      <c r="AL18" s="164">
        <v>0</v>
      </c>
      <c r="AM18" s="164">
        <f t="shared" si="3"/>
        <v>0</v>
      </c>
      <c r="AN18" s="164">
        <v>244.92</v>
      </c>
      <c r="AO18" s="164">
        <v>15446.4</v>
      </c>
      <c r="AP18" s="164">
        <v>2250</v>
      </c>
      <c r="AQ18" s="164">
        <v>0</v>
      </c>
      <c r="AR18" s="164">
        <v>0</v>
      </c>
      <c r="AS18" s="164">
        <v>0</v>
      </c>
      <c r="AT18" s="164">
        <v>0</v>
      </c>
      <c r="AU18" s="164">
        <v>0</v>
      </c>
      <c r="AV18" s="164">
        <f t="shared" si="4"/>
        <v>0</v>
      </c>
      <c r="AW18" s="164">
        <v>245.89</v>
      </c>
      <c r="AX18" s="164">
        <v>30247</v>
      </c>
      <c r="AY18" s="164">
        <v>2250</v>
      </c>
      <c r="AZ18" s="164">
        <v>0</v>
      </c>
      <c r="BA18" s="164">
        <v>0</v>
      </c>
      <c r="BB18" s="164">
        <v>0</v>
      </c>
      <c r="BC18" s="164">
        <v>0</v>
      </c>
      <c r="BD18" s="164">
        <v>0</v>
      </c>
      <c r="BE18" s="164">
        <f t="shared" si="5"/>
        <v>0</v>
      </c>
      <c r="BF18" s="164">
        <v>1981.55</v>
      </c>
      <c r="BG18" s="164">
        <f>VLOOKUP(C18,薪酬明细!A:AC,29,0)</f>
        <v>15446.4</v>
      </c>
      <c r="BH18" s="164">
        <v>2250</v>
      </c>
      <c r="BI18" s="164">
        <v>0</v>
      </c>
      <c r="BJ18" s="164">
        <v>0</v>
      </c>
      <c r="BK18" s="164">
        <v>0</v>
      </c>
      <c r="BL18" s="164">
        <v>0</v>
      </c>
      <c r="BM18" s="164">
        <v>0</v>
      </c>
      <c r="BN18" s="164">
        <f t="shared" si="6"/>
        <v>0</v>
      </c>
      <c r="BO18" s="164"/>
      <c r="BP18" s="164"/>
      <c r="BQ18" s="164"/>
      <c r="BR18" s="164"/>
      <c r="BS18" s="164"/>
      <c r="BT18" s="164"/>
      <c r="BU18" s="164"/>
      <c r="BV18" s="164"/>
      <c r="BW18" s="164"/>
      <c r="BX18" s="164"/>
      <c r="BY18" s="164"/>
      <c r="BZ18" s="164"/>
      <c r="CA18" s="164"/>
      <c r="CB18" s="164"/>
      <c r="CC18" s="164"/>
      <c r="CD18" s="164"/>
      <c r="CE18" s="164"/>
      <c r="CF18" s="164"/>
      <c r="CG18" s="164"/>
      <c r="CH18" s="164"/>
      <c r="CI18" s="164"/>
      <c r="CJ18" s="164"/>
      <c r="CK18" s="164"/>
      <c r="CL18" s="164"/>
      <c r="CM18" s="164"/>
      <c r="CN18" s="164"/>
      <c r="CO18" s="164"/>
      <c r="CP18" s="164"/>
      <c r="CQ18" s="164"/>
      <c r="CR18" s="164"/>
      <c r="CS18" s="164"/>
      <c r="CT18" s="164"/>
      <c r="CU18" s="164"/>
      <c r="CV18" s="164"/>
      <c r="CW18" s="164"/>
      <c r="CX18" s="164"/>
      <c r="CY18" s="164"/>
      <c r="CZ18" s="164"/>
      <c r="DA18" s="164"/>
      <c r="DB18" s="164"/>
      <c r="DC18" s="164"/>
      <c r="DD18" s="164"/>
      <c r="DE18" s="164"/>
      <c r="DF18" s="164"/>
      <c r="DG18" s="164"/>
      <c r="DH18" s="164"/>
      <c r="DI18" s="164"/>
      <c r="DJ18" s="164"/>
      <c r="DK18" s="164"/>
      <c r="DL18" s="164"/>
      <c r="DM18" s="164"/>
      <c r="DN18" s="164"/>
      <c r="DO18" s="164"/>
      <c r="DP18" s="164"/>
      <c r="DQ18" s="164"/>
      <c r="DR18" s="163"/>
      <c r="DS18" s="164">
        <f t="shared" si="7"/>
        <v>106148.35</v>
      </c>
      <c r="DT18" s="164">
        <f t="shared" si="8"/>
        <v>13500</v>
      </c>
      <c r="DU18" s="164">
        <f t="shared" si="9"/>
        <v>0</v>
      </c>
      <c r="DV18" s="164">
        <f t="shared" si="10"/>
        <v>2925.2</v>
      </c>
      <c r="DW18" s="166"/>
      <c r="DX18" s="153" t="str">
        <f>VLOOKUP(C18,薪酬明细!A:A,1,0)</f>
        <v>开弈人力资源葛豪平</v>
      </c>
    </row>
    <row r="19" spans="1:128">
      <c r="A19" s="163" t="s">
        <v>61</v>
      </c>
      <c r="B19" s="163" t="s">
        <v>307</v>
      </c>
      <c r="C19" s="164" t="str">
        <f t="shared" si="0"/>
        <v>开弈人力资源侯心怡</v>
      </c>
      <c r="D19" s="165">
        <v>46023</v>
      </c>
      <c r="E19" s="164">
        <v>10144.85</v>
      </c>
      <c r="F19" s="164">
        <v>1300.3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64">
        <f t="shared" si="1"/>
        <v>0</v>
      </c>
      <c r="M19" s="164">
        <v>115.34</v>
      </c>
      <c r="N19" s="164"/>
      <c r="O19" s="164"/>
      <c r="P19" s="164"/>
      <c r="Q19" s="164"/>
      <c r="R19" s="164"/>
      <c r="S19" s="164"/>
      <c r="T19" s="164"/>
      <c r="U19" s="164"/>
      <c r="V19" s="164"/>
      <c r="W19" s="164">
        <v>9322.85</v>
      </c>
      <c r="X19" s="164">
        <v>1300.3</v>
      </c>
      <c r="Y19" s="164">
        <v>0</v>
      </c>
      <c r="Z19" s="164">
        <v>0</v>
      </c>
      <c r="AA19" s="164">
        <v>0</v>
      </c>
      <c r="AB19" s="164">
        <v>0</v>
      </c>
      <c r="AC19" s="164">
        <v>0</v>
      </c>
      <c r="AD19" s="164">
        <f t="shared" si="2"/>
        <v>0</v>
      </c>
      <c r="AE19" s="164">
        <v>90.67</v>
      </c>
      <c r="AF19" s="164">
        <v>10144.85</v>
      </c>
      <c r="AG19" s="164">
        <v>1300.3</v>
      </c>
      <c r="AH19" s="164">
        <v>0</v>
      </c>
      <c r="AI19" s="164">
        <v>0</v>
      </c>
      <c r="AJ19" s="164">
        <v>0</v>
      </c>
      <c r="AK19" s="164">
        <v>0</v>
      </c>
      <c r="AL19" s="164">
        <v>0</v>
      </c>
      <c r="AM19" s="164">
        <f t="shared" si="3"/>
        <v>0</v>
      </c>
      <c r="AN19" s="164">
        <v>115.34</v>
      </c>
      <c r="AO19" s="164">
        <v>10155.8</v>
      </c>
      <c r="AP19" s="164">
        <v>1300.3</v>
      </c>
      <c r="AQ19" s="164">
        <v>0</v>
      </c>
      <c r="AR19" s="164">
        <v>0</v>
      </c>
      <c r="AS19" s="164">
        <v>0</v>
      </c>
      <c r="AT19" s="164">
        <v>0</v>
      </c>
      <c r="AU19" s="164">
        <v>0</v>
      </c>
      <c r="AV19" s="164">
        <f t="shared" si="4"/>
        <v>0</v>
      </c>
      <c r="AW19" s="164">
        <v>115.66</v>
      </c>
      <c r="AX19" s="164">
        <v>13395.83</v>
      </c>
      <c r="AY19" s="164">
        <v>1300.3</v>
      </c>
      <c r="AZ19" s="164">
        <v>0</v>
      </c>
      <c r="BA19" s="164">
        <v>0</v>
      </c>
      <c r="BB19" s="164">
        <v>0</v>
      </c>
      <c r="BC19" s="164">
        <v>0</v>
      </c>
      <c r="BD19" s="164">
        <v>0</v>
      </c>
      <c r="BE19" s="164">
        <f t="shared" si="5"/>
        <v>0</v>
      </c>
      <c r="BF19" s="164">
        <v>212.87</v>
      </c>
      <c r="BG19" s="164">
        <f>VLOOKUP(C19,薪酬明细!A:AC,29,0)</f>
        <v>10155.8</v>
      </c>
      <c r="BH19" s="164">
        <v>1300.3</v>
      </c>
      <c r="BI19" s="164">
        <v>0</v>
      </c>
      <c r="BJ19" s="164">
        <v>0</v>
      </c>
      <c r="BK19" s="164">
        <v>0</v>
      </c>
      <c r="BL19" s="164">
        <v>0</v>
      </c>
      <c r="BM19" s="164">
        <v>0</v>
      </c>
      <c r="BN19" s="164">
        <f t="shared" si="6"/>
        <v>0</v>
      </c>
      <c r="BO19" s="164"/>
      <c r="BP19" s="164"/>
      <c r="BQ19" s="164"/>
      <c r="BR19" s="164"/>
      <c r="BS19" s="164"/>
      <c r="BT19" s="164"/>
      <c r="BU19" s="164"/>
      <c r="BV19" s="164"/>
      <c r="BW19" s="164"/>
      <c r="BX19" s="164"/>
      <c r="BY19" s="164"/>
      <c r="BZ19" s="164"/>
      <c r="CA19" s="164"/>
      <c r="CB19" s="164"/>
      <c r="CC19" s="164"/>
      <c r="CD19" s="164"/>
      <c r="CE19" s="164"/>
      <c r="CF19" s="164"/>
      <c r="CG19" s="164"/>
      <c r="CH19" s="164"/>
      <c r="CI19" s="164"/>
      <c r="CJ19" s="164"/>
      <c r="CK19" s="164"/>
      <c r="CL19" s="164"/>
      <c r="CM19" s="164"/>
      <c r="CN19" s="164"/>
      <c r="CO19" s="164"/>
      <c r="CP19" s="164"/>
      <c r="CQ19" s="164"/>
      <c r="CR19" s="164"/>
      <c r="CS19" s="164"/>
      <c r="CT19" s="164"/>
      <c r="CU19" s="164"/>
      <c r="CV19" s="164"/>
      <c r="CW19" s="164"/>
      <c r="CX19" s="164"/>
      <c r="CY19" s="164"/>
      <c r="CZ19" s="164"/>
      <c r="DA19" s="164"/>
      <c r="DB19" s="164"/>
      <c r="DC19" s="164"/>
      <c r="DD19" s="164"/>
      <c r="DE19" s="164"/>
      <c r="DF19" s="164"/>
      <c r="DG19" s="164"/>
      <c r="DH19" s="164"/>
      <c r="DI19" s="164"/>
      <c r="DJ19" s="164"/>
      <c r="DK19" s="164"/>
      <c r="DL19" s="164"/>
      <c r="DM19" s="164"/>
      <c r="DN19" s="164"/>
      <c r="DO19" s="164"/>
      <c r="DP19" s="164"/>
      <c r="DQ19" s="164"/>
      <c r="DR19" s="163"/>
      <c r="DS19" s="164">
        <f t="shared" si="7"/>
        <v>63319.98</v>
      </c>
      <c r="DT19" s="164">
        <f t="shared" si="8"/>
        <v>7801.8</v>
      </c>
      <c r="DU19" s="164">
        <f t="shared" si="9"/>
        <v>0</v>
      </c>
      <c r="DV19" s="164">
        <f t="shared" si="10"/>
        <v>649.88</v>
      </c>
      <c r="DW19" s="166"/>
      <c r="DX19" s="153" t="str">
        <f>VLOOKUP(C19,薪酬明细!A:A,1,0)</f>
        <v>开弈人力资源侯心怡</v>
      </c>
    </row>
    <row r="20" spans="1:128">
      <c r="A20" s="163" t="s">
        <v>61</v>
      </c>
      <c r="B20" s="163" t="s">
        <v>284</v>
      </c>
      <c r="C20" s="164" t="str">
        <f t="shared" si="0"/>
        <v>开弈人力资源陶桔林</v>
      </c>
      <c r="D20" s="165">
        <v>46023</v>
      </c>
      <c r="E20" s="164">
        <v>3711.3</v>
      </c>
      <c r="F20" s="164">
        <v>971.3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f t="shared" si="1"/>
        <v>0</v>
      </c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>
        <v>3711.3</v>
      </c>
      <c r="X20" s="164">
        <v>971.3</v>
      </c>
      <c r="Y20" s="164">
        <v>0</v>
      </c>
      <c r="Z20" s="164">
        <v>0</v>
      </c>
      <c r="AA20" s="164">
        <v>0</v>
      </c>
      <c r="AB20" s="164">
        <v>0</v>
      </c>
      <c r="AC20" s="164">
        <v>0</v>
      </c>
      <c r="AD20" s="164">
        <f t="shared" si="2"/>
        <v>0</v>
      </c>
      <c r="AE20" s="164"/>
      <c r="AF20" s="164">
        <v>3711.3</v>
      </c>
      <c r="AG20" s="164">
        <v>971.3</v>
      </c>
      <c r="AH20" s="164">
        <v>0</v>
      </c>
      <c r="AI20" s="164">
        <v>0</v>
      </c>
      <c r="AJ20" s="164">
        <v>0</v>
      </c>
      <c r="AK20" s="164">
        <v>0</v>
      </c>
      <c r="AL20" s="164">
        <v>0</v>
      </c>
      <c r="AM20" s="164">
        <f t="shared" si="3"/>
        <v>0</v>
      </c>
      <c r="AN20" s="164">
        <v>0</v>
      </c>
      <c r="AO20" s="164">
        <v>3711.3</v>
      </c>
      <c r="AP20" s="164">
        <v>971.3</v>
      </c>
      <c r="AQ20" s="164">
        <v>0</v>
      </c>
      <c r="AR20" s="164">
        <v>0</v>
      </c>
      <c r="AS20" s="164">
        <v>0</v>
      </c>
      <c r="AT20" s="164">
        <v>0</v>
      </c>
      <c r="AU20" s="164">
        <v>0</v>
      </c>
      <c r="AV20" s="164">
        <f t="shared" si="4"/>
        <v>0</v>
      </c>
      <c r="AW20" s="164">
        <v>0</v>
      </c>
      <c r="AX20" s="164">
        <v>3711.3</v>
      </c>
      <c r="AY20" s="164">
        <v>971.3</v>
      </c>
      <c r="AZ20" s="164">
        <v>0</v>
      </c>
      <c r="BA20" s="164">
        <v>0</v>
      </c>
      <c r="BB20" s="164">
        <v>0</v>
      </c>
      <c r="BC20" s="164">
        <v>0</v>
      </c>
      <c r="BD20" s="164">
        <v>0</v>
      </c>
      <c r="BE20" s="164">
        <f t="shared" si="5"/>
        <v>0</v>
      </c>
      <c r="BF20" s="164">
        <v>0</v>
      </c>
      <c r="BG20" s="164">
        <f>VLOOKUP(C20,薪酬明细!A:AC,29,0)</f>
        <v>3711.3</v>
      </c>
      <c r="BH20" s="164">
        <v>971.3</v>
      </c>
      <c r="BI20" s="164">
        <v>0</v>
      </c>
      <c r="BJ20" s="164">
        <v>0</v>
      </c>
      <c r="BK20" s="164">
        <v>0</v>
      </c>
      <c r="BL20" s="164">
        <v>0</v>
      </c>
      <c r="BM20" s="164">
        <v>0</v>
      </c>
      <c r="BN20" s="164">
        <f t="shared" si="6"/>
        <v>0</v>
      </c>
      <c r="BO20" s="164"/>
      <c r="BP20" s="164"/>
      <c r="BQ20" s="164"/>
      <c r="BR20" s="164"/>
      <c r="BS20" s="164"/>
      <c r="BT20" s="164"/>
      <c r="BU20" s="164"/>
      <c r="BV20" s="164"/>
      <c r="BW20" s="164"/>
      <c r="BX20" s="164"/>
      <c r="BY20" s="164"/>
      <c r="BZ20" s="164"/>
      <c r="CA20" s="164"/>
      <c r="CB20" s="164"/>
      <c r="CC20" s="164"/>
      <c r="CD20" s="164"/>
      <c r="CE20" s="164"/>
      <c r="CF20" s="164"/>
      <c r="CG20" s="164"/>
      <c r="CH20" s="164"/>
      <c r="CI20" s="164"/>
      <c r="CJ20" s="164"/>
      <c r="CK20" s="164"/>
      <c r="CL20" s="164"/>
      <c r="CM20" s="164"/>
      <c r="CN20" s="164"/>
      <c r="CO20" s="164"/>
      <c r="CP20" s="164"/>
      <c r="CQ20" s="164"/>
      <c r="CR20" s="164"/>
      <c r="CS20" s="164"/>
      <c r="CT20" s="164"/>
      <c r="CU20" s="164"/>
      <c r="CV20" s="164"/>
      <c r="CW20" s="164"/>
      <c r="CX20" s="164"/>
      <c r="CY20" s="164"/>
      <c r="CZ20" s="164"/>
      <c r="DA20" s="164"/>
      <c r="DB20" s="164"/>
      <c r="DC20" s="164"/>
      <c r="DD20" s="164"/>
      <c r="DE20" s="164"/>
      <c r="DF20" s="164"/>
      <c r="DG20" s="164"/>
      <c r="DH20" s="164"/>
      <c r="DI20" s="164"/>
      <c r="DJ20" s="164"/>
      <c r="DK20" s="164"/>
      <c r="DL20" s="164"/>
      <c r="DM20" s="164"/>
      <c r="DN20" s="164"/>
      <c r="DO20" s="164"/>
      <c r="DP20" s="164"/>
      <c r="DQ20" s="164"/>
      <c r="DR20" s="163"/>
      <c r="DS20" s="164">
        <f t="shared" si="7"/>
        <v>22267.8</v>
      </c>
      <c r="DT20" s="164">
        <f t="shared" si="8"/>
        <v>5827.8</v>
      </c>
      <c r="DU20" s="164">
        <f t="shared" si="9"/>
        <v>0</v>
      </c>
      <c r="DV20" s="164">
        <f t="shared" si="10"/>
        <v>0</v>
      </c>
      <c r="DW20" s="166"/>
      <c r="DX20" s="153" t="str">
        <f>VLOOKUP(C20,薪酬明细!A:A,1,0)</f>
        <v>开弈人力资源陶桔林</v>
      </c>
    </row>
    <row r="21" spans="1:128">
      <c r="A21" s="163" t="s">
        <v>61</v>
      </c>
      <c r="B21" s="163" t="s">
        <v>288</v>
      </c>
      <c r="C21" s="164" t="str">
        <f t="shared" si="0"/>
        <v>开弈人力资源闫秀文</v>
      </c>
      <c r="D21" s="165">
        <v>46023</v>
      </c>
      <c r="E21" s="164">
        <v>3523.3</v>
      </c>
      <c r="F21" s="164">
        <v>783.3</v>
      </c>
      <c r="G21" s="164">
        <v>0</v>
      </c>
      <c r="H21" s="164">
        <v>0</v>
      </c>
      <c r="I21" s="164">
        <v>0</v>
      </c>
      <c r="J21" s="164">
        <v>0</v>
      </c>
      <c r="K21" s="164">
        <v>0</v>
      </c>
      <c r="L21" s="164">
        <f t="shared" si="1"/>
        <v>0</v>
      </c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>
        <v>3523.3</v>
      </c>
      <c r="X21" s="164">
        <v>783.3</v>
      </c>
      <c r="Y21" s="164">
        <v>0</v>
      </c>
      <c r="Z21" s="164">
        <v>0</v>
      </c>
      <c r="AA21" s="164">
        <v>0</v>
      </c>
      <c r="AB21" s="164">
        <v>0</v>
      </c>
      <c r="AC21" s="164">
        <v>0</v>
      </c>
      <c r="AD21" s="164">
        <f t="shared" si="2"/>
        <v>0</v>
      </c>
      <c r="AE21" s="164"/>
      <c r="AF21" s="164">
        <v>3523.3</v>
      </c>
      <c r="AG21" s="164">
        <v>783.3</v>
      </c>
      <c r="AH21" s="164">
        <v>0</v>
      </c>
      <c r="AI21" s="164">
        <v>0</v>
      </c>
      <c r="AJ21" s="164">
        <v>0</v>
      </c>
      <c r="AK21" s="164">
        <v>0</v>
      </c>
      <c r="AL21" s="164">
        <v>0</v>
      </c>
      <c r="AM21" s="164">
        <f t="shared" si="3"/>
        <v>0</v>
      </c>
      <c r="AN21" s="164">
        <v>0</v>
      </c>
      <c r="AO21" s="164">
        <v>3523.3</v>
      </c>
      <c r="AP21" s="164">
        <v>783.3</v>
      </c>
      <c r="AQ21" s="164">
        <v>0</v>
      </c>
      <c r="AR21" s="164">
        <v>0</v>
      </c>
      <c r="AS21" s="164">
        <v>0</v>
      </c>
      <c r="AT21" s="164">
        <v>0</v>
      </c>
      <c r="AU21" s="164">
        <v>0</v>
      </c>
      <c r="AV21" s="164">
        <f t="shared" si="4"/>
        <v>0</v>
      </c>
      <c r="AW21" s="164">
        <v>0</v>
      </c>
      <c r="AX21" s="164">
        <v>3523.3</v>
      </c>
      <c r="AY21" s="164">
        <v>783.3</v>
      </c>
      <c r="AZ21" s="164">
        <v>0</v>
      </c>
      <c r="BA21" s="164">
        <v>0</v>
      </c>
      <c r="BB21" s="164">
        <v>0</v>
      </c>
      <c r="BC21" s="164">
        <v>0</v>
      </c>
      <c r="BD21" s="164">
        <v>0</v>
      </c>
      <c r="BE21" s="164">
        <f t="shared" si="5"/>
        <v>0</v>
      </c>
      <c r="BF21" s="164">
        <v>0</v>
      </c>
      <c r="BG21" s="164">
        <f>VLOOKUP(C21,薪酬明细!A:AC,29,0)</f>
        <v>3523.3</v>
      </c>
      <c r="BH21" s="164">
        <v>783.3</v>
      </c>
      <c r="BI21" s="164">
        <v>0</v>
      </c>
      <c r="BJ21" s="164">
        <v>0</v>
      </c>
      <c r="BK21" s="164">
        <v>0</v>
      </c>
      <c r="BL21" s="164">
        <v>0</v>
      </c>
      <c r="BM21" s="164">
        <v>0</v>
      </c>
      <c r="BN21" s="164">
        <f t="shared" si="6"/>
        <v>0</v>
      </c>
      <c r="BO21" s="164"/>
      <c r="BP21" s="164"/>
      <c r="BQ21" s="164"/>
      <c r="BR21" s="164"/>
      <c r="BS21" s="164"/>
      <c r="BT21" s="164"/>
      <c r="BU21" s="164"/>
      <c r="BV21" s="164"/>
      <c r="BW21" s="164"/>
      <c r="BX21" s="164"/>
      <c r="BY21" s="164"/>
      <c r="BZ21" s="164"/>
      <c r="CA21" s="164"/>
      <c r="CB21" s="164"/>
      <c r="CC21" s="164"/>
      <c r="CD21" s="164"/>
      <c r="CE21" s="164"/>
      <c r="CF21" s="164"/>
      <c r="CG21" s="164"/>
      <c r="CH21" s="164"/>
      <c r="CI21" s="164"/>
      <c r="CJ21" s="164"/>
      <c r="CK21" s="164"/>
      <c r="CL21" s="164"/>
      <c r="CM21" s="164"/>
      <c r="CN21" s="164"/>
      <c r="CO21" s="164"/>
      <c r="CP21" s="164"/>
      <c r="CQ21" s="164"/>
      <c r="CR21" s="164"/>
      <c r="CS21" s="164"/>
      <c r="CT21" s="164"/>
      <c r="CU21" s="164"/>
      <c r="CV21" s="164"/>
      <c r="CW21" s="164"/>
      <c r="CX21" s="164"/>
      <c r="CY21" s="164"/>
      <c r="CZ21" s="164"/>
      <c r="DA21" s="164"/>
      <c r="DB21" s="164"/>
      <c r="DC21" s="164"/>
      <c r="DD21" s="164"/>
      <c r="DE21" s="164"/>
      <c r="DF21" s="164"/>
      <c r="DG21" s="164"/>
      <c r="DH21" s="164"/>
      <c r="DI21" s="164"/>
      <c r="DJ21" s="164"/>
      <c r="DK21" s="164"/>
      <c r="DL21" s="164"/>
      <c r="DM21" s="164"/>
      <c r="DN21" s="164"/>
      <c r="DO21" s="164"/>
      <c r="DP21" s="164"/>
      <c r="DQ21" s="164"/>
      <c r="DR21" s="163"/>
      <c r="DS21" s="164">
        <f t="shared" si="7"/>
        <v>21139.8</v>
      </c>
      <c r="DT21" s="164">
        <f t="shared" si="8"/>
        <v>4699.8</v>
      </c>
      <c r="DU21" s="164">
        <f t="shared" si="9"/>
        <v>0</v>
      </c>
      <c r="DV21" s="164">
        <f t="shared" si="10"/>
        <v>0</v>
      </c>
      <c r="DW21" s="166"/>
      <c r="DX21" s="153" t="str">
        <f>VLOOKUP(C21,薪酬明细!A:A,1,0)</f>
        <v>开弈人力资源闫秀文</v>
      </c>
    </row>
    <row r="22" spans="1:128">
      <c r="A22" s="163" t="s">
        <v>61</v>
      </c>
      <c r="B22" s="163" t="s">
        <v>328</v>
      </c>
      <c r="C22" s="164" t="str">
        <f t="shared" si="0"/>
        <v>开弈人力资源姜启志</v>
      </c>
      <c r="D22" s="165">
        <v>46023</v>
      </c>
      <c r="E22" s="164">
        <v>3523.3</v>
      </c>
      <c r="F22" s="164">
        <v>783.3</v>
      </c>
      <c r="G22" s="164">
        <v>0</v>
      </c>
      <c r="H22" s="164">
        <v>0</v>
      </c>
      <c r="I22" s="164">
        <v>0</v>
      </c>
      <c r="J22" s="164">
        <v>0</v>
      </c>
      <c r="K22" s="164">
        <v>0</v>
      </c>
      <c r="L22" s="164">
        <f t="shared" si="1"/>
        <v>0</v>
      </c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>
        <v>3523.3</v>
      </c>
      <c r="X22" s="164">
        <v>783.3</v>
      </c>
      <c r="Y22" s="164">
        <v>0</v>
      </c>
      <c r="Z22" s="164">
        <v>0</v>
      </c>
      <c r="AA22" s="164">
        <v>0</v>
      </c>
      <c r="AB22" s="164">
        <v>0</v>
      </c>
      <c r="AC22" s="164">
        <v>0</v>
      </c>
      <c r="AD22" s="164">
        <f t="shared" si="2"/>
        <v>0</v>
      </c>
      <c r="AE22" s="164"/>
      <c r="AF22" s="164">
        <v>3523.3</v>
      </c>
      <c r="AG22" s="164">
        <v>783.3</v>
      </c>
      <c r="AH22" s="164">
        <v>0</v>
      </c>
      <c r="AI22" s="164">
        <v>0</v>
      </c>
      <c r="AJ22" s="164">
        <v>0</v>
      </c>
      <c r="AK22" s="164">
        <v>0</v>
      </c>
      <c r="AL22" s="164">
        <v>0</v>
      </c>
      <c r="AM22" s="164">
        <f t="shared" si="3"/>
        <v>0</v>
      </c>
      <c r="AN22" s="164">
        <v>0</v>
      </c>
      <c r="AO22" s="164">
        <v>3523.3</v>
      </c>
      <c r="AP22" s="164">
        <v>783.3</v>
      </c>
      <c r="AQ22" s="164">
        <v>0</v>
      </c>
      <c r="AR22" s="164">
        <v>0</v>
      </c>
      <c r="AS22" s="164">
        <v>0</v>
      </c>
      <c r="AT22" s="164">
        <v>0</v>
      </c>
      <c r="AU22" s="164">
        <v>0</v>
      </c>
      <c r="AV22" s="164">
        <f t="shared" si="4"/>
        <v>0</v>
      </c>
      <c r="AW22" s="164">
        <v>0</v>
      </c>
      <c r="AX22" s="164">
        <v>3523.3</v>
      </c>
      <c r="AY22" s="164">
        <v>783.3</v>
      </c>
      <c r="AZ22" s="164">
        <v>0</v>
      </c>
      <c r="BA22" s="164">
        <v>0</v>
      </c>
      <c r="BB22" s="164">
        <v>0</v>
      </c>
      <c r="BC22" s="164">
        <v>0</v>
      </c>
      <c r="BD22" s="164">
        <v>0</v>
      </c>
      <c r="BE22" s="164">
        <f t="shared" si="5"/>
        <v>0</v>
      </c>
      <c r="BF22" s="164">
        <v>0</v>
      </c>
      <c r="BG22" s="164">
        <f>VLOOKUP(C22,薪酬明细!A:AC,29,0)</f>
        <v>3523.3</v>
      </c>
      <c r="BH22" s="164">
        <v>783.3</v>
      </c>
      <c r="BI22" s="164">
        <v>0</v>
      </c>
      <c r="BJ22" s="164">
        <v>0</v>
      </c>
      <c r="BK22" s="164">
        <v>0</v>
      </c>
      <c r="BL22" s="164">
        <v>0</v>
      </c>
      <c r="BM22" s="164">
        <v>0</v>
      </c>
      <c r="BN22" s="164">
        <f t="shared" si="6"/>
        <v>0</v>
      </c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4"/>
      <c r="CD22" s="164"/>
      <c r="CE22" s="164"/>
      <c r="CF22" s="164"/>
      <c r="CG22" s="164"/>
      <c r="CH22" s="164"/>
      <c r="CI22" s="164"/>
      <c r="CJ22" s="164"/>
      <c r="CK22" s="164"/>
      <c r="CL22" s="164"/>
      <c r="CM22" s="164"/>
      <c r="CN22" s="164"/>
      <c r="CO22" s="164"/>
      <c r="CP22" s="164"/>
      <c r="CQ22" s="164"/>
      <c r="CR22" s="164"/>
      <c r="CS22" s="164"/>
      <c r="CT22" s="164"/>
      <c r="CU22" s="164"/>
      <c r="CV22" s="164"/>
      <c r="CW22" s="164"/>
      <c r="CX22" s="164"/>
      <c r="CY22" s="164"/>
      <c r="CZ22" s="164"/>
      <c r="DA22" s="164"/>
      <c r="DB22" s="164"/>
      <c r="DC22" s="164"/>
      <c r="DD22" s="164"/>
      <c r="DE22" s="164"/>
      <c r="DF22" s="164"/>
      <c r="DG22" s="164"/>
      <c r="DH22" s="164"/>
      <c r="DI22" s="164"/>
      <c r="DJ22" s="164"/>
      <c r="DK22" s="164"/>
      <c r="DL22" s="164"/>
      <c r="DM22" s="164"/>
      <c r="DN22" s="164"/>
      <c r="DO22" s="164"/>
      <c r="DP22" s="164"/>
      <c r="DQ22" s="164"/>
      <c r="DR22" s="163"/>
      <c r="DS22" s="164">
        <f t="shared" si="7"/>
        <v>21139.8</v>
      </c>
      <c r="DT22" s="164">
        <f t="shared" si="8"/>
        <v>4699.8</v>
      </c>
      <c r="DU22" s="164">
        <f t="shared" si="9"/>
        <v>0</v>
      </c>
      <c r="DV22" s="164">
        <f t="shared" si="10"/>
        <v>0</v>
      </c>
      <c r="DW22" s="166"/>
      <c r="DX22" s="153" t="str">
        <f>VLOOKUP(C22,薪酬明细!A:A,1,0)</f>
        <v>开弈人力资源姜启志</v>
      </c>
    </row>
    <row r="23" spans="1:128">
      <c r="A23" s="163" t="s">
        <v>61</v>
      </c>
      <c r="B23" s="163" t="s">
        <v>335</v>
      </c>
      <c r="C23" s="164" t="str">
        <f t="shared" si="0"/>
        <v>开弈人力资源徐丽红</v>
      </c>
      <c r="D23" s="165">
        <v>46023</v>
      </c>
      <c r="E23" s="164">
        <v>3523.3</v>
      </c>
      <c r="F23" s="164">
        <v>783.3</v>
      </c>
      <c r="G23" s="164">
        <v>0</v>
      </c>
      <c r="H23" s="164">
        <v>0</v>
      </c>
      <c r="I23" s="164">
        <v>0</v>
      </c>
      <c r="J23" s="164">
        <v>0</v>
      </c>
      <c r="K23" s="164">
        <v>0</v>
      </c>
      <c r="L23" s="164">
        <f t="shared" si="1"/>
        <v>0</v>
      </c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>
        <v>3523.3</v>
      </c>
      <c r="X23" s="164">
        <v>783.3</v>
      </c>
      <c r="Y23" s="164">
        <v>0</v>
      </c>
      <c r="Z23" s="164">
        <v>0</v>
      </c>
      <c r="AA23" s="164">
        <v>0</v>
      </c>
      <c r="AB23" s="164">
        <v>0</v>
      </c>
      <c r="AC23" s="164">
        <v>0</v>
      </c>
      <c r="AD23" s="164">
        <f t="shared" si="2"/>
        <v>0</v>
      </c>
      <c r="AE23" s="164"/>
      <c r="AF23" s="164">
        <v>3523.3</v>
      </c>
      <c r="AG23" s="164">
        <v>783.3</v>
      </c>
      <c r="AH23" s="164">
        <v>0</v>
      </c>
      <c r="AI23" s="164">
        <v>0</v>
      </c>
      <c r="AJ23" s="164">
        <v>0</v>
      </c>
      <c r="AK23" s="164">
        <v>0</v>
      </c>
      <c r="AL23" s="164">
        <v>0</v>
      </c>
      <c r="AM23" s="164">
        <f t="shared" si="3"/>
        <v>0</v>
      </c>
      <c r="AN23" s="164">
        <v>0</v>
      </c>
      <c r="AO23" s="164">
        <v>3523.3</v>
      </c>
      <c r="AP23" s="164">
        <v>783.3</v>
      </c>
      <c r="AQ23" s="164">
        <v>0</v>
      </c>
      <c r="AR23" s="164">
        <v>0</v>
      </c>
      <c r="AS23" s="164">
        <v>0</v>
      </c>
      <c r="AT23" s="164">
        <v>0</v>
      </c>
      <c r="AU23" s="164">
        <v>0</v>
      </c>
      <c r="AV23" s="164">
        <f t="shared" si="4"/>
        <v>0</v>
      </c>
      <c r="AW23" s="164">
        <v>0</v>
      </c>
      <c r="AX23" s="164">
        <v>3523.3</v>
      </c>
      <c r="AY23" s="164">
        <v>783.3</v>
      </c>
      <c r="AZ23" s="164">
        <v>0</v>
      </c>
      <c r="BA23" s="164">
        <v>0</v>
      </c>
      <c r="BB23" s="164">
        <v>0</v>
      </c>
      <c r="BC23" s="164">
        <v>0</v>
      </c>
      <c r="BD23" s="164">
        <v>0</v>
      </c>
      <c r="BE23" s="164">
        <f t="shared" si="5"/>
        <v>0</v>
      </c>
      <c r="BF23" s="164">
        <v>0</v>
      </c>
      <c r="BG23" s="164">
        <f>VLOOKUP(C23,薪酬明细!A:AC,29,0)</f>
        <v>3523.3</v>
      </c>
      <c r="BH23" s="164">
        <v>783.3</v>
      </c>
      <c r="BI23" s="164">
        <v>0</v>
      </c>
      <c r="BJ23" s="164">
        <v>0</v>
      </c>
      <c r="BK23" s="164">
        <v>0</v>
      </c>
      <c r="BL23" s="164">
        <v>0</v>
      </c>
      <c r="BM23" s="164">
        <v>0</v>
      </c>
      <c r="BN23" s="164">
        <f t="shared" si="6"/>
        <v>0</v>
      </c>
      <c r="BO23" s="164"/>
      <c r="BP23" s="164"/>
      <c r="BQ23" s="164"/>
      <c r="BR23" s="164"/>
      <c r="BS23" s="164"/>
      <c r="BT23" s="164"/>
      <c r="BU23" s="164"/>
      <c r="BV23" s="164"/>
      <c r="BW23" s="164"/>
      <c r="BX23" s="164"/>
      <c r="BY23" s="164"/>
      <c r="BZ23" s="164"/>
      <c r="CA23" s="164"/>
      <c r="CB23" s="164"/>
      <c r="CC23" s="164"/>
      <c r="CD23" s="164"/>
      <c r="CE23" s="164"/>
      <c r="CF23" s="164"/>
      <c r="CG23" s="164"/>
      <c r="CH23" s="164"/>
      <c r="CI23" s="164"/>
      <c r="CJ23" s="164"/>
      <c r="CK23" s="164"/>
      <c r="CL23" s="164"/>
      <c r="CM23" s="164"/>
      <c r="CN23" s="164"/>
      <c r="CO23" s="164"/>
      <c r="CP23" s="164"/>
      <c r="CQ23" s="164"/>
      <c r="CR23" s="164"/>
      <c r="CS23" s="164"/>
      <c r="CT23" s="164"/>
      <c r="CU23" s="164"/>
      <c r="CV23" s="164"/>
      <c r="CW23" s="164"/>
      <c r="CX23" s="164"/>
      <c r="CY23" s="164"/>
      <c r="CZ23" s="164"/>
      <c r="DA23" s="164"/>
      <c r="DB23" s="164"/>
      <c r="DC23" s="164"/>
      <c r="DD23" s="164"/>
      <c r="DE23" s="164"/>
      <c r="DF23" s="164"/>
      <c r="DG23" s="164"/>
      <c r="DH23" s="164"/>
      <c r="DI23" s="164"/>
      <c r="DJ23" s="164"/>
      <c r="DK23" s="164"/>
      <c r="DL23" s="164"/>
      <c r="DM23" s="164"/>
      <c r="DN23" s="164"/>
      <c r="DO23" s="164"/>
      <c r="DP23" s="164"/>
      <c r="DQ23" s="164"/>
      <c r="DR23" s="163"/>
      <c r="DS23" s="164">
        <f t="shared" si="7"/>
        <v>21139.8</v>
      </c>
      <c r="DT23" s="164">
        <f t="shared" si="8"/>
        <v>4699.8</v>
      </c>
      <c r="DU23" s="164">
        <f t="shared" si="9"/>
        <v>0</v>
      </c>
      <c r="DV23" s="164">
        <f t="shared" si="10"/>
        <v>0</v>
      </c>
      <c r="DW23" s="166"/>
      <c r="DX23" s="153" t="str">
        <f>VLOOKUP(C23,薪酬明细!A:A,1,0)</f>
        <v>开弈人力资源徐丽红</v>
      </c>
    </row>
    <row r="24" spans="1:128">
      <c r="A24" s="163" t="s">
        <v>61</v>
      </c>
      <c r="B24" s="163" t="s">
        <v>312</v>
      </c>
      <c r="C24" s="164" t="str">
        <f t="shared" si="0"/>
        <v>开弈人力资源肖宝仙</v>
      </c>
      <c r="D24" s="165">
        <v>46023</v>
      </c>
      <c r="E24" s="164">
        <v>10000</v>
      </c>
      <c r="F24" s="164">
        <v>0</v>
      </c>
      <c r="G24" s="164">
        <v>0</v>
      </c>
      <c r="H24" s="164">
        <v>0</v>
      </c>
      <c r="I24" s="164">
        <v>0</v>
      </c>
      <c r="J24" s="164">
        <v>0</v>
      </c>
      <c r="K24" s="164">
        <v>0</v>
      </c>
      <c r="L24" s="164">
        <f t="shared" si="1"/>
        <v>0</v>
      </c>
      <c r="M24" s="164">
        <v>150</v>
      </c>
      <c r="N24" s="164"/>
      <c r="O24" s="164"/>
      <c r="P24" s="164"/>
      <c r="Q24" s="164"/>
      <c r="R24" s="164"/>
      <c r="S24" s="164"/>
      <c r="T24" s="164"/>
      <c r="U24" s="164"/>
      <c r="V24" s="164"/>
      <c r="W24" s="164">
        <v>9178</v>
      </c>
      <c r="X24" s="164">
        <v>0</v>
      </c>
      <c r="Y24" s="164">
        <v>0</v>
      </c>
      <c r="Z24" s="164">
        <v>0</v>
      </c>
      <c r="AA24" s="164">
        <v>0</v>
      </c>
      <c r="AB24" s="164">
        <v>0</v>
      </c>
      <c r="AC24" s="164">
        <v>0</v>
      </c>
      <c r="AD24" s="164">
        <f t="shared" si="2"/>
        <v>0</v>
      </c>
      <c r="AE24" s="164">
        <v>125.34</v>
      </c>
      <c r="AF24" s="164">
        <v>9151</v>
      </c>
      <c r="AG24" s="164">
        <v>0</v>
      </c>
      <c r="AH24" s="164">
        <v>0</v>
      </c>
      <c r="AI24" s="164">
        <v>0</v>
      </c>
      <c r="AJ24" s="164">
        <v>0</v>
      </c>
      <c r="AK24" s="164">
        <v>0</v>
      </c>
      <c r="AL24" s="164">
        <v>0</v>
      </c>
      <c r="AM24" s="164">
        <f t="shared" si="3"/>
        <v>0</v>
      </c>
      <c r="AN24" s="164">
        <v>124.53</v>
      </c>
      <c r="AO24" s="164">
        <v>10000</v>
      </c>
      <c r="AP24" s="164">
        <v>0</v>
      </c>
      <c r="AQ24" s="164">
        <v>0</v>
      </c>
      <c r="AR24" s="164">
        <v>0</v>
      </c>
      <c r="AS24" s="164">
        <v>0</v>
      </c>
      <c r="AT24" s="164">
        <v>0</v>
      </c>
      <c r="AU24" s="164">
        <v>0</v>
      </c>
      <c r="AV24" s="164">
        <f t="shared" si="4"/>
        <v>0</v>
      </c>
      <c r="AW24" s="164">
        <v>150</v>
      </c>
      <c r="AX24" s="164">
        <v>10000</v>
      </c>
      <c r="AY24" s="164">
        <v>0</v>
      </c>
      <c r="AZ24" s="164">
        <v>0</v>
      </c>
      <c r="BA24" s="164">
        <v>0</v>
      </c>
      <c r="BB24" s="164">
        <v>0</v>
      </c>
      <c r="BC24" s="164">
        <v>0</v>
      </c>
      <c r="BD24" s="164">
        <v>0</v>
      </c>
      <c r="BE24" s="164">
        <f t="shared" si="5"/>
        <v>0</v>
      </c>
      <c r="BF24" s="164">
        <v>150</v>
      </c>
      <c r="BG24" s="164">
        <f>VLOOKUP(C24,薪酬明细!A:AC,29,0)</f>
        <v>10000</v>
      </c>
      <c r="BH24" s="164">
        <v>0</v>
      </c>
      <c r="BI24" s="164">
        <v>0</v>
      </c>
      <c r="BJ24" s="164">
        <v>0</v>
      </c>
      <c r="BK24" s="164">
        <v>0</v>
      </c>
      <c r="BL24" s="164">
        <v>0</v>
      </c>
      <c r="BM24" s="164">
        <v>0</v>
      </c>
      <c r="BN24" s="164">
        <f t="shared" si="6"/>
        <v>0</v>
      </c>
      <c r="BO24" s="164"/>
      <c r="BP24" s="164"/>
      <c r="BQ24" s="164"/>
      <c r="BR24" s="164"/>
      <c r="BS24" s="164"/>
      <c r="BT24" s="164"/>
      <c r="BU24" s="164"/>
      <c r="BV24" s="164"/>
      <c r="BW24" s="164"/>
      <c r="BX24" s="164"/>
      <c r="BY24" s="164"/>
      <c r="BZ24" s="164"/>
      <c r="CA24" s="164"/>
      <c r="CB24" s="164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3"/>
      <c r="DS24" s="164">
        <f t="shared" si="7"/>
        <v>58329</v>
      </c>
      <c r="DT24" s="164">
        <f t="shared" si="8"/>
        <v>0</v>
      </c>
      <c r="DU24" s="164">
        <f t="shared" si="9"/>
        <v>0</v>
      </c>
      <c r="DV24" s="164">
        <f t="shared" si="10"/>
        <v>699.87</v>
      </c>
      <c r="DW24" s="166"/>
      <c r="DX24" s="153" t="str">
        <f>VLOOKUP(C24,薪酬明细!A:A,1,0)</f>
        <v>开弈人力资源肖宝仙</v>
      </c>
    </row>
    <row r="25" spans="1:128">
      <c r="A25" s="163" t="s">
        <v>61</v>
      </c>
      <c r="B25" s="163" t="s">
        <v>326</v>
      </c>
      <c r="C25" s="164" t="str">
        <f t="shared" si="0"/>
        <v>开弈人力资源裘碧钰</v>
      </c>
      <c r="D25" s="165">
        <v>46023</v>
      </c>
      <c r="E25" s="164">
        <v>10144.85</v>
      </c>
      <c r="F25" s="164">
        <v>1300.3</v>
      </c>
      <c r="G25" s="164">
        <v>0</v>
      </c>
      <c r="H25" s="164">
        <v>0</v>
      </c>
      <c r="I25" s="164">
        <v>1500</v>
      </c>
      <c r="J25" s="164">
        <v>3000</v>
      </c>
      <c r="K25" s="164">
        <v>0</v>
      </c>
      <c r="L25" s="164">
        <f t="shared" si="1"/>
        <v>4500</v>
      </c>
      <c r="M25" s="164">
        <v>70.34</v>
      </c>
      <c r="N25" s="164"/>
      <c r="O25" s="164"/>
      <c r="P25" s="164"/>
      <c r="Q25" s="164"/>
      <c r="R25" s="164"/>
      <c r="S25" s="164"/>
      <c r="T25" s="164"/>
      <c r="U25" s="164"/>
      <c r="V25" s="164"/>
      <c r="W25" s="164">
        <v>9322.85</v>
      </c>
      <c r="X25" s="164">
        <v>1300.3</v>
      </c>
      <c r="Y25" s="164">
        <v>0</v>
      </c>
      <c r="Z25" s="164">
        <v>0</v>
      </c>
      <c r="AA25" s="164">
        <v>1500</v>
      </c>
      <c r="AB25" s="164">
        <v>3000</v>
      </c>
      <c r="AC25" s="164">
        <v>0</v>
      </c>
      <c r="AD25" s="164">
        <f t="shared" si="2"/>
        <v>4500</v>
      </c>
      <c r="AE25" s="164"/>
      <c r="AF25" s="164">
        <v>10144.85</v>
      </c>
      <c r="AG25" s="164">
        <v>1300.3</v>
      </c>
      <c r="AH25" s="164">
        <v>0</v>
      </c>
      <c r="AI25" s="164">
        <v>0</v>
      </c>
      <c r="AJ25" s="164">
        <v>1500</v>
      </c>
      <c r="AK25" s="164">
        <v>3000</v>
      </c>
      <c r="AL25" s="164">
        <v>0</v>
      </c>
      <c r="AM25" s="164">
        <f t="shared" si="3"/>
        <v>4500</v>
      </c>
      <c r="AN25" s="164">
        <v>0</v>
      </c>
      <c r="AO25" s="164">
        <v>10155.8</v>
      </c>
      <c r="AP25" s="164">
        <v>1300.3</v>
      </c>
      <c r="AQ25" s="164">
        <v>0</v>
      </c>
      <c r="AR25" s="164">
        <v>0</v>
      </c>
      <c r="AS25" s="164">
        <v>1500</v>
      </c>
      <c r="AT25" s="164">
        <v>3000</v>
      </c>
      <c r="AU25" s="164">
        <v>0</v>
      </c>
      <c r="AV25" s="164">
        <f t="shared" si="4"/>
        <v>4500</v>
      </c>
      <c r="AW25" s="164">
        <v>0</v>
      </c>
      <c r="AX25" s="164">
        <v>10864.85</v>
      </c>
      <c r="AY25" s="164">
        <v>1300.3</v>
      </c>
      <c r="AZ25" s="164">
        <v>0</v>
      </c>
      <c r="BA25" s="164">
        <v>0</v>
      </c>
      <c r="BB25" s="164">
        <v>1500</v>
      </c>
      <c r="BC25" s="164">
        <v>3000</v>
      </c>
      <c r="BD25" s="164">
        <v>0</v>
      </c>
      <c r="BE25" s="164">
        <f t="shared" si="5"/>
        <v>4500</v>
      </c>
      <c r="BF25" s="164">
        <v>0</v>
      </c>
      <c r="BG25" s="164">
        <f>VLOOKUP(C25,薪酬明细!A:AC,29,0)</f>
        <v>10155.8</v>
      </c>
      <c r="BH25" s="164">
        <v>1300.3</v>
      </c>
      <c r="BI25" s="164">
        <v>0</v>
      </c>
      <c r="BJ25" s="164">
        <v>0</v>
      </c>
      <c r="BK25" s="164">
        <v>1500</v>
      </c>
      <c r="BL25" s="164">
        <v>3000</v>
      </c>
      <c r="BM25" s="164">
        <v>0</v>
      </c>
      <c r="BN25" s="164">
        <f t="shared" si="6"/>
        <v>4500</v>
      </c>
      <c r="BO25" s="164"/>
      <c r="BP25" s="164"/>
      <c r="BQ25" s="164"/>
      <c r="BR25" s="164"/>
      <c r="BS25" s="164"/>
      <c r="BT25" s="164"/>
      <c r="BU25" s="164"/>
      <c r="BV25" s="164"/>
      <c r="BW25" s="164"/>
      <c r="BX25" s="164"/>
      <c r="BY25" s="164"/>
      <c r="BZ25" s="164"/>
      <c r="CA25" s="164"/>
      <c r="CB25" s="164"/>
      <c r="CC25" s="164"/>
      <c r="CD25" s="164"/>
      <c r="CE25" s="164"/>
      <c r="CF25" s="164"/>
      <c r="CG25" s="164"/>
      <c r="CH25" s="164"/>
      <c r="CI25" s="164"/>
      <c r="CJ25" s="164"/>
      <c r="CK25" s="164"/>
      <c r="CL25" s="164"/>
      <c r="CM25" s="164"/>
      <c r="CN25" s="164"/>
      <c r="CO25" s="164"/>
      <c r="CP25" s="164"/>
      <c r="CQ25" s="164"/>
      <c r="CR25" s="164"/>
      <c r="CS25" s="164"/>
      <c r="CT25" s="164"/>
      <c r="CU25" s="164"/>
      <c r="CV25" s="164"/>
      <c r="CW25" s="164"/>
      <c r="CX25" s="164"/>
      <c r="CY25" s="164"/>
      <c r="CZ25" s="164"/>
      <c r="DA25" s="164"/>
      <c r="DB25" s="164"/>
      <c r="DC25" s="164"/>
      <c r="DD25" s="164"/>
      <c r="DE25" s="164"/>
      <c r="DF25" s="164"/>
      <c r="DG25" s="164"/>
      <c r="DH25" s="164"/>
      <c r="DI25" s="164"/>
      <c r="DJ25" s="164"/>
      <c r="DK25" s="164"/>
      <c r="DL25" s="164"/>
      <c r="DM25" s="164"/>
      <c r="DN25" s="164"/>
      <c r="DO25" s="164"/>
      <c r="DP25" s="164"/>
      <c r="DQ25" s="164"/>
      <c r="DR25" s="163"/>
      <c r="DS25" s="164">
        <f t="shared" si="7"/>
        <v>60789</v>
      </c>
      <c r="DT25" s="164">
        <f t="shared" si="8"/>
        <v>7801.8</v>
      </c>
      <c r="DU25" s="164">
        <f t="shared" si="9"/>
        <v>27000</v>
      </c>
      <c r="DV25" s="164">
        <f t="shared" si="10"/>
        <v>70.34</v>
      </c>
      <c r="DW25" s="166"/>
      <c r="DX25" s="153" t="str">
        <f>VLOOKUP(C25,薪酬明细!A:A,1,0)</f>
        <v>开弈人力资源裘碧钰</v>
      </c>
    </row>
    <row r="26" spans="1:128">
      <c r="A26" s="163" t="s">
        <v>61</v>
      </c>
      <c r="B26" s="163" t="s">
        <v>316</v>
      </c>
      <c r="C26" s="164" t="str">
        <f t="shared" si="0"/>
        <v>开弈人力资源卢素丹</v>
      </c>
      <c r="D26" s="165">
        <v>46023</v>
      </c>
      <c r="E26" s="164">
        <v>8144.85</v>
      </c>
      <c r="F26" s="164">
        <v>1300.3</v>
      </c>
      <c r="G26" s="164">
        <v>0</v>
      </c>
      <c r="H26" s="164">
        <v>0</v>
      </c>
      <c r="I26" s="164">
        <v>0</v>
      </c>
      <c r="J26" s="164">
        <v>0</v>
      </c>
      <c r="K26" s="164">
        <v>0</v>
      </c>
      <c r="L26" s="164">
        <f t="shared" si="1"/>
        <v>0</v>
      </c>
      <c r="M26" s="164">
        <v>55.34</v>
      </c>
      <c r="N26" s="164"/>
      <c r="O26" s="164"/>
      <c r="P26" s="164"/>
      <c r="Q26" s="164"/>
      <c r="R26" s="164"/>
      <c r="S26" s="164"/>
      <c r="T26" s="164"/>
      <c r="U26" s="164"/>
      <c r="V26" s="164"/>
      <c r="W26" s="164">
        <v>7487.25</v>
      </c>
      <c r="X26" s="164">
        <v>1300.3</v>
      </c>
      <c r="Y26" s="164">
        <v>0</v>
      </c>
      <c r="Z26" s="164">
        <v>0</v>
      </c>
      <c r="AA26" s="164">
        <v>0</v>
      </c>
      <c r="AB26" s="164">
        <v>0</v>
      </c>
      <c r="AC26" s="164">
        <v>0</v>
      </c>
      <c r="AD26" s="164">
        <f t="shared" si="2"/>
        <v>0</v>
      </c>
      <c r="AE26" s="164">
        <v>35.61</v>
      </c>
      <c r="AF26" s="164">
        <v>8144.85</v>
      </c>
      <c r="AG26" s="164">
        <v>1300.3</v>
      </c>
      <c r="AH26" s="164">
        <v>0</v>
      </c>
      <c r="AI26" s="164">
        <v>0</v>
      </c>
      <c r="AJ26" s="164">
        <v>0</v>
      </c>
      <c r="AK26" s="164">
        <v>0</v>
      </c>
      <c r="AL26" s="164">
        <v>0</v>
      </c>
      <c r="AM26" s="164">
        <f t="shared" si="3"/>
        <v>0</v>
      </c>
      <c r="AN26" s="164">
        <v>55.33</v>
      </c>
      <c r="AO26" s="164">
        <v>8155.8</v>
      </c>
      <c r="AP26" s="164">
        <v>1300.3</v>
      </c>
      <c r="AQ26" s="164">
        <v>0</v>
      </c>
      <c r="AR26" s="164">
        <v>0</v>
      </c>
      <c r="AS26" s="164">
        <v>0</v>
      </c>
      <c r="AT26" s="164">
        <v>0</v>
      </c>
      <c r="AU26" s="164">
        <v>0</v>
      </c>
      <c r="AV26" s="164">
        <f t="shared" si="4"/>
        <v>0</v>
      </c>
      <c r="AW26" s="164">
        <v>55.67</v>
      </c>
      <c r="AX26" s="164">
        <v>10963.45</v>
      </c>
      <c r="AY26" s="164">
        <v>1300.3</v>
      </c>
      <c r="AZ26" s="164">
        <v>0</v>
      </c>
      <c r="BA26" s="164">
        <v>0</v>
      </c>
      <c r="BB26" s="164">
        <v>0</v>
      </c>
      <c r="BC26" s="164">
        <v>0</v>
      </c>
      <c r="BD26" s="164">
        <v>0</v>
      </c>
      <c r="BE26" s="164">
        <f t="shared" si="5"/>
        <v>0</v>
      </c>
      <c r="BF26" s="164">
        <v>139.89</v>
      </c>
      <c r="BG26" s="164">
        <f>VLOOKUP(C26,薪酬明细!A:AC,29,0)</f>
        <v>8155.8</v>
      </c>
      <c r="BH26" s="164">
        <v>1300.3</v>
      </c>
      <c r="BI26" s="164">
        <v>0</v>
      </c>
      <c r="BJ26" s="164">
        <v>0</v>
      </c>
      <c r="BK26" s="164">
        <v>0</v>
      </c>
      <c r="BL26" s="164">
        <v>0</v>
      </c>
      <c r="BM26" s="164">
        <v>0</v>
      </c>
      <c r="BN26" s="164">
        <f t="shared" si="6"/>
        <v>0</v>
      </c>
      <c r="BO26" s="164"/>
      <c r="BP26" s="164"/>
      <c r="BQ26" s="164"/>
      <c r="BR26" s="164"/>
      <c r="BS26" s="164"/>
      <c r="BT26" s="164"/>
      <c r="BU26" s="164"/>
      <c r="BV26" s="164"/>
      <c r="BW26" s="164"/>
      <c r="BX26" s="164"/>
      <c r="BY26" s="164"/>
      <c r="BZ26" s="164"/>
      <c r="CA26" s="164"/>
      <c r="CB26" s="164"/>
      <c r="CC26" s="164"/>
      <c r="CD26" s="164"/>
      <c r="CE26" s="164"/>
      <c r="CF26" s="164"/>
      <c r="CG26" s="164"/>
      <c r="CH26" s="164"/>
      <c r="CI26" s="164"/>
      <c r="CJ26" s="164"/>
      <c r="CK26" s="164"/>
      <c r="CL26" s="164"/>
      <c r="CM26" s="164"/>
      <c r="CN26" s="164"/>
      <c r="CO26" s="164"/>
      <c r="CP26" s="164"/>
      <c r="CQ26" s="164"/>
      <c r="CR26" s="164"/>
      <c r="CS26" s="164"/>
      <c r="CT26" s="164"/>
      <c r="CU26" s="164"/>
      <c r="CV26" s="164"/>
      <c r="CW26" s="164"/>
      <c r="CX26" s="164"/>
      <c r="CY26" s="164"/>
      <c r="CZ26" s="164"/>
      <c r="DA26" s="164"/>
      <c r="DB26" s="164"/>
      <c r="DC26" s="164"/>
      <c r="DD26" s="164"/>
      <c r="DE26" s="164"/>
      <c r="DF26" s="164"/>
      <c r="DG26" s="164"/>
      <c r="DH26" s="164"/>
      <c r="DI26" s="164"/>
      <c r="DJ26" s="164"/>
      <c r="DK26" s="164"/>
      <c r="DL26" s="164"/>
      <c r="DM26" s="164"/>
      <c r="DN26" s="164"/>
      <c r="DO26" s="164"/>
      <c r="DP26" s="164"/>
      <c r="DQ26" s="164"/>
      <c r="DR26" s="163"/>
      <c r="DS26" s="164">
        <f t="shared" si="7"/>
        <v>51052</v>
      </c>
      <c r="DT26" s="164">
        <f t="shared" si="8"/>
        <v>7801.8</v>
      </c>
      <c r="DU26" s="164">
        <f t="shared" si="9"/>
        <v>0</v>
      </c>
      <c r="DV26" s="164">
        <f t="shared" si="10"/>
        <v>341.84</v>
      </c>
      <c r="DW26" s="166"/>
      <c r="DX26" s="153" t="str">
        <f>VLOOKUP(C26,薪酬明细!A:A,1,0)</f>
        <v>开弈人力资源卢素丹</v>
      </c>
    </row>
    <row r="27" spans="1:128">
      <c r="A27" s="163" t="s">
        <v>61</v>
      </c>
      <c r="B27" s="163" t="s">
        <v>121</v>
      </c>
      <c r="C27" s="164" t="str">
        <f t="shared" si="0"/>
        <v>开弈人力资源黄一萧</v>
      </c>
      <c r="D27" s="165">
        <v>46023</v>
      </c>
      <c r="E27" s="164">
        <v>22680.88</v>
      </c>
      <c r="F27" s="164">
        <v>3375</v>
      </c>
      <c r="G27" s="164">
        <v>4000</v>
      </c>
      <c r="H27" s="164">
        <v>0</v>
      </c>
      <c r="I27" s="164">
        <v>0</v>
      </c>
      <c r="J27" s="164">
        <v>3000</v>
      </c>
      <c r="K27" s="164">
        <v>0</v>
      </c>
      <c r="L27" s="164">
        <f t="shared" si="1"/>
        <v>7000</v>
      </c>
      <c r="M27" s="164">
        <v>219.18</v>
      </c>
      <c r="N27" s="164"/>
      <c r="O27" s="164"/>
      <c r="P27" s="164"/>
      <c r="Q27" s="164"/>
      <c r="R27" s="164"/>
      <c r="S27" s="164"/>
      <c r="T27" s="164"/>
      <c r="U27" s="164"/>
      <c r="V27" s="164"/>
      <c r="W27" s="164">
        <v>21275.26</v>
      </c>
      <c r="X27" s="164">
        <v>3375</v>
      </c>
      <c r="Y27" s="164">
        <v>4000</v>
      </c>
      <c r="Z27" s="164">
        <v>0</v>
      </c>
      <c r="AA27" s="164">
        <v>0</v>
      </c>
      <c r="AB27" s="164">
        <v>3000</v>
      </c>
      <c r="AC27" s="164">
        <v>0</v>
      </c>
      <c r="AD27" s="164">
        <f t="shared" si="2"/>
        <v>7000</v>
      </c>
      <c r="AE27" s="164">
        <v>177</v>
      </c>
      <c r="AF27" s="164">
        <v>20804.59</v>
      </c>
      <c r="AG27" s="164">
        <v>3375</v>
      </c>
      <c r="AH27" s="164">
        <v>4000</v>
      </c>
      <c r="AI27" s="164">
        <v>0</v>
      </c>
      <c r="AJ27" s="164">
        <v>0</v>
      </c>
      <c r="AK27" s="164">
        <v>3000</v>
      </c>
      <c r="AL27" s="164">
        <v>0</v>
      </c>
      <c r="AM27" s="164">
        <f t="shared" si="3"/>
        <v>7000</v>
      </c>
      <c r="AN27" s="164">
        <v>162.89</v>
      </c>
      <c r="AO27" s="164">
        <v>15659.32</v>
      </c>
      <c r="AP27" s="164">
        <v>3375</v>
      </c>
      <c r="AQ27" s="164">
        <v>4000</v>
      </c>
      <c r="AR27" s="164">
        <v>0</v>
      </c>
      <c r="AS27" s="164">
        <v>0</v>
      </c>
      <c r="AT27" s="164">
        <v>3000</v>
      </c>
      <c r="AU27" s="164">
        <v>0</v>
      </c>
      <c r="AV27" s="164">
        <f t="shared" si="4"/>
        <v>7000</v>
      </c>
      <c r="AW27" s="164">
        <v>8.53</v>
      </c>
      <c r="AX27" s="164">
        <v>76320.56</v>
      </c>
      <c r="AY27" s="164">
        <v>3375</v>
      </c>
      <c r="AZ27" s="164">
        <v>4000</v>
      </c>
      <c r="BA27" s="164">
        <v>0</v>
      </c>
      <c r="BB27" s="164">
        <v>0</v>
      </c>
      <c r="BC27" s="164">
        <v>3000</v>
      </c>
      <c r="BD27" s="164">
        <v>0</v>
      </c>
      <c r="BE27" s="164">
        <f t="shared" si="5"/>
        <v>7000</v>
      </c>
      <c r="BF27" s="164">
        <v>4898.96</v>
      </c>
      <c r="BG27" s="164">
        <f>VLOOKUP(C27,薪酬明细!A:AC,29,0)</f>
        <v>17599.68</v>
      </c>
      <c r="BH27" s="164">
        <v>3375</v>
      </c>
      <c r="BI27" s="164">
        <v>4000</v>
      </c>
      <c r="BJ27" s="164">
        <v>0</v>
      </c>
      <c r="BK27" s="164">
        <v>0</v>
      </c>
      <c r="BL27" s="164">
        <v>3000</v>
      </c>
      <c r="BM27" s="164">
        <v>0</v>
      </c>
      <c r="BN27" s="164">
        <f t="shared" si="6"/>
        <v>7000</v>
      </c>
      <c r="BO27" s="164"/>
      <c r="BP27" s="164"/>
      <c r="BQ27" s="164"/>
      <c r="BR27" s="164"/>
      <c r="BS27" s="164"/>
      <c r="BT27" s="164"/>
      <c r="BU27" s="164"/>
      <c r="BV27" s="164"/>
      <c r="BW27" s="164"/>
      <c r="BX27" s="164"/>
      <c r="BY27" s="164"/>
      <c r="BZ27" s="164"/>
      <c r="CA27" s="164"/>
      <c r="CB27" s="164"/>
      <c r="CC27" s="164"/>
      <c r="CD27" s="164"/>
      <c r="CE27" s="164"/>
      <c r="CF27" s="164"/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164"/>
      <c r="DB27" s="164"/>
      <c r="DC27" s="164"/>
      <c r="DD27" s="164"/>
      <c r="DE27" s="164"/>
      <c r="DF27" s="164"/>
      <c r="DG27" s="164"/>
      <c r="DH27" s="164"/>
      <c r="DI27" s="164"/>
      <c r="DJ27" s="164"/>
      <c r="DK27" s="164"/>
      <c r="DL27" s="164"/>
      <c r="DM27" s="164"/>
      <c r="DN27" s="164"/>
      <c r="DO27" s="164"/>
      <c r="DP27" s="164"/>
      <c r="DQ27" s="164"/>
      <c r="DR27" s="163"/>
      <c r="DS27" s="164">
        <f t="shared" si="7"/>
        <v>174340.29</v>
      </c>
      <c r="DT27" s="164">
        <f t="shared" si="8"/>
        <v>20250</v>
      </c>
      <c r="DU27" s="164">
        <f t="shared" si="9"/>
        <v>42000</v>
      </c>
      <c r="DV27" s="164">
        <f t="shared" si="10"/>
        <v>5466.56</v>
      </c>
      <c r="DW27" s="166"/>
      <c r="DX27" s="153" t="str">
        <f>VLOOKUP(C27,薪酬明细!A:A,1,0)</f>
        <v>开弈人力资源黄一萧</v>
      </c>
    </row>
    <row r="28" spans="1:128">
      <c r="A28" s="163" t="s">
        <v>61</v>
      </c>
      <c r="B28" s="163" t="s">
        <v>306</v>
      </c>
      <c r="C28" s="164" t="str">
        <f t="shared" si="0"/>
        <v>开弈人力资源杨漾</v>
      </c>
      <c r="D28" s="165">
        <v>46023</v>
      </c>
      <c r="E28" s="164">
        <v>20406.85</v>
      </c>
      <c r="F28" s="164">
        <v>2250</v>
      </c>
      <c r="G28" s="164">
        <v>0</v>
      </c>
      <c r="H28" s="164">
        <v>0</v>
      </c>
      <c r="I28" s="164">
        <v>0</v>
      </c>
      <c r="J28" s="164">
        <v>3000</v>
      </c>
      <c r="K28" s="164">
        <v>0</v>
      </c>
      <c r="L28" s="164">
        <f t="shared" si="1"/>
        <v>3000</v>
      </c>
      <c r="M28" s="164">
        <v>304.71</v>
      </c>
      <c r="N28" s="164"/>
      <c r="O28" s="164"/>
      <c r="P28" s="164"/>
      <c r="Q28" s="164"/>
      <c r="R28" s="164"/>
      <c r="S28" s="164"/>
      <c r="T28" s="164"/>
      <c r="U28" s="164"/>
      <c r="V28" s="164"/>
      <c r="W28" s="164">
        <v>18762.85</v>
      </c>
      <c r="X28" s="164">
        <v>2250</v>
      </c>
      <c r="Y28" s="164">
        <v>0</v>
      </c>
      <c r="Z28" s="164">
        <v>0</v>
      </c>
      <c r="AA28" s="164">
        <v>0</v>
      </c>
      <c r="AB28" s="164">
        <v>3000</v>
      </c>
      <c r="AC28" s="164">
        <v>0</v>
      </c>
      <c r="AD28" s="164">
        <f t="shared" si="2"/>
        <v>3000</v>
      </c>
      <c r="AE28" s="164">
        <v>255.38</v>
      </c>
      <c r="AF28" s="164">
        <v>20406.85</v>
      </c>
      <c r="AG28" s="164">
        <v>2250</v>
      </c>
      <c r="AH28" s="164">
        <v>0</v>
      </c>
      <c r="AI28" s="164">
        <v>0</v>
      </c>
      <c r="AJ28" s="164">
        <v>0</v>
      </c>
      <c r="AK28" s="164">
        <v>3000</v>
      </c>
      <c r="AL28" s="164">
        <v>0</v>
      </c>
      <c r="AM28" s="164">
        <f t="shared" si="3"/>
        <v>3000</v>
      </c>
      <c r="AN28" s="164">
        <v>304.71</v>
      </c>
      <c r="AO28" s="164">
        <v>20417.8</v>
      </c>
      <c r="AP28" s="164">
        <v>2250</v>
      </c>
      <c r="AQ28" s="164">
        <v>0</v>
      </c>
      <c r="AR28" s="164">
        <v>0</v>
      </c>
      <c r="AS28" s="164">
        <v>0</v>
      </c>
      <c r="AT28" s="164">
        <v>3000</v>
      </c>
      <c r="AU28" s="164">
        <v>0</v>
      </c>
      <c r="AV28" s="164">
        <f t="shared" si="4"/>
        <v>3000</v>
      </c>
      <c r="AW28" s="164">
        <v>514.64</v>
      </c>
      <c r="AX28" s="164">
        <v>43356.64</v>
      </c>
      <c r="AY28" s="164">
        <v>2250</v>
      </c>
      <c r="AZ28" s="164">
        <v>0</v>
      </c>
      <c r="BA28" s="164">
        <v>0</v>
      </c>
      <c r="BB28" s="164">
        <v>0</v>
      </c>
      <c r="BC28" s="164">
        <v>3000</v>
      </c>
      <c r="BD28" s="164">
        <v>0</v>
      </c>
      <c r="BE28" s="164">
        <f t="shared" si="5"/>
        <v>3000</v>
      </c>
      <c r="BF28" s="164">
        <v>3310.66</v>
      </c>
      <c r="BG28" s="164">
        <f>VLOOKUP(C28,薪酬明细!A:AC,29,0)</f>
        <v>20417.8</v>
      </c>
      <c r="BH28" s="164">
        <v>2250</v>
      </c>
      <c r="BI28" s="164">
        <v>0</v>
      </c>
      <c r="BJ28" s="164">
        <v>0</v>
      </c>
      <c r="BK28" s="164">
        <v>0</v>
      </c>
      <c r="BL28" s="164">
        <v>3000</v>
      </c>
      <c r="BM28" s="164">
        <v>0</v>
      </c>
      <c r="BN28" s="164">
        <f t="shared" si="6"/>
        <v>3000</v>
      </c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3"/>
      <c r="DS28" s="164">
        <f t="shared" si="7"/>
        <v>143768.79</v>
      </c>
      <c r="DT28" s="164">
        <f t="shared" si="8"/>
        <v>13500</v>
      </c>
      <c r="DU28" s="164">
        <f t="shared" si="9"/>
        <v>18000</v>
      </c>
      <c r="DV28" s="164">
        <f t="shared" si="10"/>
        <v>4690.1</v>
      </c>
      <c r="DW28" s="166"/>
      <c r="DX28" s="153" t="str">
        <f>VLOOKUP(C28,薪酬明细!A:A,1,0)</f>
        <v>开弈人力资源杨漾</v>
      </c>
    </row>
    <row r="29" spans="1:128">
      <c r="A29" s="163" t="s">
        <v>61</v>
      </c>
      <c r="B29" s="163" t="s">
        <v>300</v>
      </c>
      <c r="C29" s="164" t="str">
        <f t="shared" si="0"/>
        <v>开弈人力资源樊涛</v>
      </c>
      <c r="D29" s="165">
        <v>46023</v>
      </c>
      <c r="E29" s="164">
        <v>3523.3</v>
      </c>
      <c r="F29" s="164">
        <v>783.3</v>
      </c>
      <c r="G29" s="164">
        <v>0</v>
      </c>
      <c r="H29" s="164">
        <v>0</v>
      </c>
      <c r="I29" s="164">
        <v>0</v>
      </c>
      <c r="J29" s="164">
        <v>0</v>
      </c>
      <c r="K29" s="164">
        <v>0</v>
      </c>
      <c r="L29" s="164">
        <f t="shared" si="1"/>
        <v>0</v>
      </c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>
        <v>3523.3</v>
      </c>
      <c r="X29" s="164">
        <v>783.3</v>
      </c>
      <c r="Y29" s="164">
        <v>0</v>
      </c>
      <c r="Z29" s="164">
        <v>0</v>
      </c>
      <c r="AA29" s="164">
        <v>0</v>
      </c>
      <c r="AB29" s="164">
        <v>0</v>
      </c>
      <c r="AC29" s="164">
        <v>0</v>
      </c>
      <c r="AD29" s="164">
        <f t="shared" si="2"/>
        <v>0</v>
      </c>
      <c r="AE29" s="164"/>
      <c r="AF29" s="164">
        <v>3523.3</v>
      </c>
      <c r="AG29" s="164">
        <v>783.3</v>
      </c>
      <c r="AH29" s="164">
        <v>0</v>
      </c>
      <c r="AI29" s="164">
        <v>0</v>
      </c>
      <c r="AJ29" s="164">
        <v>0</v>
      </c>
      <c r="AK29" s="164">
        <v>0</v>
      </c>
      <c r="AL29" s="164">
        <v>0</v>
      </c>
      <c r="AM29" s="164">
        <f t="shared" si="3"/>
        <v>0</v>
      </c>
      <c r="AN29" s="164">
        <v>0</v>
      </c>
      <c r="AO29" s="164">
        <v>3523.3</v>
      </c>
      <c r="AP29" s="164">
        <v>783.3</v>
      </c>
      <c r="AQ29" s="164">
        <v>0</v>
      </c>
      <c r="AR29" s="164">
        <v>0</v>
      </c>
      <c r="AS29" s="164">
        <v>0</v>
      </c>
      <c r="AT29" s="164">
        <v>0</v>
      </c>
      <c r="AU29" s="164">
        <v>0</v>
      </c>
      <c r="AV29" s="164">
        <f t="shared" si="4"/>
        <v>0</v>
      </c>
      <c r="AW29" s="164">
        <v>0</v>
      </c>
      <c r="AX29" s="164">
        <v>3523.3</v>
      </c>
      <c r="AY29" s="164">
        <v>783.3</v>
      </c>
      <c r="AZ29" s="164">
        <v>0</v>
      </c>
      <c r="BA29" s="164">
        <v>0</v>
      </c>
      <c r="BB29" s="164">
        <v>0</v>
      </c>
      <c r="BC29" s="164">
        <v>0</v>
      </c>
      <c r="BD29" s="164">
        <v>0</v>
      </c>
      <c r="BE29" s="164">
        <f t="shared" si="5"/>
        <v>0</v>
      </c>
      <c r="BF29" s="164">
        <v>0</v>
      </c>
      <c r="BG29" s="164">
        <f>VLOOKUP(C29,薪酬明细!A:AC,29,0)</f>
        <v>3523.3</v>
      </c>
      <c r="BH29" s="164">
        <v>783.3</v>
      </c>
      <c r="BI29" s="164">
        <v>0</v>
      </c>
      <c r="BJ29" s="164">
        <v>0</v>
      </c>
      <c r="BK29" s="164">
        <v>0</v>
      </c>
      <c r="BL29" s="164">
        <v>0</v>
      </c>
      <c r="BM29" s="164">
        <v>0</v>
      </c>
      <c r="BN29" s="164">
        <f t="shared" si="6"/>
        <v>0</v>
      </c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3"/>
      <c r="DS29" s="164">
        <f t="shared" si="7"/>
        <v>21139.8</v>
      </c>
      <c r="DT29" s="164">
        <f t="shared" si="8"/>
        <v>4699.8</v>
      </c>
      <c r="DU29" s="164">
        <f t="shared" si="9"/>
        <v>0</v>
      </c>
      <c r="DV29" s="164">
        <f t="shared" si="10"/>
        <v>0</v>
      </c>
      <c r="DW29" s="166"/>
      <c r="DX29" s="153" t="str">
        <f>VLOOKUP(C29,薪酬明细!A:A,1,0)</f>
        <v>开弈人力资源樊涛</v>
      </c>
    </row>
    <row r="30" spans="1:128">
      <c r="A30" s="163" t="s">
        <v>61</v>
      </c>
      <c r="B30" s="163" t="s">
        <v>314</v>
      </c>
      <c r="C30" s="164" t="str">
        <f t="shared" si="0"/>
        <v>开弈人力资源李家东</v>
      </c>
      <c r="D30" s="165">
        <v>46023</v>
      </c>
      <c r="E30" s="164">
        <v>3523.3</v>
      </c>
      <c r="F30" s="164">
        <v>783.3</v>
      </c>
      <c r="G30" s="164">
        <v>0</v>
      </c>
      <c r="H30" s="164">
        <v>0</v>
      </c>
      <c r="I30" s="164">
        <v>0</v>
      </c>
      <c r="J30" s="164">
        <v>0</v>
      </c>
      <c r="K30" s="164">
        <v>0</v>
      </c>
      <c r="L30" s="164">
        <f t="shared" si="1"/>
        <v>0</v>
      </c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>
        <v>3523.3</v>
      </c>
      <c r="X30" s="164">
        <v>783.3</v>
      </c>
      <c r="Y30" s="164">
        <v>0</v>
      </c>
      <c r="Z30" s="164">
        <v>0</v>
      </c>
      <c r="AA30" s="164">
        <v>0</v>
      </c>
      <c r="AB30" s="164">
        <v>0</v>
      </c>
      <c r="AC30" s="164">
        <v>0</v>
      </c>
      <c r="AD30" s="164">
        <f t="shared" si="2"/>
        <v>0</v>
      </c>
      <c r="AE30" s="164"/>
      <c r="AF30" s="164">
        <v>3523.3</v>
      </c>
      <c r="AG30" s="164">
        <v>783.3</v>
      </c>
      <c r="AH30" s="164">
        <v>0</v>
      </c>
      <c r="AI30" s="164">
        <v>0</v>
      </c>
      <c r="AJ30" s="164">
        <v>0</v>
      </c>
      <c r="AK30" s="164">
        <v>0</v>
      </c>
      <c r="AL30" s="164">
        <v>0</v>
      </c>
      <c r="AM30" s="164">
        <f t="shared" si="3"/>
        <v>0</v>
      </c>
      <c r="AN30" s="164">
        <v>0</v>
      </c>
      <c r="AO30" s="164">
        <v>3523.3</v>
      </c>
      <c r="AP30" s="164">
        <v>783.3</v>
      </c>
      <c r="AQ30" s="164">
        <v>0</v>
      </c>
      <c r="AR30" s="164">
        <v>0</v>
      </c>
      <c r="AS30" s="164">
        <v>0</v>
      </c>
      <c r="AT30" s="164">
        <v>0</v>
      </c>
      <c r="AU30" s="164">
        <v>0</v>
      </c>
      <c r="AV30" s="164">
        <f t="shared" si="4"/>
        <v>0</v>
      </c>
      <c r="AW30" s="164">
        <v>0</v>
      </c>
      <c r="AX30" s="164">
        <v>3523.3</v>
      </c>
      <c r="AY30" s="164">
        <v>783.3</v>
      </c>
      <c r="AZ30" s="164">
        <v>0</v>
      </c>
      <c r="BA30" s="164">
        <v>0</v>
      </c>
      <c r="BB30" s="164">
        <v>0</v>
      </c>
      <c r="BC30" s="164">
        <v>0</v>
      </c>
      <c r="BD30" s="164">
        <v>0</v>
      </c>
      <c r="BE30" s="164">
        <f t="shared" si="5"/>
        <v>0</v>
      </c>
      <c r="BF30" s="164">
        <v>0</v>
      </c>
      <c r="BG30" s="164">
        <f>VLOOKUP(C30,薪酬明细!A:AC,29,0)</f>
        <v>3523.3</v>
      </c>
      <c r="BH30" s="164">
        <v>783.3</v>
      </c>
      <c r="BI30" s="164">
        <v>0</v>
      </c>
      <c r="BJ30" s="164">
        <v>0</v>
      </c>
      <c r="BK30" s="164">
        <v>0</v>
      </c>
      <c r="BL30" s="164">
        <v>0</v>
      </c>
      <c r="BM30" s="164">
        <v>0</v>
      </c>
      <c r="BN30" s="164">
        <f t="shared" si="6"/>
        <v>0</v>
      </c>
      <c r="BO30" s="164"/>
      <c r="BP30" s="164"/>
      <c r="BQ30" s="164"/>
      <c r="BR30" s="164"/>
      <c r="BS30" s="164"/>
      <c r="BT30" s="164"/>
      <c r="BU30" s="164"/>
      <c r="BV30" s="164"/>
      <c r="BW30" s="164"/>
      <c r="BX30" s="164"/>
      <c r="BY30" s="164"/>
      <c r="BZ30" s="164"/>
      <c r="CA30" s="164"/>
      <c r="CB30" s="164"/>
      <c r="CC30" s="164"/>
      <c r="CD30" s="164"/>
      <c r="CE30" s="164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164"/>
      <c r="DB30" s="164"/>
      <c r="DC30" s="164"/>
      <c r="DD30" s="164"/>
      <c r="DE30" s="164"/>
      <c r="DF30" s="164"/>
      <c r="DG30" s="164"/>
      <c r="DH30" s="164"/>
      <c r="DI30" s="164"/>
      <c r="DJ30" s="164"/>
      <c r="DK30" s="164"/>
      <c r="DL30" s="164"/>
      <c r="DM30" s="164"/>
      <c r="DN30" s="164"/>
      <c r="DO30" s="164"/>
      <c r="DP30" s="164"/>
      <c r="DQ30" s="164"/>
      <c r="DR30" s="163"/>
      <c r="DS30" s="164">
        <f t="shared" si="7"/>
        <v>21139.8</v>
      </c>
      <c r="DT30" s="164">
        <f t="shared" si="8"/>
        <v>4699.8</v>
      </c>
      <c r="DU30" s="164">
        <f t="shared" si="9"/>
        <v>0</v>
      </c>
      <c r="DV30" s="164">
        <f t="shared" si="10"/>
        <v>0</v>
      </c>
      <c r="DW30" s="166"/>
      <c r="DX30" s="153" t="str">
        <f>VLOOKUP(C30,薪酬明细!A:A,1,0)</f>
        <v>开弈人力资源李家东</v>
      </c>
    </row>
    <row r="31" spans="1:128">
      <c r="A31" s="163" t="s">
        <v>61</v>
      </c>
      <c r="B31" s="163" t="s">
        <v>332</v>
      </c>
      <c r="C31" s="164" t="str">
        <f t="shared" si="0"/>
        <v>开弈人力资源宋广忠</v>
      </c>
      <c r="D31" s="165">
        <v>46023</v>
      </c>
      <c r="E31" s="164">
        <v>3523.3</v>
      </c>
      <c r="F31" s="164">
        <v>783.3</v>
      </c>
      <c r="G31" s="164">
        <v>0</v>
      </c>
      <c r="H31" s="164">
        <v>0</v>
      </c>
      <c r="I31" s="164">
        <v>0</v>
      </c>
      <c r="J31" s="164">
        <v>0</v>
      </c>
      <c r="K31" s="164">
        <v>0</v>
      </c>
      <c r="L31" s="164">
        <f t="shared" si="1"/>
        <v>0</v>
      </c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>
        <v>3523.3</v>
      </c>
      <c r="X31" s="164">
        <v>783.3</v>
      </c>
      <c r="Y31" s="164">
        <v>0</v>
      </c>
      <c r="Z31" s="164">
        <v>0</v>
      </c>
      <c r="AA31" s="164">
        <v>0</v>
      </c>
      <c r="AB31" s="164">
        <v>0</v>
      </c>
      <c r="AC31" s="164">
        <v>0</v>
      </c>
      <c r="AD31" s="164">
        <f t="shared" si="2"/>
        <v>0</v>
      </c>
      <c r="AE31" s="164"/>
      <c r="AF31" s="164">
        <v>3523.3</v>
      </c>
      <c r="AG31" s="164">
        <v>783.3</v>
      </c>
      <c r="AH31" s="164">
        <v>0</v>
      </c>
      <c r="AI31" s="164">
        <v>0</v>
      </c>
      <c r="AJ31" s="164">
        <v>0</v>
      </c>
      <c r="AK31" s="164">
        <v>0</v>
      </c>
      <c r="AL31" s="164">
        <v>0</v>
      </c>
      <c r="AM31" s="164">
        <f t="shared" si="3"/>
        <v>0</v>
      </c>
      <c r="AN31" s="164">
        <v>0</v>
      </c>
      <c r="AO31" s="164">
        <v>3523.3</v>
      </c>
      <c r="AP31" s="164">
        <v>783.3</v>
      </c>
      <c r="AQ31" s="164">
        <v>0</v>
      </c>
      <c r="AR31" s="164">
        <v>0</v>
      </c>
      <c r="AS31" s="164">
        <v>0</v>
      </c>
      <c r="AT31" s="164">
        <v>0</v>
      </c>
      <c r="AU31" s="164">
        <v>0</v>
      </c>
      <c r="AV31" s="164">
        <f t="shared" si="4"/>
        <v>0</v>
      </c>
      <c r="AW31" s="164">
        <v>0</v>
      </c>
      <c r="AX31" s="164">
        <v>3523.3</v>
      </c>
      <c r="AY31" s="164">
        <v>783.3</v>
      </c>
      <c r="AZ31" s="164">
        <v>0</v>
      </c>
      <c r="BA31" s="164">
        <v>0</v>
      </c>
      <c r="BB31" s="164">
        <v>0</v>
      </c>
      <c r="BC31" s="164">
        <v>0</v>
      </c>
      <c r="BD31" s="164">
        <v>0</v>
      </c>
      <c r="BE31" s="164">
        <f t="shared" si="5"/>
        <v>0</v>
      </c>
      <c r="BF31" s="164">
        <v>0</v>
      </c>
      <c r="BG31" s="164">
        <f>VLOOKUP(C31,薪酬明细!A:AC,29,0)</f>
        <v>3523.3</v>
      </c>
      <c r="BH31" s="164">
        <v>783.3</v>
      </c>
      <c r="BI31" s="164">
        <v>0</v>
      </c>
      <c r="BJ31" s="164">
        <v>0</v>
      </c>
      <c r="BK31" s="164">
        <v>0</v>
      </c>
      <c r="BL31" s="164">
        <v>0</v>
      </c>
      <c r="BM31" s="164">
        <v>0</v>
      </c>
      <c r="BN31" s="164">
        <f t="shared" si="6"/>
        <v>0</v>
      </c>
      <c r="BO31" s="164"/>
      <c r="BP31" s="164"/>
      <c r="BQ31" s="164"/>
      <c r="BR31" s="164"/>
      <c r="BS31" s="164"/>
      <c r="BT31" s="164"/>
      <c r="BU31" s="164"/>
      <c r="BV31" s="164"/>
      <c r="BW31" s="164"/>
      <c r="BX31" s="164"/>
      <c r="BY31" s="164"/>
      <c r="BZ31" s="164"/>
      <c r="CA31" s="164"/>
      <c r="CB31" s="164"/>
      <c r="CC31" s="164"/>
      <c r="CD31" s="164"/>
      <c r="CE31" s="164"/>
      <c r="CF31" s="164"/>
      <c r="CG31" s="164"/>
      <c r="CH31" s="164"/>
      <c r="CI31" s="164"/>
      <c r="CJ31" s="164"/>
      <c r="CK31" s="164"/>
      <c r="CL31" s="164"/>
      <c r="CM31" s="164"/>
      <c r="CN31" s="164"/>
      <c r="CO31" s="164"/>
      <c r="CP31" s="164"/>
      <c r="CQ31" s="164"/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4"/>
      <c r="DH31" s="164"/>
      <c r="DI31" s="164"/>
      <c r="DJ31" s="164"/>
      <c r="DK31" s="164"/>
      <c r="DL31" s="164"/>
      <c r="DM31" s="164"/>
      <c r="DN31" s="164"/>
      <c r="DO31" s="164"/>
      <c r="DP31" s="164"/>
      <c r="DQ31" s="164"/>
      <c r="DR31" s="163"/>
      <c r="DS31" s="164">
        <f t="shared" si="7"/>
        <v>21139.8</v>
      </c>
      <c r="DT31" s="164">
        <f t="shared" si="8"/>
        <v>4699.8</v>
      </c>
      <c r="DU31" s="164">
        <f t="shared" si="9"/>
        <v>0</v>
      </c>
      <c r="DV31" s="164">
        <f t="shared" si="10"/>
        <v>0</v>
      </c>
      <c r="DW31" s="166"/>
      <c r="DX31" s="153" t="str">
        <f>VLOOKUP(C31,薪酬明细!A:A,1,0)</f>
        <v>开弈人力资源宋广忠</v>
      </c>
    </row>
    <row r="32" spans="1:128">
      <c r="A32" s="163" t="s">
        <v>61</v>
      </c>
      <c r="B32" s="163" t="s">
        <v>270</v>
      </c>
      <c r="C32" s="164" t="str">
        <f t="shared" si="0"/>
        <v>开弈人力资源王倩</v>
      </c>
      <c r="D32" s="165">
        <v>46023</v>
      </c>
      <c r="E32" s="164">
        <v>1000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0</v>
      </c>
      <c r="L32" s="164">
        <f t="shared" si="1"/>
        <v>0</v>
      </c>
      <c r="M32" s="164">
        <v>40</v>
      </c>
      <c r="N32" s="164"/>
      <c r="O32" s="164"/>
      <c r="P32" s="164"/>
      <c r="Q32" s="164"/>
      <c r="R32" s="164"/>
      <c r="S32" s="164"/>
      <c r="T32" s="164"/>
      <c r="U32" s="164"/>
      <c r="V32" s="164"/>
      <c r="W32" s="164">
        <v>1000</v>
      </c>
      <c r="X32" s="164">
        <v>0</v>
      </c>
      <c r="Y32" s="164">
        <v>0</v>
      </c>
      <c r="Z32" s="164">
        <v>0</v>
      </c>
      <c r="AA32" s="164">
        <v>0</v>
      </c>
      <c r="AB32" s="164">
        <v>0</v>
      </c>
      <c r="AC32" s="164">
        <v>0</v>
      </c>
      <c r="AD32" s="164">
        <f t="shared" si="2"/>
        <v>0</v>
      </c>
      <c r="AE32" s="164">
        <v>40</v>
      </c>
      <c r="AF32" s="164">
        <v>1000</v>
      </c>
      <c r="AG32" s="164">
        <v>0</v>
      </c>
      <c r="AH32" s="164">
        <v>0</v>
      </c>
      <c r="AI32" s="164">
        <v>0</v>
      </c>
      <c r="AJ32" s="164">
        <v>0</v>
      </c>
      <c r="AK32" s="164">
        <v>0</v>
      </c>
      <c r="AL32" s="164">
        <v>0</v>
      </c>
      <c r="AM32" s="164">
        <f t="shared" si="3"/>
        <v>0</v>
      </c>
      <c r="AN32" s="164">
        <v>40</v>
      </c>
      <c r="AO32" s="164">
        <v>1000</v>
      </c>
      <c r="AP32" s="164">
        <v>0</v>
      </c>
      <c r="AQ32" s="164">
        <v>0</v>
      </c>
      <c r="AR32" s="164">
        <v>0</v>
      </c>
      <c r="AS32" s="164">
        <v>0</v>
      </c>
      <c r="AT32" s="164">
        <v>0</v>
      </c>
      <c r="AU32" s="164">
        <v>0</v>
      </c>
      <c r="AV32" s="164">
        <f t="shared" si="4"/>
        <v>0</v>
      </c>
      <c r="AW32" s="164">
        <v>40</v>
      </c>
      <c r="AX32" s="164">
        <v>1000</v>
      </c>
      <c r="AY32" s="164">
        <v>0</v>
      </c>
      <c r="AZ32" s="164">
        <v>0</v>
      </c>
      <c r="BA32" s="164">
        <v>0</v>
      </c>
      <c r="BB32" s="164">
        <v>0</v>
      </c>
      <c r="BC32" s="164">
        <v>0</v>
      </c>
      <c r="BD32" s="164">
        <v>0</v>
      </c>
      <c r="BE32" s="164">
        <f t="shared" si="5"/>
        <v>0</v>
      </c>
      <c r="BF32" s="164">
        <v>40</v>
      </c>
      <c r="BG32" s="164">
        <f>VLOOKUP(C32,薪酬明细!A:AC,29,0)</f>
        <v>1000</v>
      </c>
      <c r="BH32" s="164">
        <v>0</v>
      </c>
      <c r="BI32" s="164">
        <v>0</v>
      </c>
      <c r="BJ32" s="164">
        <v>0</v>
      </c>
      <c r="BK32" s="164">
        <v>0</v>
      </c>
      <c r="BL32" s="164">
        <v>0</v>
      </c>
      <c r="BM32" s="164">
        <v>0</v>
      </c>
      <c r="BN32" s="164">
        <f t="shared" si="6"/>
        <v>0</v>
      </c>
      <c r="BO32" s="164"/>
      <c r="BP32" s="164"/>
      <c r="BQ32" s="164"/>
      <c r="BR32" s="164"/>
      <c r="BS32" s="164"/>
      <c r="BT32" s="164"/>
      <c r="BU32" s="164"/>
      <c r="BV32" s="164"/>
      <c r="BW32" s="164"/>
      <c r="BX32" s="164"/>
      <c r="BY32" s="164"/>
      <c r="BZ32" s="164"/>
      <c r="CA32" s="164"/>
      <c r="CB32" s="164"/>
      <c r="CC32" s="164"/>
      <c r="CD32" s="164"/>
      <c r="CE32" s="164"/>
      <c r="CF32" s="164"/>
      <c r="CG32" s="164"/>
      <c r="CH32" s="164"/>
      <c r="CI32" s="164"/>
      <c r="CJ32" s="164"/>
      <c r="CK32" s="164"/>
      <c r="CL32" s="164"/>
      <c r="CM32" s="164"/>
      <c r="CN32" s="164"/>
      <c r="CO32" s="164"/>
      <c r="CP32" s="164"/>
      <c r="CQ32" s="164"/>
      <c r="CR32" s="164"/>
      <c r="CS32" s="164"/>
      <c r="CT32" s="164"/>
      <c r="CU32" s="164"/>
      <c r="CV32" s="164"/>
      <c r="CW32" s="164"/>
      <c r="CX32" s="164"/>
      <c r="CY32" s="164"/>
      <c r="CZ32" s="164"/>
      <c r="DA32" s="164"/>
      <c r="DB32" s="164"/>
      <c r="DC32" s="164"/>
      <c r="DD32" s="164"/>
      <c r="DE32" s="164"/>
      <c r="DF32" s="164"/>
      <c r="DG32" s="164"/>
      <c r="DH32" s="164"/>
      <c r="DI32" s="164"/>
      <c r="DJ32" s="164"/>
      <c r="DK32" s="164"/>
      <c r="DL32" s="164"/>
      <c r="DM32" s="164"/>
      <c r="DN32" s="164"/>
      <c r="DO32" s="164"/>
      <c r="DP32" s="164"/>
      <c r="DQ32" s="164"/>
      <c r="DR32" s="163"/>
      <c r="DS32" s="164">
        <f t="shared" si="7"/>
        <v>6000</v>
      </c>
      <c r="DT32" s="164">
        <f t="shared" si="8"/>
        <v>0</v>
      </c>
      <c r="DU32" s="164">
        <f t="shared" si="9"/>
        <v>0</v>
      </c>
      <c r="DV32" s="164">
        <f t="shared" si="10"/>
        <v>200</v>
      </c>
      <c r="DW32" s="166"/>
      <c r="DX32" s="153" t="str">
        <f>VLOOKUP(C32,薪酬明细!A:A,1,0)</f>
        <v>开弈人力资源王倩</v>
      </c>
    </row>
    <row r="33" spans="1:128">
      <c r="A33" s="163" t="s">
        <v>63</v>
      </c>
      <c r="B33" s="163" t="s">
        <v>324</v>
      </c>
      <c r="C33" s="164" t="str">
        <f t="shared" si="0"/>
        <v>靠普人力毛华英</v>
      </c>
      <c r="D33" s="165">
        <v>46023</v>
      </c>
      <c r="E33" s="164">
        <v>7593.13</v>
      </c>
      <c r="F33" s="164">
        <v>1300.3</v>
      </c>
      <c r="G33" s="164">
        <v>0</v>
      </c>
      <c r="H33" s="164">
        <v>0</v>
      </c>
      <c r="I33" s="164">
        <v>0</v>
      </c>
      <c r="J33" s="164">
        <v>0</v>
      </c>
      <c r="K33" s="164">
        <v>0</v>
      </c>
      <c r="L33" s="164">
        <f t="shared" si="1"/>
        <v>0</v>
      </c>
      <c r="M33" s="164">
        <v>38.78</v>
      </c>
      <c r="N33" s="164"/>
      <c r="O33" s="164"/>
      <c r="P33" s="164"/>
      <c r="Q33" s="164"/>
      <c r="R33" s="164"/>
      <c r="S33" s="164"/>
      <c r="T33" s="164"/>
      <c r="U33" s="164"/>
      <c r="V33" s="164"/>
      <c r="W33" s="164">
        <v>7028.35</v>
      </c>
      <c r="X33" s="164">
        <v>1300.3</v>
      </c>
      <c r="Y33" s="164">
        <v>0</v>
      </c>
      <c r="Z33" s="164">
        <v>0</v>
      </c>
      <c r="AA33" s="164">
        <v>0</v>
      </c>
      <c r="AB33" s="164">
        <v>0</v>
      </c>
      <c r="AC33" s="164">
        <v>0</v>
      </c>
      <c r="AD33" s="164">
        <f t="shared" si="2"/>
        <v>0</v>
      </c>
      <c r="AE33" s="164">
        <v>21.85</v>
      </c>
      <c r="AF33" s="164">
        <v>7437.95</v>
      </c>
      <c r="AG33" s="164">
        <v>1300.3</v>
      </c>
      <c r="AH33" s="164">
        <v>0</v>
      </c>
      <c r="AI33" s="164">
        <v>0</v>
      </c>
      <c r="AJ33" s="164">
        <v>0</v>
      </c>
      <c r="AK33" s="164">
        <v>0</v>
      </c>
      <c r="AL33" s="164">
        <v>0</v>
      </c>
      <c r="AM33" s="164">
        <f t="shared" si="3"/>
        <v>0</v>
      </c>
      <c r="AN33" s="164">
        <v>34.13</v>
      </c>
      <c r="AO33" s="164">
        <v>7552.35</v>
      </c>
      <c r="AP33" s="164">
        <v>1300.3</v>
      </c>
      <c r="AQ33" s="164">
        <v>0</v>
      </c>
      <c r="AR33" s="164">
        <v>0</v>
      </c>
      <c r="AS33" s="164">
        <v>0</v>
      </c>
      <c r="AT33" s="164">
        <v>0</v>
      </c>
      <c r="AU33" s="164">
        <v>0</v>
      </c>
      <c r="AV33" s="164">
        <f t="shared" si="4"/>
        <v>0</v>
      </c>
      <c r="AW33" s="164">
        <v>37.56</v>
      </c>
      <c r="AX33" s="164">
        <v>14078.75</v>
      </c>
      <c r="AY33" s="164">
        <v>1300.3</v>
      </c>
      <c r="AZ33" s="164">
        <v>0</v>
      </c>
      <c r="BA33" s="164">
        <v>0</v>
      </c>
      <c r="BB33" s="164">
        <v>0</v>
      </c>
      <c r="BC33" s="164">
        <v>0</v>
      </c>
      <c r="BD33" s="164">
        <v>0</v>
      </c>
      <c r="BE33" s="164">
        <f t="shared" si="5"/>
        <v>0</v>
      </c>
      <c r="BF33" s="164">
        <v>233.35</v>
      </c>
      <c r="BG33" s="164">
        <f>VLOOKUP(C33,薪酬明细!A:AC,29,0)</f>
        <v>7448.9</v>
      </c>
      <c r="BH33" s="164">
        <v>1300.3</v>
      </c>
      <c r="BI33" s="164">
        <v>0</v>
      </c>
      <c r="BJ33" s="164">
        <v>0</v>
      </c>
      <c r="BK33" s="164">
        <v>0</v>
      </c>
      <c r="BL33" s="164">
        <v>0</v>
      </c>
      <c r="BM33" s="164">
        <v>0</v>
      </c>
      <c r="BN33" s="164">
        <f t="shared" si="6"/>
        <v>0</v>
      </c>
      <c r="BO33" s="164"/>
      <c r="BP33" s="164"/>
      <c r="BQ33" s="164"/>
      <c r="BR33" s="164"/>
      <c r="BS33" s="164"/>
      <c r="BT33" s="164"/>
      <c r="BU33" s="164"/>
      <c r="BV33" s="164"/>
      <c r="BW33" s="164"/>
      <c r="BX33" s="164"/>
      <c r="BY33" s="164"/>
      <c r="BZ33" s="164"/>
      <c r="CA33" s="164"/>
      <c r="CB33" s="164"/>
      <c r="CC33" s="164"/>
      <c r="CD33" s="164"/>
      <c r="CE33" s="164"/>
      <c r="CF33" s="164"/>
      <c r="CG33" s="164"/>
      <c r="CH33" s="164"/>
      <c r="CI33" s="164"/>
      <c r="CJ33" s="164"/>
      <c r="CK33" s="164"/>
      <c r="CL33" s="164"/>
      <c r="CM33" s="164"/>
      <c r="CN33" s="164"/>
      <c r="CO33" s="164"/>
      <c r="CP33" s="164"/>
      <c r="CQ33" s="164"/>
      <c r="CR33" s="164"/>
      <c r="CS33" s="164"/>
      <c r="CT33" s="164"/>
      <c r="CU33" s="164"/>
      <c r="CV33" s="164"/>
      <c r="CW33" s="164"/>
      <c r="CX33" s="164"/>
      <c r="CY33" s="164"/>
      <c r="CZ33" s="164"/>
      <c r="DA33" s="164"/>
      <c r="DB33" s="164"/>
      <c r="DC33" s="164"/>
      <c r="DD33" s="164"/>
      <c r="DE33" s="164"/>
      <c r="DF33" s="164"/>
      <c r="DG33" s="164"/>
      <c r="DH33" s="164"/>
      <c r="DI33" s="164"/>
      <c r="DJ33" s="164"/>
      <c r="DK33" s="164"/>
      <c r="DL33" s="164"/>
      <c r="DM33" s="164"/>
      <c r="DN33" s="164"/>
      <c r="DO33" s="164"/>
      <c r="DP33" s="164"/>
      <c r="DQ33" s="164"/>
      <c r="DR33" s="163"/>
      <c r="DS33" s="164">
        <f t="shared" si="7"/>
        <v>51139.43</v>
      </c>
      <c r="DT33" s="164">
        <f t="shared" si="8"/>
        <v>7801.8</v>
      </c>
      <c r="DU33" s="164">
        <f t="shared" si="9"/>
        <v>0</v>
      </c>
      <c r="DV33" s="164">
        <f t="shared" si="10"/>
        <v>365.67</v>
      </c>
      <c r="DW33" s="166"/>
      <c r="DX33" s="153" t="str">
        <f>VLOOKUP(C33,薪酬明细!A:A,1,0)</f>
        <v>靠普人力毛华英</v>
      </c>
    </row>
    <row r="34" spans="1:128">
      <c r="A34" s="163" t="s">
        <v>61</v>
      </c>
      <c r="B34" s="163" t="s">
        <v>320</v>
      </c>
      <c r="C34" s="164" t="str">
        <f t="shared" si="0"/>
        <v>开弈人力资源芦智蔚</v>
      </c>
      <c r="D34" s="165">
        <v>46023</v>
      </c>
      <c r="E34" s="164">
        <v>20401.88</v>
      </c>
      <c r="F34" s="164">
        <v>2250</v>
      </c>
      <c r="G34" s="164">
        <v>0</v>
      </c>
      <c r="H34" s="164">
        <v>0</v>
      </c>
      <c r="I34" s="164">
        <v>0</v>
      </c>
      <c r="J34" s="164">
        <v>1500</v>
      </c>
      <c r="K34" s="164">
        <v>0</v>
      </c>
      <c r="L34" s="164">
        <f t="shared" si="1"/>
        <v>1500</v>
      </c>
      <c r="M34" s="164">
        <v>349.56</v>
      </c>
      <c r="N34" s="164"/>
      <c r="O34" s="164"/>
      <c r="P34" s="164"/>
      <c r="Q34" s="164"/>
      <c r="R34" s="164"/>
      <c r="S34" s="164"/>
      <c r="T34" s="164"/>
      <c r="U34" s="164"/>
      <c r="V34" s="164"/>
      <c r="W34" s="164">
        <v>17823.88</v>
      </c>
      <c r="X34" s="164">
        <v>2250</v>
      </c>
      <c r="Y34" s="164">
        <v>0</v>
      </c>
      <c r="Z34" s="164">
        <v>0</v>
      </c>
      <c r="AA34" s="164">
        <v>0</v>
      </c>
      <c r="AB34" s="164">
        <v>1500</v>
      </c>
      <c r="AC34" s="164">
        <v>0</v>
      </c>
      <c r="AD34" s="164">
        <f t="shared" si="2"/>
        <v>1500</v>
      </c>
      <c r="AE34" s="164">
        <v>272.21</v>
      </c>
      <c r="AF34" s="164">
        <v>79703.88</v>
      </c>
      <c r="AG34" s="164">
        <v>2250</v>
      </c>
      <c r="AH34" s="164">
        <v>0</v>
      </c>
      <c r="AI34" s="164">
        <v>0</v>
      </c>
      <c r="AJ34" s="164">
        <v>0</v>
      </c>
      <c r="AK34" s="164">
        <v>1500</v>
      </c>
      <c r="AL34" s="164">
        <v>0</v>
      </c>
      <c r="AM34" s="164">
        <f t="shared" si="3"/>
        <v>1500</v>
      </c>
      <c r="AN34" s="164">
        <v>6026.19</v>
      </c>
      <c r="AO34" s="164">
        <v>30508.36</v>
      </c>
      <c r="AP34" s="164">
        <v>2250</v>
      </c>
      <c r="AQ34" s="164">
        <v>0</v>
      </c>
      <c r="AR34" s="164">
        <v>0</v>
      </c>
      <c r="AS34" s="164">
        <v>0</v>
      </c>
      <c r="AT34" s="164">
        <v>1500</v>
      </c>
      <c r="AU34" s="164">
        <v>0</v>
      </c>
      <c r="AV34" s="164">
        <f t="shared" si="4"/>
        <v>1500</v>
      </c>
      <c r="AW34" s="164">
        <v>2175.84</v>
      </c>
      <c r="AX34" s="164">
        <v>28280.36</v>
      </c>
      <c r="AY34" s="164">
        <v>2250</v>
      </c>
      <c r="AZ34" s="164">
        <v>0</v>
      </c>
      <c r="BA34" s="164">
        <v>0</v>
      </c>
      <c r="BB34" s="164">
        <v>0</v>
      </c>
      <c r="BC34" s="164">
        <v>1500</v>
      </c>
      <c r="BD34" s="164">
        <v>0</v>
      </c>
      <c r="BE34" s="164">
        <f t="shared" si="5"/>
        <v>1500</v>
      </c>
      <c r="BF34" s="164">
        <v>1953.04</v>
      </c>
      <c r="BG34" s="164">
        <f>VLOOKUP(C34,薪酬明细!A:AC,29,0)</f>
        <v>31738.36</v>
      </c>
      <c r="BH34" s="164">
        <v>2250</v>
      </c>
      <c r="BI34" s="164">
        <v>0</v>
      </c>
      <c r="BJ34" s="164">
        <v>0</v>
      </c>
      <c r="BK34" s="164">
        <v>0</v>
      </c>
      <c r="BL34" s="164">
        <v>1500</v>
      </c>
      <c r="BM34" s="164">
        <v>0</v>
      </c>
      <c r="BN34" s="164">
        <f t="shared" si="6"/>
        <v>1500</v>
      </c>
      <c r="BO34" s="164"/>
      <c r="BP34" s="164"/>
      <c r="BQ34" s="164"/>
      <c r="BR34" s="164"/>
      <c r="BS34" s="164"/>
      <c r="BT34" s="164"/>
      <c r="BU34" s="164"/>
      <c r="BV34" s="164"/>
      <c r="BW34" s="164"/>
      <c r="BX34" s="164"/>
      <c r="BY34" s="164"/>
      <c r="BZ34" s="164"/>
      <c r="CA34" s="164"/>
      <c r="CB34" s="164"/>
      <c r="CC34" s="164"/>
      <c r="CD34" s="164"/>
      <c r="CE34" s="164"/>
      <c r="CF34" s="164"/>
      <c r="CG34" s="164"/>
      <c r="CH34" s="164"/>
      <c r="CI34" s="164"/>
      <c r="CJ34" s="164"/>
      <c r="CK34" s="164"/>
      <c r="CL34" s="164"/>
      <c r="CM34" s="164"/>
      <c r="CN34" s="164"/>
      <c r="CO34" s="164"/>
      <c r="CP34" s="164"/>
      <c r="CQ34" s="164"/>
      <c r="CR34" s="164"/>
      <c r="CS34" s="164"/>
      <c r="CT34" s="164"/>
      <c r="CU34" s="164"/>
      <c r="CV34" s="164"/>
      <c r="CW34" s="164"/>
      <c r="CX34" s="164"/>
      <c r="CY34" s="164"/>
      <c r="CZ34" s="164"/>
      <c r="DA34" s="164"/>
      <c r="DB34" s="164"/>
      <c r="DC34" s="164"/>
      <c r="DD34" s="164"/>
      <c r="DE34" s="164"/>
      <c r="DF34" s="164"/>
      <c r="DG34" s="164"/>
      <c r="DH34" s="164"/>
      <c r="DI34" s="164"/>
      <c r="DJ34" s="164"/>
      <c r="DK34" s="164"/>
      <c r="DL34" s="164"/>
      <c r="DM34" s="164"/>
      <c r="DN34" s="164"/>
      <c r="DO34" s="164"/>
      <c r="DP34" s="164"/>
      <c r="DQ34" s="164"/>
      <c r="DR34" s="163"/>
      <c r="DS34" s="164">
        <f t="shared" si="7"/>
        <v>208456.72</v>
      </c>
      <c r="DT34" s="164">
        <f t="shared" si="8"/>
        <v>13500</v>
      </c>
      <c r="DU34" s="164">
        <f t="shared" si="9"/>
        <v>9000</v>
      </c>
      <c r="DV34" s="164">
        <f t="shared" si="10"/>
        <v>10776.84</v>
      </c>
      <c r="DW34" s="166"/>
      <c r="DX34" s="153" t="str">
        <f>VLOOKUP(C34,薪酬明细!A:A,1,0)</f>
        <v>开弈人力资源芦智蔚</v>
      </c>
    </row>
    <row r="35" spans="1:128">
      <c r="A35" s="163" t="s">
        <v>60</v>
      </c>
      <c r="B35" s="163" t="s">
        <v>339</v>
      </c>
      <c r="C35" s="164" t="str">
        <f t="shared" si="0"/>
        <v>开弈人才张祥</v>
      </c>
      <c r="D35" s="165">
        <v>46023</v>
      </c>
      <c r="E35" s="164">
        <v>9144.85</v>
      </c>
      <c r="F35" s="164">
        <v>1300.3</v>
      </c>
      <c r="G35" s="164">
        <v>0</v>
      </c>
      <c r="H35" s="164">
        <v>0</v>
      </c>
      <c r="I35" s="164">
        <v>0</v>
      </c>
      <c r="J35" s="164">
        <v>0</v>
      </c>
      <c r="K35" s="164">
        <v>0</v>
      </c>
      <c r="L35" s="164">
        <f t="shared" si="1"/>
        <v>0</v>
      </c>
      <c r="M35" s="164">
        <v>85.34</v>
      </c>
      <c r="N35" s="164"/>
      <c r="O35" s="164"/>
      <c r="P35" s="164"/>
      <c r="Q35" s="164"/>
      <c r="R35" s="164"/>
      <c r="S35" s="164"/>
      <c r="T35" s="164"/>
      <c r="U35" s="164"/>
      <c r="V35" s="164"/>
      <c r="W35" s="164">
        <v>8405.05</v>
      </c>
      <c r="X35" s="164">
        <v>1300.3</v>
      </c>
      <c r="Y35" s="164">
        <v>0</v>
      </c>
      <c r="Z35" s="164">
        <v>0</v>
      </c>
      <c r="AA35" s="164">
        <v>0</v>
      </c>
      <c r="AB35" s="164">
        <v>0</v>
      </c>
      <c r="AC35" s="164">
        <v>0</v>
      </c>
      <c r="AD35" s="164">
        <f t="shared" si="2"/>
        <v>0</v>
      </c>
      <c r="AE35" s="164">
        <v>63.14</v>
      </c>
      <c r="AF35" s="164">
        <v>9144.85</v>
      </c>
      <c r="AG35" s="164">
        <v>1300.3</v>
      </c>
      <c r="AH35" s="164">
        <v>0</v>
      </c>
      <c r="AI35" s="164">
        <v>0</v>
      </c>
      <c r="AJ35" s="164">
        <v>0</v>
      </c>
      <c r="AK35" s="164">
        <v>0</v>
      </c>
      <c r="AL35" s="164">
        <v>0</v>
      </c>
      <c r="AM35" s="164">
        <f t="shared" si="3"/>
        <v>0</v>
      </c>
      <c r="AN35" s="164">
        <v>85.34</v>
      </c>
      <c r="AO35" s="164">
        <v>9155.8</v>
      </c>
      <c r="AP35" s="164">
        <v>1300.3</v>
      </c>
      <c r="AQ35" s="164">
        <v>0</v>
      </c>
      <c r="AR35" s="164">
        <v>0</v>
      </c>
      <c r="AS35" s="164">
        <v>0</v>
      </c>
      <c r="AT35" s="164">
        <v>0</v>
      </c>
      <c r="AU35" s="164">
        <v>0</v>
      </c>
      <c r="AV35" s="164">
        <f t="shared" si="4"/>
        <v>0</v>
      </c>
      <c r="AW35" s="164">
        <v>85.66</v>
      </c>
      <c r="AX35" s="164">
        <v>14191.8</v>
      </c>
      <c r="AY35" s="164">
        <v>1300.3</v>
      </c>
      <c r="AZ35" s="164">
        <v>0</v>
      </c>
      <c r="BA35" s="164">
        <v>0</v>
      </c>
      <c r="BB35" s="164">
        <v>0</v>
      </c>
      <c r="BC35" s="164">
        <v>0</v>
      </c>
      <c r="BD35" s="164">
        <v>0</v>
      </c>
      <c r="BE35" s="164">
        <f t="shared" si="5"/>
        <v>0</v>
      </c>
      <c r="BF35" s="164">
        <v>236.75</v>
      </c>
      <c r="BG35" s="164">
        <f>VLOOKUP(C35,薪酬明细!A:AC,29,0)</f>
        <v>9031.66</v>
      </c>
      <c r="BH35" s="164">
        <v>1300.3</v>
      </c>
      <c r="BI35" s="164">
        <v>0</v>
      </c>
      <c r="BJ35" s="164">
        <v>0</v>
      </c>
      <c r="BK35" s="164">
        <v>0</v>
      </c>
      <c r="BL35" s="164">
        <v>0</v>
      </c>
      <c r="BM35" s="164">
        <v>0</v>
      </c>
      <c r="BN35" s="164">
        <f t="shared" si="6"/>
        <v>0</v>
      </c>
      <c r="BO35" s="164"/>
      <c r="BP35" s="164"/>
      <c r="BQ35" s="164"/>
      <c r="BR35" s="164"/>
      <c r="BS35" s="164"/>
      <c r="BT35" s="164"/>
      <c r="BU35" s="164"/>
      <c r="BV35" s="164"/>
      <c r="BW35" s="164"/>
      <c r="BX35" s="164"/>
      <c r="BY35" s="164"/>
      <c r="BZ35" s="164"/>
      <c r="CA35" s="164"/>
      <c r="CB35" s="164"/>
      <c r="CC35" s="164"/>
      <c r="CD35" s="164"/>
      <c r="CE35" s="164"/>
      <c r="CF35" s="164"/>
      <c r="CG35" s="164"/>
      <c r="CH35" s="164"/>
      <c r="CI35" s="164"/>
      <c r="CJ35" s="164"/>
      <c r="CK35" s="164"/>
      <c r="CL35" s="164"/>
      <c r="CM35" s="164"/>
      <c r="CN35" s="164"/>
      <c r="CO35" s="164"/>
      <c r="CP35" s="164"/>
      <c r="CQ35" s="164"/>
      <c r="CR35" s="164"/>
      <c r="CS35" s="164"/>
      <c r="CT35" s="164"/>
      <c r="CU35" s="164"/>
      <c r="CV35" s="164"/>
      <c r="CW35" s="164"/>
      <c r="CX35" s="164"/>
      <c r="CY35" s="164"/>
      <c r="CZ35" s="164"/>
      <c r="DA35" s="164"/>
      <c r="DB35" s="164"/>
      <c r="DC35" s="164"/>
      <c r="DD35" s="164"/>
      <c r="DE35" s="164"/>
      <c r="DF35" s="164"/>
      <c r="DG35" s="164"/>
      <c r="DH35" s="164"/>
      <c r="DI35" s="164"/>
      <c r="DJ35" s="164"/>
      <c r="DK35" s="164"/>
      <c r="DL35" s="164"/>
      <c r="DM35" s="164"/>
      <c r="DN35" s="164"/>
      <c r="DO35" s="164"/>
      <c r="DP35" s="164"/>
      <c r="DQ35" s="164"/>
      <c r="DR35" s="163"/>
      <c r="DS35" s="164">
        <f t="shared" si="7"/>
        <v>59074.01</v>
      </c>
      <c r="DT35" s="164">
        <f t="shared" si="8"/>
        <v>7801.8</v>
      </c>
      <c r="DU35" s="164">
        <f t="shared" si="9"/>
        <v>0</v>
      </c>
      <c r="DV35" s="164">
        <f t="shared" si="10"/>
        <v>556.23</v>
      </c>
      <c r="DW35" s="166"/>
      <c r="DX35" s="153" t="str">
        <f>VLOOKUP(C35,薪酬明细!A:A,1,0)</f>
        <v>开弈人才张祥</v>
      </c>
    </row>
    <row r="36" s="150" customFormat="1" spans="1:128">
      <c r="A36" s="163" t="s">
        <v>71</v>
      </c>
      <c r="B36" s="163" t="s">
        <v>357</v>
      </c>
      <c r="C36" s="164" t="str">
        <f t="shared" si="0"/>
        <v>开弈投资李佳</v>
      </c>
      <c r="D36" s="165">
        <v>46023</v>
      </c>
      <c r="E36" s="164">
        <v>8434.85</v>
      </c>
      <c r="F36" s="164">
        <v>1627.5</v>
      </c>
      <c r="G36" s="164">
        <v>0</v>
      </c>
      <c r="H36" s="164">
        <v>0</v>
      </c>
      <c r="I36" s="164">
        <v>1500</v>
      </c>
      <c r="J36" s="164">
        <v>3000</v>
      </c>
      <c r="K36" s="164">
        <v>0</v>
      </c>
      <c r="L36" s="164">
        <f t="shared" si="1"/>
        <v>4500</v>
      </c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>
        <v>7377.87</v>
      </c>
      <c r="X36" s="164">
        <v>1627.5</v>
      </c>
      <c r="Y36" s="164">
        <v>0</v>
      </c>
      <c r="Z36" s="164">
        <v>0</v>
      </c>
      <c r="AA36" s="164">
        <v>1500</v>
      </c>
      <c r="AB36" s="164">
        <v>3000</v>
      </c>
      <c r="AC36" s="164">
        <v>0</v>
      </c>
      <c r="AD36" s="164">
        <f t="shared" si="2"/>
        <v>4500</v>
      </c>
      <c r="AE36" s="164"/>
      <c r="AF36" s="164">
        <v>8148.67</v>
      </c>
      <c r="AG36" s="164">
        <v>1627.5</v>
      </c>
      <c r="AH36" s="164">
        <v>0</v>
      </c>
      <c r="AI36" s="164">
        <v>0</v>
      </c>
      <c r="AJ36" s="164">
        <v>1500</v>
      </c>
      <c r="AK36" s="164">
        <v>3000</v>
      </c>
      <c r="AL36" s="164">
        <v>0</v>
      </c>
      <c r="AM36" s="164">
        <f t="shared" si="3"/>
        <v>4500</v>
      </c>
      <c r="AN36" s="164">
        <v>0</v>
      </c>
      <c r="AO36" s="164">
        <v>7658.88</v>
      </c>
      <c r="AP36" s="164">
        <v>1627.5</v>
      </c>
      <c r="AQ36" s="164">
        <v>0</v>
      </c>
      <c r="AR36" s="164">
        <v>0</v>
      </c>
      <c r="AS36" s="164">
        <v>1500</v>
      </c>
      <c r="AT36" s="164">
        <v>3000</v>
      </c>
      <c r="AU36" s="164">
        <v>0</v>
      </c>
      <c r="AV36" s="164">
        <f t="shared" si="4"/>
        <v>4500</v>
      </c>
      <c r="AW36" s="164">
        <v>0</v>
      </c>
      <c r="AX36" s="164">
        <v>6556.89</v>
      </c>
      <c r="AY36" s="164">
        <v>1627.5</v>
      </c>
      <c r="AZ36" s="164">
        <v>0</v>
      </c>
      <c r="BA36" s="164">
        <v>0</v>
      </c>
      <c r="BB36" s="164">
        <v>1500</v>
      </c>
      <c r="BC36" s="164">
        <v>3000</v>
      </c>
      <c r="BD36" s="164">
        <v>0</v>
      </c>
      <c r="BE36" s="164">
        <f t="shared" si="5"/>
        <v>4500</v>
      </c>
      <c r="BF36" s="164">
        <v>0</v>
      </c>
      <c r="BG36" s="164">
        <f>VLOOKUP(C36,薪酬明细!A:AC,29,0)</f>
        <v>8163.18</v>
      </c>
      <c r="BH36" s="164">
        <v>1627.5</v>
      </c>
      <c r="BI36" s="164">
        <v>0</v>
      </c>
      <c r="BJ36" s="164">
        <v>0</v>
      </c>
      <c r="BK36" s="164">
        <v>1500</v>
      </c>
      <c r="BL36" s="164">
        <v>3000</v>
      </c>
      <c r="BM36" s="164">
        <v>0</v>
      </c>
      <c r="BN36" s="164">
        <f t="shared" si="6"/>
        <v>4500</v>
      </c>
      <c r="BO36" s="164"/>
      <c r="BP36" s="164"/>
      <c r="BQ36" s="164"/>
      <c r="BR36" s="164"/>
      <c r="BS36" s="164"/>
      <c r="BT36" s="164"/>
      <c r="BU36" s="164"/>
      <c r="BV36" s="164"/>
      <c r="BW36" s="164"/>
      <c r="BX36" s="164"/>
      <c r="BY36" s="164"/>
      <c r="BZ36" s="164"/>
      <c r="CA36" s="164"/>
      <c r="CB36" s="164"/>
      <c r="CC36" s="164"/>
      <c r="CD36" s="164"/>
      <c r="CE36" s="164"/>
      <c r="CF36" s="164"/>
      <c r="CG36" s="164"/>
      <c r="CH36" s="164"/>
      <c r="CI36" s="164"/>
      <c r="CJ36" s="164"/>
      <c r="CK36" s="164"/>
      <c r="CL36" s="164"/>
      <c r="CM36" s="164"/>
      <c r="CN36" s="164"/>
      <c r="CO36" s="164"/>
      <c r="CP36" s="164"/>
      <c r="CQ36" s="164"/>
      <c r="CR36" s="164"/>
      <c r="CS36" s="164"/>
      <c r="CT36" s="164"/>
      <c r="CU36" s="164"/>
      <c r="CV36" s="164"/>
      <c r="CW36" s="164"/>
      <c r="CX36" s="164"/>
      <c r="CY36" s="164"/>
      <c r="CZ36" s="164"/>
      <c r="DA36" s="164"/>
      <c r="DB36" s="164"/>
      <c r="DC36" s="164"/>
      <c r="DD36" s="164"/>
      <c r="DE36" s="164"/>
      <c r="DF36" s="164"/>
      <c r="DG36" s="164"/>
      <c r="DH36" s="164"/>
      <c r="DI36" s="164"/>
      <c r="DJ36" s="164"/>
      <c r="DK36" s="164"/>
      <c r="DL36" s="164"/>
      <c r="DM36" s="164"/>
      <c r="DN36" s="164"/>
      <c r="DO36" s="164"/>
      <c r="DP36" s="164"/>
      <c r="DQ36" s="164"/>
      <c r="DR36" s="163"/>
      <c r="DS36" s="164">
        <f t="shared" si="7"/>
        <v>46340.34</v>
      </c>
      <c r="DT36" s="164">
        <f t="shared" si="8"/>
        <v>9765</v>
      </c>
      <c r="DU36" s="164">
        <f t="shared" si="9"/>
        <v>27000</v>
      </c>
      <c r="DV36" s="164">
        <f t="shared" si="10"/>
        <v>0</v>
      </c>
      <c r="DW36" s="166"/>
      <c r="DX36" s="153" t="str">
        <f>VLOOKUP(C36,薪酬明细!A:A,1,0)</f>
        <v>开弈投资李佳</v>
      </c>
    </row>
    <row r="37" s="150" customFormat="1" spans="1:128">
      <c r="A37" s="163" t="s">
        <v>71</v>
      </c>
      <c r="B37" s="163" t="s">
        <v>375</v>
      </c>
      <c r="C37" s="164" t="str">
        <f t="shared" si="0"/>
        <v>开弈投资林水桃</v>
      </c>
      <c r="D37" s="165">
        <v>46023</v>
      </c>
      <c r="E37" s="164">
        <v>4144.85</v>
      </c>
      <c r="F37" s="164">
        <v>0</v>
      </c>
      <c r="G37" s="164">
        <v>0</v>
      </c>
      <c r="H37" s="164">
        <v>0</v>
      </c>
      <c r="I37" s="164">
        <v>0</v>
      </c>
      <c r="J37" s="164">
        <v>0</v>
      </c>
      <c r="K37" s="164">
        <v>0</v>
      </c>
      <c r="L37" s="164">
        <f t="shared" si="1"/>
        <v>0</v>
      </c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>
        <v>4144.85</v>
      </c>
      <c r="X37" s="164">
        <v>0</v>
      </c>
      <c r="Y37" s="164">
        <v>0</v>
      </c>
      <c r="Z37" s="164">
        <v>0</v>
      </c>
      <c r="AA37" s="164">
        <v>0</v>
      </c>
      <c r="AB37" s="164">
        <v>0</v>
      </c>
      <c r="AC37" s="164">
        <v>0</v>
      </c>
      <c r="AD37" s="164">
        <f t="shared" si="2"/>
        <v>0</v>
      </c>
      <c r="AE37" s="164"/>
      <c r="AF37" s="164">
        <v>4144.85</v>
      </c>
      <c r="AG37" s="164">
        <v>0</v>
      </c>
      <c r="AH37" s="164">
        <v>0</v>
      </c>
      <c r="AI37" s="164">
        <v>0</v>
      </c>
      <c r="AJ37" s="164">
        <v>0</v>
      </c>
      <c r="AK37" s="164">
        <v>0</v>
      </c>
      <c r="AL37" s="164">
        <v>0</v>
      </c>
      <c r="AM37" s="164">
        <f t="shared" si="3"/>
        <v>0</v>
      </c>
      <c r="AN37" s="164">
        <v>0</v>
      </c>
      <c r="AO37" s="164">
        <v>4155.8</v>
      </c>
      <c r="AP37" s="164">
        <v>0</v>
      </c>
      <c r="AQ37" s="164">
        <v>0</v>
      </c>
      <c r="AR37" s="164">
        <v>0</v>
      </c>
      <c r="AS37" s="164">
        <v>0</v>
      </c>
      <c r="AT37" s="164">
        <v>0</v>
      </c>
      <c r="AU37" s="164">
        <v>0</v>
      </c>
      <c r="AV37" s="164">
        <f t="shared" si="4"/>
        <v>0</v>
      </c>
      <c r="AW37" s="164">
        <v>0</v>
      </c>
      <c r="AX37" s="164">
        <v>4155.8</v>
      </c>
      <c r="AY37" s="164">
        <v>0</v>
      </c>
      <c r="AZ37" s="164">
        <v>0</v>
      </c>
      <c r="BA37" s="164">
        <v>0</v>
      </c>
      <c r="BB37" s="164">
        <v>0</v>
      </c>
      <c r="BC37" s="164">
        <v>0</v>
      </c>
      <c r="BD37" s="164">
        <v>0</v>
      </c>
      <c r="BE37" s="164">
        <f t="shared" si="5"/>
        <v>0</v>
      </c>
      <c r="BF37" s="164">
        <v>0</v>
      </c>
      <c r="BG37" s="164">
        <f>VLOOKUP(C37,薪酬明细!A:AC,29,0)</f>
        <v>4155.8</v>
      </c>
      <c r="BH37" s="164">
        <v>0</v>
      </c>
      <c r="BI37" s="164">
        <v>0</v>
      </c>
      <c r="BJ37" s="164">
        <v>0</v>
      </c>
      <c r="BK37" s="164">
        <v>0</v>
      </c>
      <c r="BL37" s="164">
        <v>0</v>
      </c>
      <c r="BM37" s="164">
        <v>0</v>
      </c>
      <c r="BN37" s="164">
        <f t="shared" si="6"/>
        <v>0</v>
      </c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164"/>
      <c r="BZ37" s="164"/>
      <c r="CA37" s="164"/>
      <c r="CB37" s="164"/>
      <c r="CC37" s="164"/>
      <c r="CD37" s="164"/>
      <c r="CE37" s="164"/>
      <c r="CF37" s="164"/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164"/>
      <c r="DB37" s="164"/>
      <c r="DC37" s="164"/>
      <c r="DD37" s="164"/>
      <c r="DE37" s="164"/>
      <c r="DF37" s="164"/>
      <c r="DG37" s="164"/>
      <c r="DH37" s="164"/>
      <c r="DI37" s="164"/>
      <c r="DJ37" s="164"/>
      <c r="DK37" s="164"/>
      <c r="DL37" s="164"/>
      <c r="DM37" s="164"/>
      <c r="DN37" s="164"/>
      <c r="DO37" s="164"/>
      <c r="DP37" s="164"/>
      <c r="DQ37" s="164"/>
      <c r="DR37" s="163"/>
      <c r="DS37" s="164">
        <f t="shared" si="7"/>
        <v>24901.95</v>
      </c>
      <c r="DT37" s="164">
        <f t="shared" si="8"/>
        <v>0</v>
      </c>
      <c r="DU37" s="164">
        <f t="shared" si="9"/>
        <v>0</v>
      </c>
      <c r="DV37" s="164">
        <f t="shared" si="10"/>
        <v>0</v>
      </c>
      <c r="DW37" s="166"/>
      <c r="DX37" s="153" t="str">
        <f>VLOOKUP(C37,薪酬明细!A:A,1,0)</f>
        <v>开弈投资林水桃</v>
      </c>
    </row>
    <row r="38" s="149" customFormat="1" spans="1:128">
      <c r="A38" s="163" t="s">
        <v>71</v>
      </c>
      <c r="B38" s="163" t="s">
        <v>389</v>
      </c>
      <c r="C38" s="164" t="str">
        <f t="shared" si="0"/>
        <v>开弈投资杨美玲</v>
      </c>
      <c r="D38" s="165">
        <v>46023</v>
      </c>
      <c r="E38" s="164">
        <v>6174.65</v>
      </c>
      <c r="F38" s="164">
        <v>0</v>
      </c>
      <c r="G38" s="164">
        <v>0</v>
      </c>
      <c r="H38" s="164">
        <v>0</v>
      </c>
      <c r="I38" s="164">
        <v>1500</v>
      </c>
      <c r="J38" s="164">
        <v>0</v>
      </c>
      <c r="K38" s="164">
        <v>0</v>
      </c>
      <c r="L38" s="164">
        <f t="shared" si="1"/>
        <v>1500</v>
      </c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>
        <v>6174.65</v>
      </c>
      <c r="X38" s="164">
        <v>0</v>
      </c>
      <c r="Y38" s="164">
        <v>0</v>
      </c>
      <c r="Z38" s="164">
        <v>0</v>
      </c>
      <c r="AA38" s="164">
        <v>1500</v>
      </c>
      <c r="AB38" s="164">
        <v>0</v>
      </c>
      <c r="AC38" s="164">
        <v>0</v>
      </c>
      <c r="AD38" s="164">
        <f t="shared" si="2"/>
        <v>1500</v>
      </c>
      <c r="AE38" s="164"/>
      <c r="AF38" s="164">
        <v>6354.65</v>
      </c>
      <c r="AG38" s="164">
        <v>0</v>
      </c>
      <c r="AH38" s="164">
        <v>0</v>
      </c>
      <c r="AI38" s="164">
        <v>0</v>
      </c>
      <c r="AJ38" s="164">
        <v>1500</v>
      </c>
      <c r="AK38" s="164">
        <v>0</v>
      </c>
      <c r="AL38" s="164">
        <v>0</v>
      </c>
      <c r="AM38" s="164">
        <f t="shared" si="3"/>
        <v>1500</v>
      </c>
      <c r="AN38" s="164">
        <v>0</v>
      </c>
      <c r="AO38" s="164">
        <v>6009.25</v>
      </c>
      <c r="AP38" s="164">
        <v>0</v>
      </c>
      <c r="AQ38" s="164">
        <v>0</v>
      </c>
      <c r="AR38" s="164">
        <v>0</v>
      </c>
      <c r="AS38" s="164">
        <v>1500</v>
      </c>
      <c r="AT38" s="164">
        <v>0</v>
      </c>
      <c r="AU38" s="164">
        <v>0</v>
      </c>
      <c r="AV38" s="164">
        <f t="shared" si="4"/>
        <v>1500</v>
      </c>
      <c r="AW38" s="164">
        <v>0</v>
      </c>
      <c r="AX38" s="164">
        <v>6369.25</v>
      </c>
      <c r="AY38" s="164">
        <v>0</v>
      </c>
      <c r="AZ38" s="164">
        <v>0</v>
      </c>
      <c r="BA38" s="164">
        <v>0</v>
      </c>
      <c r="BB38" s="164">
        <v>1500</v>
      </c>
      <c r="BC38" s="164">
        <v>0</v>
      </c>
      <c r="BD38" s="164">
        <v>0</v>
      </c>
      <c r="BE38" s="164">
        <f t="shared" si="5"/>
        <v>1500</v>
      </c>
      <c r="BF38" s="164">
        <v>0</v>
      </c>
      <c r="BG38" s="164">
        <f>VLOOKUP(C38,薪酬明细!A:AC,29,0)</f>
        <v>6279.25</v>
      </c>
      <c r="BH38" s="164">
        <v>0</v>
      </c>
      <c r="BI38" s="164">
        <v>0</v>
      </c>
      <c r="BJ38" s="164">
        <v>0</v>
      </c>
      <c r="BK38" s="164">
        <v>1500</v>
      </c>
      <c r="BL38" s="164">
        <v>0</v>
      </c>
      <c r="BM38" s="164">
        <v>0</v>
      </c>
      <c r="BN38" s="164">
        <f t="shared" si="6"/>
        <v>1500</v>
      </c>
      <c r="BO38" s="164"/>
      <c r="BP38" s="164"/>
      <c r="BQ38" s="164"/>
      <c r="BR38" s="164"/>
      <c r="BS38" s="164"/>
      <c r="BT38" s="164"/>
      <c r="BU38" s="164"/>
      <c r="BV38" s="164"/>
      <c r="BW38" s="164"/>
      <c r="BX38" s="164"/>
      <c r="BY38" s="164"/>
      <c r="BZ38" s="164"/>
      <c r="CA38" s="164"/>
      <c r="CB38" s="164"/>
      <c r="CC38" s="164"/>
      <c r="CD38" s="164"/>
      <c r="CE38" s="164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164"/>
      <c r="DB38" s="164"/>
      <c r="DC38" s="164"/>
      <c r="DD38" s="164"/>
      <c r="DE38" s="164"/>
      <c r="DF38" s="164"/>
      <c r="DG38" s="164"/>
      <c r="DH38" s="164"/>
      <c r="DI38" s="164"/>
      <c r="DJ38" s="164"/>
      <c r="DK38" s="164"/>
      <c r="DL38" s="164"/>
      <c r="DM38" s="164"/>
      <c r="DN38" s="164"/>
      <c r="DO38" s="164"/>
      <c r="DP38" s="164"/>
      <c r="DQ38" s="164"/>
      <c r="DR38" s="163"/>
      <c r="DS38" s="164">
        <f t="shared" si="7"/>
        <v>37361.7</v>
      </c>
      <c r="DT38" s="164">
        <f t="shared" si="8"/>
        <v>0</v>
      </c>
      <c r="DU38" s="164">
        <f t="shared" si="9"/>
        <v>9000</v>
      </c>
      <c r="DV38" s="164">
        <f t="shared" si="10"/>
        <v>0</v>
      </c>
      <c r="DW38" s="166"/>
      <c r="DX38" s="153" t="str">
        <f>VLOOKUP(C38,薪酬明细!A:A,1,0)</f>
        <v>开弈投资杨美玲</v>
      </c>
    </row>
    <row r="39" s="149" customFormat="1" spans="1:128">
      <c r="A39" s="163" t="s">
        <v>71</v>
      </c>
      <c r="B39" s="163" t="s">
        <v>347</v>
      </c>
      <c r="C39" s="164" t="str">
        <f t="shared" si="0"/>
        <v>开弈投资金学忠</v>
      </c>
      <c r="D39" s="165">
        <v>46023</v>
      </c>
      <c r="E39" s="164">
        <v>9494.85</v>
      </c>
      <c r="F39" s="164">
        <v>1400</v>
      </c>
      <c r="G39" s="164">
        <v>0</v>
      </c>
      <c r="H39" s="164">
        <v>0</v>
      </c>
      <c r="I39" s="164">
        <v>0</v>
      </c>
      <c r="J39" s="164">
        <v>0</v>
      </c>
      <c r="K39" s="164">
        <v>0</v>
      </c>
      <c r="L39" s="164">
        <f t="shared" si="1"/>
        <v>0</v>
      </c>
      <c r="M39" s="164">
        <v>92.85</v>
      </c>
      <c r="N39" s="164"/>
      <c r="O39" s="164"/>
      <c r="P39" s="164"/>
      <c r="Q39" s="164"/>
      <c r="R39" s="164"/>
      <c r="S39" s="164"/>
      <c r="T39" s="164"/>
      <c r="U39" s="164"/>
      <c r="V39" s="164"/>
      <c r="W39" s="164">
        <v>12841.44</v>
      </c>
      <c r="X39" s="164">
        <v>1400</v>
      </c>
      <c r="Y39" s="164">
        <v>0</v>
      </c>
      <c r="Z39" s="164">
        <v>0</v>
      </c>
      <c r="AA39" s="164">
        <v>0</v>
      </c>
      <c r="AB39" s="164">
        <v>0</v>
      </c>
      <c r="AC39" s="164">
        <v>0</v>
      </c>
      <c r="AD39" s="164">
        <f t="shared" si="2"/>
        <v>0</v>
      </c>
      <c r="AE39" s="164">
        <v>193.24</v>
      </c>
      <c r="AF39" s="164">
        <v>9494.85</v>
      </c>
      <c r="AG39" s="164">
        <v>1400</v>
      </c>
      <c r="AH39" s="164">
        <v>0</v>
      </c>
      <c r="AI39" s="164">
        <v>0</v>
      </c>
      <c r="AJ39" s="164">
        <v>0</v>
      </c>
      <c r="AK39" s="164">
        <v>0</v>
      </c>
      <c r="AL39" s="164">
        <v>0</v>
      </c>
      <c r="AM39" s="164">
        <f t="shared" si="3"/>
        <v>0</v>
      </c>
      <c r="AN39" s="164">
        <v>92.84</v>
      </c>
      <c r="AO39" s="164">
        <v>9505.8</v>
      </c>
      <c r="AP39" s="164">
        <v>1400</v>
      </c>
      <c r="AQ39" s="164">
        <v>0</v>
      </c>
      <c r="AR39" s="164">
        <v>0</v>
      </c>
      <c r="AS39" s="164">
        <v>0</v>
      </c>
      <c r="AT39" s="164">
        <v>0</v>
      </c>
      <c r="AU39" s="164">
        <v>0</v>
      </c>
      <c r="AV39" s="164">
        <f t="shared" si="4"/>
        <v>0</v>
      </c>
      <c r="AW39" s="164">
        <v>93.18</v>
      </c>
      <c r="AX39" s="164">
        <v>9505.8</v>
      </c>
      <c r="AY39" s="164">
        <v>1400</v>
      </c>
      <c r="AZ39" s="164">
        <v>0</v>
      </c>
      <c r="BA39" s="164">
        <v>0</v>
      </c>
      <c r="BB39" s="164">
        <v>0</v>
      </c>
      <c r="BC39" s="164">
        <v>0</v>
      </c>
      <c r="BD39" s="164">
        <v>0</v>
      </c>
      <c r="BE39" s="164">
        <f t="shared" si="5"/>
        <v>0</v>
      </c>
      <c r="BF39" s="164">
        <v>93.17</v>
      </c>
      <c r="BG39" s="164">
        <f>VLOOKUP(C39,薪酬明细!A:AC,29,0)</f>
        <v>9805.8</v>
      </c>
      <c r="BH39" s="164">
        <v>1400</v>
      </c>
      <c r="BI39" s="164">
        <v>0</v>
      </c>
      <c r="BJ39" s="164">
        <v>0</v>
      </c>
      <c r="BK39" s="164">
        <v>0</v>
      </c>
      <c r="BL39" s="164">
        <v>0</v>
      </c>
      <c r="BM39" s="164">
        <v>0</v>
      </c>
      <c r="BN39" s="164">
        <f t="shared" si="6"/>
        <v>0</v>
      </c>
      <c r="BO39" s="164"/>
      <c r="BP39" s="164"/>
      <c r="BQ39" s="164"/>
      <c r="BR39" s="164"/>
      <c r="BS39" s="164"/>
      <c r="BT39" s="164"/>
      <c r="BU39" s="164"/>
      <c r="BV39" s="164"/>
      <c r="BW39" s="164"/>
      <c r="BX39" s="164"/>
      <c r="BY39" s="164"/>
      <c r="BZ39" s="164"/>
      <c r="CA39" s="164"/>
      <c r="CB39" s="164"/>
      <c r="CC39" s="164"/>
      <c r="CD39" s="164"/>
      <c r="CE39" s="164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164"/>
      <c r="DB39" s="164"/>
      <c r="DC39" s="164"/>
      <c r="DD39" s="164"/>
      <c r="DE39" s="164"/>
      <c r="DF39" s="164"/>
      <c r="DG39" s="164"/>
      <c r="DH39" s="164"/>
      <c r="DI39" s="164"/>
      <c r="DJ39" s="164"/>
      <c r="DK39" s="164"/>
      <c r="DL39" s="164"/>
      <c r="DM39" s="164"/>
      <c r="DN39" s="164"/>
      <c r="DO39" s="164"/>
      <c r="DP39" s="164"/>
      <c r="DQ39" s="164"/>
      <c r="DR39" s="163"/>
      <c r="DS39" s="164">
        <f t="shared" si="7"/>
        <v>60648.54</v>
      </c>
      <c r="DT39" s="164">
        <f t="shared" si="8"/>
        <v>8400</v>
      </c>
      <c r="DU39" s="164">
        <f t="shared" si="9"/>
        <v>0</v>
      </c>
      <c r="DV39" s="164">
        <f t="shared" si="10"/>
        <v>565.28</v>
      </c>
      <c r="DW39" s="166"/>
      <c r="DX39" s="153" t="str">
        <f>VLOOKUP(C39,薪酬明细!A:A,1,0)</f>
        <v>开弈投资金学忠</v>
      </c>
    </row>
    <row r="40" s="149" customFormat="1" spans="1:128">
      <c r="A40" s="163" t="s">
        <v>71</v>
      </c>
      <c r="B40" s="163" t="s">
        <v>371</v>
      </c>
      <c r="C40" s="164" t="str">
        <f t="shared" si="0"/>
        <v>开弈投资李蕾</v>
      </c>
      <c r="D40" s="165">
        <v>46023</v>
      </c>
      <c r="E40" s="164">
        <v>8944.85</v>
      </c>
      <c r="F40" s="164">
        <v>1300.3</v>
      </c>
      <c r="G40" s="164">
        <v>0</v>
      </c>
      <c r="H40" s="164">
        <v>0</v>
      </c>
      <c r="I40" s="164">
        <v>0</v>
      </c>
      <c r="J40" s="164">
        <v>0</v>
      </c>
      <c r="K40" s="164">
        <v>0</v>
      </c>
      <c r="L40" s="164">
        <f t="shared" si="1"/>
        <v>0</v>
      </c>
      <c r="M40" s="164">
        <v>79.34</v>
      </c>
      <c r="N40" s="164"/>
      <c r="O40" s="164"/>
      <c r="P40" s="164"/>
      <c r="Q40" s="164"/>
      <c r="R40" s="164"/>
      <c r="S40" s="164"/>
      <c r="T40" s="164"/>
      <c r="U40" s="164"/>
      <c r="V40" s="164"/>
      <c r="W40" s="164">
        <v>7810.53</v>
      </c>
      <c r="X40" s="164">
        <v>1300.3</v>
      </c>
      <c r="Y40" s="164">
        <v>0</v>
      </c>
      <c r="Z40" s="164">
        <v>0</v>
      </c>
      <c r="AA40" s="164">
        <v>0</v>
      </c>
      <c r="AB40" s="164">
        <v>0</v>
      </c>
      <c r="AC40" s="164">
        <v>0</v>
      </c>
      <c r="AD40" s="164">
        <f t="shared" si="2"/>
        <v>0</v>
      </c>
      <c r="AE40" s="164">
        <v>45.3</v>
      </c>
      <c r="AF40" s="164">
        <v>13305.85</v>
      </c>
      <c r="AG40" s="164">
        <v>1300.3</v>
      </c>
      <c r="AH40" s="164">
        <v>0</v>
      </c>
      <c r="AI40" s="164">
        <v>0</v>
      </c>
      <c r="AJ40" s="164">
        <v>0</v>
      </c>
      <c r="AK40" s="164">
        <v>0</v>
      </c>
      <c r="AL40" s="164">
        <v>0</v>
      </c>
      <c r="AM40" s="164">
        <f t="shared" si="3"/>
        <v>0</v>
      </c>
      <c r="AN40" s="164">
        <v>210.17</v>
      </c>
      <c r="AO40" s="164">
        <v>9169.8</v>
      </c>
      <c r="AP40" s="164">
        <v>1300.3</v>
      </c>
      <c r="AQ40" s="164">
        <v>0</v>
      </c>
      <c r="AR40" s="164">
        <v>0</v>
      </c>
      <c r="AS40" s="164">
        <v>0</v>
      </c>
      <c r="AT40" s="164">
        <v>0</v>
      </c>
      <c r="AU40" s="164">
        <v>0</v>
      </c>
      <c r="AV40" s="164">
        <f t="shared" si="4"/>
        <v>0</v>
      </c>
      <c r="AW40" s="164">
        <v>86.08</v>
      </c>
      <c r="AX40" s="164">
        <v>8055.8</v>
      </c>
      <c r="AY40" s="164">
        <v>1300.3</v>
      </c>
      <c r="AZ40" s="164">
        <v>0</v>
      </c>
      <c r="BA40" s="164">
        <v>0</v>
      </c>
      <c r="BB40" s="164">
        <v>0</v>
      </c>
      <c r="BC40" s="164">
        <v>0</v>
      </c>
      <c r="BD40" s="164">
        <v>0</v>
      </c>
      <c r="BE40" s="164">
        <f t="shared" si="5"/>
        <v>0</v>
      </c>
      <c r="BF40" s="164">
        <v>52.67</v>
      </c>
      <c r="BG40" s="164">
        <f>VLOOKUP(C40,薪酬明细!A:AC,29,0)</f>
        <v>9784.8</v>
      </c>
      <c r="BH40" s="164">
        <v>1300.3</v>
      </c>
      <c r="BI40" s="164">
        <v>0</v>
      </c>
      <c r="BJ40" s="164">
        <v>0</v>
      </c>
      <c r="BK40" s="164">
        <v>0</v>
      </c>
      <c r="BL40" s="164">
        <v>0</v>
      </c>
      <c r="BM40" s="164">
        <v>0</v>
      </c>
      <c r="BN40" s="164">
        <f t="shared" si="6"/>
        <v>0</v>
      </c>
      <c r="BO40" s="164"/>
      <c r="BP40" s="164"/>
      <c r="BQ40" s="164"/>
      <c r="BR40" s="164"/>
      <c r="BS40" s="164"/>
      <c r="BT40" s="164"/>
      <c r="BU40" s="164"/>
      <c r="BV40" s="164"/>
      <c r="BW40" s="164"/>
      <c r="BX40" s="164"/>
      <c r="BY40" s="164"/>
      <c r="BZ40" s="164"/>
      <c r="CA40" s="164"/>
      <c r="CB40" s="164"/>
      <c r="CC40" s="164"/>
      <c r="CD40" s="164"/>
      <c r="CE40" s="164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164"/>
      <c r="DB40" s="164"/>
      <c r="DC40" s="164"/>
      <c r="DD40" s="164"/>
      <c r="DE40" s="164"/>
      <c r="DF40" s="164"/>
      <c r="DG40" s="164"/>
      <c r="DH40" s="164"/>
      <c r="DI40" s="164"/>
      <c r="DJ40" s="164"/>
      <c r="DK40" s="164"/>
      <c r="DL40" s="164"/>
      <c r="DM40" s="164"/>
      <c r="DN40" s="164"/>
      <c r="DO40" s="164"/>
      <c r="DP40" s="164"/>
      <c r="DQ40" s="164"/>
      <c r="DR40" s="163"/>
      <c r="DS40" s="164">
        <f t="shared" si="7"/>
        <v>57071.63</v>
      </c>
      <c r="DT40" s="164">
        <f t="shared" si="8"/>
        <v>7801.8</v>
      </c>
      <c r="DU40" s="164">
        <f t="shared" si="9"/>
        <v>0</v>
      </c>
      <c r="DV40" s="164">
        <f t="shared" si="10"/>
        <v>473.56</v>
      </c>
      <c r="DW40" s="166"/>
      <c r="DX40" s="153" t="str">
        <f>VLOOKUP(C40,薪酬明细!A:A,1,0)</f>
        <v>开弈投资李蕾</v>
      </c>
    </row>
    <row r="41" s="149" customFormat="1" spans="1:128">
      <c r="A41" s="163" t="s">
        <v>71</v>
      </c>
      <c r="B41" s="163" t="s">
        <v>381</v>
      </c>
      <c r="C41" s="164" t="str">
        <f t="shared" si="0"/>
        <v>开弈投资王建平</v>
      </c>
      <c r="D41" s="165">
        <v>46023</v>
      </c>
      <c r="E41" s="164">
        <v>6898.85</v>
      </c>
      <c r="F41" s="164">
        <v>1300.3</v>
      </c>
      <c r="G41" s="164">
        <v>0</v>
      </c>
      <c r="H41" s="164">
        <v>0</v>
      </c>
      <c r="I41" s="164">
        <v>0</v>
      </c>
      <c r="J41" s="164">
        <v>0</v>
      </c>
      <c r="K41" s="164">
        <v>0</v>
      </c>
      <c r="L41" s="164">
        <f t="shared" si="1"/>
        <v>0</v>
      </c>
      <c r="M41" s="164">
        <v>17.96</v>
      </c>
      <c r="N41" s="164"/>
      <c r="O41" s="164"/>
      <c r="P41" s="164"/>
      <c r="Q41" s="164"/>
      <c r="R41" s="164"/>
      <c r="S41" s="164"/>
      <c r="T41" s="164"/>
      <c r="U41" s="164"/>
      <c r="V41" s="164"/>
      <c r="W41" s="164">
        <v>6898.85</v>
      </c>
      <c r="X41" s="164">
        <v>1300.3</v>
      </c>
      <c r="Y41" s="164">
        <v>0</v>
      </c>
      <c r="Z41" s="164">
        <v>0</v>
      </c>
      <c r="AA41" s="164">
        <v>0</v>
      </c>
      <c r="AB41" s="164">
        <v>0</v>
      </c>
      <c r="AC41" s="164">
        <v>0</v>
      </c>
      <c r="AD41" s="164">
        <f t="shared" si="2"/>
        <v>0</v>
      </c>
      <c r="AE41" s="164">
        <v>17.95</v>
      </c>
      <c r="AF41" s="164">
        <v>6898.85</v>
      </c>
      <c r="AG41" s="164">
        <v>1300.3</v>
      </c>
      <c r="AH41" s="164">
        <v>0</v>
      </c>
      <c r="AI41" s="164">
        <v>0</v>
      </c>
      <c r="AJ41" s="164">
        <v>0</v>
      </c>
      <c r="AK41" s="164">
        <v>0</v>
      </c>
      <c r="AL41" s="164">
        <v>0</v>
      </c>
      <c r="AM41" s="164">
        <f t="shared" si="3"/>
        <v>0</v>
      </c>
      <c r="AN41" s="164">
        <v>17.96</v>
      </c>
      <c r="AO41" s="164">
        <v>6909.8</v>
      </c>
      <c r="AP41" s="164">
        <v>1300.3</v>
      </c>
      <c r="AQ41" s="164">
        <v>0</v>
      </c>
      <c r="AR41" s="164">
        <v>0</v>
      </c>
      <c r="AS41" s="164">
        <v>0</v>
      </c>
      <c r="AT41" s="164">
        <v>0</v>
      </c>
      <c r="AU41" s="164">
        <v>0</v>
      </c>
      <c r="AV41" s="164">
        <f t="shared" si="4"/>
        <v>0</v>
      </c>
      <c r="AW41" s="164">
        <v>18.28</v>
      </c>
      <c r="AX41" s="164">
        <v>6909.8</v>
      </c>
      <c r="AY41" s="164">
        <v>1300.3</v>
      </c>
      <c r="AZ41" s="164">
        <v>0</v>
      </c>
      <c r="BA41" s="164">
        <v>0</v>
      </c>
      <c r="BB41" s="164">
        <v>0</v>
      </c>
      <c r="BC41" s="164">
        <v>0</v>
      </c>
      <c r="BD41" s="164">
        <v>0</v>
      </c>
      <c r="BE41" s="164">
        <f t="shared" si="5"/>
        <v>0</v>
      </c>
      <c r="BF41" s="164">
        <v>18.29</v>
      </c>
      <c r="BG41" s="164">
        <f>VLOOKUP(C41,薪酬明细!A:AC,29,0)</f>
        <v>7209.8</v>
      </c>
      <c r="BH41" s="164">
        <v>1300.3</v>
      </c>
      <c r="BI41" s="164">
        <v>0</v>
      </c>
      <c r="BJ41" s="164">
        <v>0</v>
      </c>
      <c r="BK41" s="164">
        <v>0</v>
      </c>
      <c r="BL41" s="164">
        <v>0</v>
      </c>
      <c r="BM41" s="164">
        <v>0</v>
      </c>
      <c r="BN41" s="164">
        <f t="shared" si="6"/>
        <v>0</v>
      </c>
      <c r="BO41" s="164"/>
      <c r="BP41" s="164"/>
      <c r="BQ41" s="164"/>
      <c r="BR41" s="164"/>
      <c r="BS41" s="164"/>
      <c r="BT41" s="164"/>
      <c r="BU41" s="164"/>
      <c r="BV41" s="164"/>
      <c r="BW41" s="164"/>
      <c r="BX41" s="164"/>
      <c r="BY41" s="164"/>
      <c r="BZ41" s="164"/>
      <c r="CA41" s="164"/>
      <c r="CB41" s="164"/>
      <c r="CC41" s="164"/>
      <c r="CD41" s="164"/>
      <c r="CE41" s="164"/>
      <c r="CF41" s="164"/>
      <c r="CG41" s="164"/>
      <c r="CH41" s="164"/>
      <c r="CI41" s="164"/>
      <c r="CJ41" s="164"/>
      <c r="CK41" s="164"/>
      <c r="CL41" s="164"/>
      <c r="CM41" s="164"/>
      <c r="CN41" s="164"/>
      <c r="CO41" s="164"/>
      <c r="CP41" s="164"/>
      <c r="CQ41" s="164"/>
      <c r="CR41" s="164"/>
      <c r="CS41" s="164"/>
      <c r="CT41" s="164"/>
      <c r="CU41" s="164"/>
      <c r="CV41" s="164"/>
      <c r="CW41" s="164"/>
      <c r="CX41" s="164"/>
      <c r="CY41" s="164"/>
      <c r="CZ41" s="164"/>
      <c r="DA41" s="164"/>
      <c r="DB41" s="164"/>
      <c r="DC41" s="164"/>
      <c r="DD41" s="164"/>
      <c r="DE41" s="164"/>
      <c r="DF41" s="164"/>
      <c r="DG41" s="164"/>
      <c r="DH41" s="164"/>
      <c r="DI41" s="164"/>
      <c r="DJ41" s="164"/>
      <c r="DK41" s="164"/>
      <c r="DL41" s="164"/>
      <c r="DM41" s="164"/>
      <c r="DN41" s="164"/>
      <c r="DO41" s="164"/>
      <c r="DP41" s="164"/>
      <c r="DQ41" s="164"/>
      <c r="DR41" s="163"/>
      <c r="DS41" s="164">
        <f t="shared" si="7"/>
        <v>41725.95</v>
      </c>
      <c r="DT41" s="164">
        <f t="shared" si="8"/>
        <v>7801.8</v>
      </c>
      <c r="DU41" s="164">
        <f t="shared" si="9"/>
        <v>0</v>
      </c>
      <c r="DV41" s="164">
        <f t="shared" si="10"/>
        <v>90.44</v>
      </c>
      <c r="DW41" s="166"/>
      <c r="DX41" s="153" t="str">
        <f>VLOOKUP(C41,薪酬明细!A:A,1,0)</f>
        <v>开弈投资王建平</v>
      </c>
    </row>
    <row r="42" s="149" customFormat="1" spans="1:128">
      <c r="A42" s="163" t="s">
        <v>71</v>
      </c>
      <c r="B42" s="163" t="s">
        <v>385</v>
      </c>
      <c r="C42" s="164" t="str">
        <f t="shared" si="0"/>
        <v>开弈投资王韬</v>
      </c>
      <c r="D42" s="165">
        <v>46023</v>
      </c>
      <c r="E42" s="164">
        <v>10644.85</v>
      </c>
      <c r="F42" s="164">
        <v>1400</v>
      </c>
      <c r="G42" s="164"/>
      <c r="H42" s="164">
        <v>0</v>
      </c>
      <c r="I42" s="164">
        <v>0</v>
      </c>
      <c r="J42" s="164">
        <v>3000</v>
      </c>
      <c r="K42" s="164">
        <v>0</v>
      </c>
      <c r="L42" s="164">
        <f t="shared" si="1"/>
        <v>3000</v>
      </c>
      <c r="M42" s="164">
        <v>37.35</v>
      </c>
      <c r="N42" s="164"/>
      <c r="O42" s="164"/>
      <c r="P42" s="164"/>
      <c r="Q42" s="164"/>
      <c r="R42" s="164"/>
      <c r="S42" s="164"/>
      <c r="T42" s="164"/>
      <c r="U42" s="164"/>
      <c r="V42" s="164"/>
      <c r="W42" s="164">
        <v>8609.95</v>
      </c>
      <c r="X42" s="164">
        <v>1400</v>
      </c>
      <c r="Y42" s="164"/>
      <c r="Z42" s="164">
        <v>0</v>
      </c>
      <c r="AA42" s="164">
        <v>0</v>
      </c>
      <c r="AB42" s="164">
        <v>3000</v>
      </c>
      <c r="AC42" s="164">
        <v>0</v>
      </c>
      <c r="AD42" s="164">
        <f t="shared" si="2"/>
        <v>3000</v>
      </c>
      <c r="AE42" s="164"/>
      <c r="AF42" s="164">
        <v>31944.85</v>
      </c>
      <c r="AG42" s="164">
        <v>1400</v>
      </c>
      <c r="AH42" s="164"/>
      <c r="AI42" s="164">
        <v>0</v>
      </c>
      <c r="AJ42" s="164">
        <v>0</v>
      </c>
      <c r="AK42" s="164">
        <v>3000</v>
      </c>
      <c r="AL42" s="164">
        <v>0</v>
      </c>
      <c r="AM42" s="164">
        <f t="shared" si="3"/>
        <v>3000</v>
      </c>
      <c r="AN42" s="164">
        <v>652.64</v>
      </c>
      <c r="AO42" s="164">
        <v>17755.8</v>
      </c>
      <c r="AP42" s="164">
        <v>1400</v>
      </c>
      <c r="AQ42" s="164">
        <v>3000</v>
      </c>
      <c r="AR42" s="164">
        <v>0</v>
      </c>
      <c r="AS42" s="164">
        <v>0</v>
      </c>
      <c r="AT42" s="164">
        <v>3000</v>
      </c>
      <c r="AU42" s="164">
        <v>0</v>
      </c>
      <c r="AV42" s="164">
        <f t="shared" si="4"/>
        <v>6000</v>
      </c>
      <c r="AW42" s="164">
        <v>160.67</v>
      </c>
      <c r="AX42" s="164">
        <v>16583.85</v>
      </c>
      <c r="AY42" s="164">
        <v>1400</v>
      </c>
      <c r="AZ42" s="164"/>
      <c r="BA42" s="164">
        <v>0</v>
      </c>
      <c r="BB42" s="164">
        <v>0</v>
      </c>
      <c r="BC42" s="164">
        <v>3000</v>
      </c>
      <c r="BD42" s="164">
        <v>0</v>
      </c>
      <c r="BE42" s="164">
        <f t="shared" si="5"/>
        <v>3000</v>
      </c>
      <c r="BF42" s="164">
        <v>215.52</v>
      </c>
      <c r="BG42" s="164">
        <f>VLOOKUP(C42,薪酬明细!A:AC,29,0)</f>
        <v>18927.75</v>
      </c>
      <c r="BH42" s="164">
        <v>1400</v>
      </c>
      <c r="BI42" s="164"/>
      <c r="BJ42" s="164">
        <v>0</v>
      </c>
      <c r="BK42" s="164">
        <v>0</v>
      </c>
      <c r="BL42" s="164">
        <v>3000</v>
      </c>
      <c r="BM42" s="164">
        <v>0</v>
      </c>
      <c r="BN42" s="164">
        <f t="shared" si="6"/>
        <v>3000</v>
      </c>
      <c r="BO42" s="164"/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4"/>
      <c r="CD42" s="164"/>
      <c r="CE42" s="164"/>
      <c r="CF42" s="164"/>
      <c r="CG42" s="164"/>
      <c r="CH42" s="164"/>
      <c r="CI42" s="164"/>
      <c r="CJ42" s="164"/>
      <c r="CK42" s="164"/>
      <c r="CL42" s="164"/>
      <c r="CM42" s="164"/>
      <c r="CN42" s="164"/>
      <c r="CO42" s="164"/>
      <c r="CP42" s="164"/>
      <c r="CQ42" s="164"/>
      <c r="CR42" s="164"/>
      <c r="CS42" s="164"/>
      <c r="CT42" s="164"/>
      <c r="CU42" s="164"/>
      <c r="CV42" s="164"/>
      <c r="CW42" s="164"/>
      <c r="CX42" s="164"/>
      <c r="CY42" s="164"/>
      <c r="CZ42" s="164"/>
      <c r="DA42" s="164"/>
      <c r="DB42" s="164"/>
      <c r="DC42" s="164"/>
      <c r="DD42" s="164"/>
      <c r="DE42" s="164"/>
      <c r="DF42" s="164"/>
      <c r="DG42" s="164"/>
      <c r="DH42" s="164"/>
      <c r="DI42" s="164"/>
      <c r="DJ42" s="164"/>
      <c r="DK42" s="164"/>
      <c r="DL42" s="164"/>
      <c r="DM42" s="164"/>
      <c r="DN42" s="164"/>
      <c r="DO42" s="164"/>
      <c r="DP42" s="164"/>
      <c r="DQ42" s="164"/>
      <c r="DR42" s="163"/>
      <c r="DS42" s="164">
        <f t="shared" si="7"/>
        <v>104467.05</v>
      </c>
      <c r="DT42" s="164">
        <f t="shared" si="8"/>
        <v>8400</v>
      </c>
      <c r="DU42" s="164">
        <f t="shared" si="9"/>
        <v>21000</v>
      </c>
      <c r="DV42" s="164">
        <f t="shared" si="10"/>
        <v>1066.18</v>
      </c>
      <c r="DW42" s="166"/>
      <c r="DX42" s="153" t="str">
        <f>VLOOKUP(C42,薪酬明细!A:A,1,0)</f>
        <v>开弈投资王韬</v>
      </c>
    </row>
    <row r="43" s="149" customFormat="1" spans="1:128">
      <c r="A43" s="163" t="s">
        <v>71</v>
      </c>
      <c r="B43" s="163" t="s">
        <v>343</v>
      </c>
      <c r="C43" s="164" t="str">
        <f t="shared" si="0"/>
        <v>开弈投资韩燕</v>
      </c>
      <c r="D43" s="165">
        <v>46023</v>
      </c>
      <c r="E43" s="164">
        <v>9554.85</v>
      </c>
      <c r="F43" s="164">
        <v>1669.3</v>
      </c>
      <c r="G43" s="164">
        <v>0</v>
      </c>
      <c r="H43" s="164">
        <v>0</v>
      </c>
      <c r="I43" s="164">
        <v>1500</v>
      </c>
      <c r="J43" s="164">
        <v>3000</v>
      </c>
      <c r="K43" s="164">
        <v>0</v>
      </c>
      <c r="L43" s="164">
        <f t="shared" si="1"/>
        <v>4500</v>
      </c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>
        <v>8375.41</v>
      </c>
      <c r="X43" s="164">
        <v>1669.3</v>
      </c>
      <c r="Y43" s="164">
        <v>0</v>
      </c>
      <c r="Z43" s="164">
        <v>0</v>
      </c>
      <c r="AA43" s="164">
        <v>2500</v>
      </c>
      <c r="AB43" s="164">
        <v>3000</v>
      </c>
      <c r="AC43" s="164">
        <v>0</v>
      </c>
      <c r="AD43" s="164">
        <f t="shared" si="2"/>
        <v>5500</v>
      </c>
      <c r="AE43" s="164"/>
      <c r="AF43" s="164">
        <v>15625.85</v>
      </c>
      <c r="AG43" s="164">
        <v>1669.3</v>
      </c>
      <c r="AH43" s="164">
        <v>2000</v>
      </c>
      <c r="AI43" s="164">
        <v>0</v>
      </c>
      <c r="AJ43" s="164"/>
      <c r="AK43" s="164">
        <v>3000</v>
      </c>
      <c r="AL43" s="164">
        <v>0</v>
      </c>
      <c r="AM43" s="164">
        <f t="shared" si="3"/>
        <v>5000</v>
      </c>
      <c r="AN43" s="164">
        <v>0</v>
      </c>
      <c r="AO43" s="164">
        <v>9451.4</v>
      </c>
      <c r="AP43" s="164">
        <v>1669.3</v>
      </c>
      <c r="AQ43" s="164">
        <v>2000</v>
      </c>
      <c r="AR43" s="164">
        <v>0</v>
      </c>
      <c r="AS43" s="164"/>
      <c r="AT43" s="164">
        <v>3000</v>
      </c>
      <c r="AU43" s="164">
        <v>0</v>
      </c>
      <c r="AV43" s="164">
        <f t="shared" si="4"/>
        <v>5000</v>
      </c>
      <c r="AW43" s="164">
        <v>0</v>
      </c>
      <c r="AX43" s="164">
        <v>8337.4</v>
      </c>
      <c r="AY43" s="164">
        <v>1669.3</v>
      </c>
      <c r="AZ43" s="164">
        <v>2000</v>
      </c>
      <c r="BA43" s="164">
        <v>0</v>
      </c>
      <c r="BB43" s="164"/>
      <c r="BC43" s="164">
        <v>3000</v>
      </c>
      <c r="BD43" s="164">
        <v>0</v>
      </c>
      <c r="BE43" s="164">
        <f t="shared" si="5"/>
        <v>5000</v>
      </c>
      <c r="BF43" s="164">
        <v>0</v>
      </c>
      <c r="BG43" s="164">
        <f>VLOOKUP(C43,薪酬明细!A:AC,29,0)</f>
        <v>10066.4</v>
      </c>
      <c r="BH43" s="164">
        <v>1669.3</v>
      </c>
      <c r="BI43" s="164">
        <v>2000</v>
      </c>
      <c r="BJ43" s="164">
        <v>0</v>
      </c>
      <c r="BK43" s="164"/>
      <c r="BL43" s="164">
        <v>3000</v>
      </c>
      <c r="BM43" s="164">
        <v>0</v>
      </c>
      <c r="BN43" s="164">
        <f t="shared" si="6"/>
        <v>5000</v>
      </c>
      <c r="BO43" s="164"/>
      <c r="BP43" s="164"/>
      <c r="BQ43" s="164"/>
      <c r="BR43" s="164"/>
      <c r="BS43" s="164"/>
      <c r="BT43" s="164"/>
      <c r="BU43" s="164"/>
      <c r="BV43" s="164"/>
      <c r="BW43" s="164"/>
      <c r="BX43" s="164"/>
      <c r="BY43" s="164"/>
      <c r="BZ43" s="164"/>
      <c r="CA43" s="164"/>
      <c r="CB43" s="164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3"/>
      <c r="DS43" s="164">
        <f t="shared" si="7"/>
        <v>61411.31</v>
      </c>
      <c r="DT43" s="164">
        <f t="shared" si="8"/>
        <v>10015.8</v>
      </c>
      <c r="DU43" s="164">
        <f t="shared" si="9"/>
        <v>30000</v>
      </c>
      <c r="DV43" s="164">
        <f t="shared" si="10"/>
        <v>0</v>
      </c>
      <c r="DW43" s="166"/>
      <c r="DX43" s="153" t="str">
        <f>VLOOKUP(C43,薪酬明细!A:A,1,0)</f>
        <v>开弈投资韩燕</v>
      </c>
    </row>
    <row r="44" s="149" customFormat="1" spans="1:128">
      <c r="A44" s="163" t="s">
        <v>71</v>
      </c>
      <c r="B44" s="163" t="s">
        <v>387</v>
      </c>
      <c r="C44" s="164" t="str">
        <f t="shared" si="0"/>
        <v>开弈投资王永佳</v>
      </c>
      <c r="D44" s="165">
        <v>46023</v>
      </c>
      <c r="E44" s="164">
        <v>8944.85</v>
      </c>
      <c r="F44" s="164">
        <v>1400</v>
      </c>
      <c r="G44" s="164">
        <v>0</v>
      </c>
      <c r="H44" s="164">
        <v>0</v>
      </c>
      <c r="I44" s="164">
        <v>0</v>
      </c>
      <c r="J44" s="164">
        <v>0</v>
      </c>
      <c r="K44" s="164">
        <v>0</v>
      </c>
      <c r="L44" s="164">
        <f t="shared" si="1"/>
        <v>0</v>
      </c>
      <c r="M44" s="164">
        <v>76.35</v>
      </c>
      <c r="N44" s="164"/>
      <c r="O44" s="164"/>
      <c r="P44" s="164"/>
      <c r="Q44" s="164"/>
      <c r="R44" s="164"/>
      <c r="S44" s="164"/>
      <c r="T44" s="164"/>
      <c r="U44" s="164"/>
      <c r="V44" s="164"/>
      <c r="W44" s="164">
        <v>7810.53</v>
      </c>
      <c r="X44" s="164">
        <v>1400</v>
      </c>
      <c r="Y44" s="164">
        <v>0</v>
      </c>
      <c r="Z44" s="164">
        <v>0</v>
      </c>
      <c r="AA44" s="164">
        <v>0</v>
      </c>
      <c r="AB44" s="164">
        <v>0</v>
      </c>
      <c r="AC44" s="164">
        <v>0</v>
      </c>
      <c r="AD44" s="164">
        <f t="shared" si="2"/>
        <v>0</v>
      </c>
      <c r="AE44" s="164">
        <v>42.31</v>
      </c>
      <c r="AF44" s="164">
        <v>15345.85</v>
      </c>
      <c r="AG44" s="164">
        <v>1400</v>
      </c>
      <c r="AH44" s="164">
        <v>0</v>
      </c>
      <c r="AI44" s="164">
        <v>0</v>
      </c>
      <c r="AJ44" s="164">
        <v>0</v>
      </c>
      <c r="AK44" s="164">
        <v>0</v>
      </c>
      <c r="AL44" s="164">
        <v>0</v>
      </c>
      <c r="AM44" s="164">
        <f t="shared" si="3"/>
        <v>0</v>
      </c>
      <c r="AN44" s="164">
        <v>268.38</v>
      </c>
      <c r="AO44" s="164">
        <v>9169.8</v>
      </c>
      <c r="AP44" s="164">
        <v>1400</v>
      </c>
      <c r="AQ44" s="164">
        <v>0</v>
      </c>
      <c r="AR44" s="164">
        <v>0</v>
      </c>
      <c r="AS44" s="164">
        <v>0</v>
      </c>
      <c r="AT44" s="164">
        <v>0</v>
      </c>
      <c r="AU44" s="164">
        <v>0</v>
      </c>
      <c r="AV44" s="164">
        <f t="shared" si="4"/>
        <v>0</v>
      </c>
      <c r="AW44" s="164">
        <v>83.09</v>
      </c>
      <c r="AX44" s="164">
        <v>8055.8</v>
      </c>
      <c r="AY44" s="164">
        <v>1400</v>
      </c>
      <c r="AZ44" s="164">
        <v>0</v>
      </c>
      <c r="BA44" s="164">
        <v>0</v>
      </c>
      <c r="BB44" s="164">
        <v>0</v>
      </c>
      <c r="BC44" s="164">
        <v>0</v>
      </c>
      <c r="BD44" s="164">
        <v>0</v>
      </c>
      <c r="BE44" s="164">
        <f t="shared" si="5"/>
        <v>0</v>
      </c>
      <c r="BF44" s="164">
        <v>49.67</v>
      </c>
      <c r="BG44" s="164">
        <f>VLOOKUP(C44,薪酬明细!A:AC,29,0)</f>
        <v>9784.8</v>
      </c>
      <c r="BH44" s="164">
        <v>1400</v>
      </c>
      <c r="BI44" s="164">
        <v>0</v>
      </c>
      <c r="BJ44" s="164">
        <v>0</v>
      </c>
      <c r="BK44" s="164">
        <v>0</v>
      </c>
      <c r="BL44" s="164">
        <v>0</v>
      </c>
      <c r="BM44" s="164">
        <v>0</v>
      </c>
      <c r="BN44" s="164">
        <f t="shared" si="6"/>
        <v>0</v>
      </c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  <c r="CR44" s="164"/>
      <c r="CS44" s="164"/>
      <c r="CT44" s="164"/>
      <c r="CU44" s="164"/>
      <c r="CV44" s="164"/>
      <c r="CW44" s="164"/>
      <c r="CX44" s="164"/>
      <c r="CY44" s="164"/>
      <c r="CZ44" s="164"/>
      <c r="DA44" s="164"/>
      <c r="DB44" s="164"/>
      <c r="DC44" s="164"/>
      <c r="DD44" s="164"/>
      <c r="DE44" s="164"/>
      <c r="DF44" s="164"/>
      <c r="DG44" s="164"/>
      <c r="DH44" s="164"/>
      <c r="DI44" s="164"/>
      <c r="DJ44" s="164"/>
      <c r="DK44" s="164"/>
      <c r="DL44" s="164"/>
      <c r="DM44" s="164"/>
      <c r="DN44" s="164"/>
      <c r="DO44" s="164"/>
      <c r="DP44" s="164"/>
      <c r="DQ44" s="164"/>
      <c r="DR44" s="163"/>
      <c r="DS44" s="164">
        <f t="shared" si="7"/>
        <v>59111.63</v>
      </c>
      <c r="DT44" s="164">
        <f t="shared" si="8"/>
        <v>8400</v>
      </c>
      <c r="DU44" s="164">
        <f t="shared" si="9"/>
        <v>0</v>
      </c>
      <c r="DV44" s="164">
        <f t="shared" si="10"/>
        <v>519.8</v>
      </c>
      <c r="DW44" s="166"/>
      <c r="DX44" s="153" t="str">
        <f>VLOOKUP(C44,薪酬明细!A:A,1,0)</f>
        <v>开弈投资王永佳</v>
      </c>
    </row>
    <row r="45" s="149" customFormat="1" spans="1:128">
      <c r="A45" s="163" t="s">
        <v>71</v>
      </c>
      <c r="B45" s="163" t="s">
        <v>378</v>
      </c>
      <c r="C45" s="164" t="str">
        <f t="shared" si="0"/>
        <v>开弈投资邵吴慧</v>
      </c>
      <c r="D45" s="165">
        <v>46023</v>
      </c>
      <c r="E45" s="164">
        <v>8527.61</v>
      </c>
      <c r="F45" s="164">
        <v>1300.3</v>
      </c>
      <c r="G45" s="164">
        <v>0</v>
      </c>
      <c r="H45" s="164">
        <v>0</v>
      </c>
      <c r="I45" s="164">
        <v>0</v>
      </c>
      <c r="J45" s="164">
        <v>0</v>
      </c>
      <c r="K45" s="164">
        <v>0</v>
      </c>
      <c r="L45" s="164">
        <f t="shared" si="1"/>
        <v>0</v>
      </c>
      <c r="M45" s="164">
        <v>66.82</v>
      </c>
      <c r="N45" s="164"/>
      <c r="O45" s="164"/>
      <c r="P45" s="164"/>
      <c r="Q45" s="164"/>
      <c r="R45" s="164"/>
      <c r="S45" s="164"/>
      <c r="T45" s="164"/>
      <c r="U45" s="164"/>
      <c r="V45" s="164"/>
      <c r="W45" s="164">
        <v>9575.23</v>
      </c>
      <c r="X45" s="164">
        <v>1300.3</v>
      </c>
      <c r="Y45" s="164">
        <v>0</v>
      </c>
      <c r="Z45" s="164">
        <v>0</v>
      </c>
      <c r="AA45" s="164">
        <v>0</v>
      </c>
      <c r="AB45" s="164">
        <v>0</v>
      </c>
      <c r="AC45" s="164">
        <v>0</v>
      </c>
      <c r="AD45" s="164">
        <f t="shared" si="2"/>
        <v>0</v>
      </c>
      <c r="AE45" s="164">
        <v>98.25</v>
      </c>
      <c r="AF45" s="164">
        <v>12795.43</v>
      </c>
      <c r="AG45" s="164">
        <v>1300.3</v>
      </c>
      <c r="AH45" s="164">
        <v>0</v>
      </c>
      <c r="AI45" s="164">
        <v>0</v>
      </c>
      <c r="AJ45" s="164">
        <v>0</v>
      </c>
      <c r="AK45" s="164">
        <v>0</v>
      </c>
      <c r="AL45" s="164">
        <v>0</v>
      </c>
      <c r="AM45" s="164">
        <f t="shared" si="3"/>
        <v>0</v>
      </c>
      <c r="AN45" s="164">
        <v>194.85</v>
      </c>
      <c r="AO45" s="164">
        <v>10071.2</v>
      </c>
      <c r="AP45" s="164">
        <v>1300.3</v>
      </c>
      <c r="AQ45" s="164">
        <v>0</v>
      </c>
      <c r="AR45" s="164">
        <v>0</v>
      </c>
      <c r="AS45" s="164">
        <v>0</v>
      </c>
      <c r="AT45" s="164">
        <v>0</v>
      </c>
      <c r="AU45" s="164">
        <v>0</v>
      </c>
      <c r="AV45" s="164">
        <f t="shared" si="4"/>
        <v>0</v>
      </c>
      <c r="AW45" s="164">
        <v>113.13</v>
      </c>
      <c r="AX45" s="164">
        <v>8188.33</v>
      </c>
      <c r="AY45" s="164">
        <v>1300.3</v>
      </c>
      <c r="AZ45" s="164">
        <v>0</v>
      </c>
      <c r="BA45" s="164">
        <v>0</v>
      </c>
      <c r="BB45" s="164">
        <v>0</v>
      </c>
      <c r="BC45" s="164">
        <v>0</v>
      </c>
      <c r="BD45" s="164">
        <v>0</v>
      </c>
      <c r="BE45" s="164">
        <f t="shared" si="5"/>
        <v>0</v>
      </c>
      <c r="BF45" s="164">
        <v>56.64</v>
      </c>
      <c r="BG45" s="164">
        <f>VLOOKUP(C45,薪酬明细!A:AC,29,0)</f>
        <v>10216.67</v>
      </c>
      <c r="BH45" s="164">
        <v>1300.3</v>
      </c>
      <c r="BI45" s="164">
        <v>0</v>
      </c>
      <c r="BJ45" s="164">
        <v>0</v>
      </c>
      <c r="BK45" s="164">
        <v>0</v>
      </c>
      <c r="BL45" s="164">
        <v>0</v>
      </c>
      <c r="BM45" s="164">
        <v>0</v>
      </c>
      <c r="BN45" s="164">
        <f t="shared" si="6"/>
        <v>0</v>
      </c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  <c r="CR45" s="164"/>
      <c r="CS45" s="164"/>
      <c r="CT45" s="164"/>
      <c r="CU45" s="164"/>
      <c r="CV45" s="164"/>
      <c r="CW45" s="164"/>
      <c r="CX45" s="164"/>
      <c r="CY45" s="164"/>
      <c r="CZ45" s="164"/>
      <c r="DA45" s="164"/>
      <c r="DB45" s="164"/>
      <c r="DC45" s="164"/>
      <c r="DD45" s="164"/>
      <c r="DE45" s="164"/>
      <c r="DF45" s="164"/>
      <c r="DG45" s="164"/>
      <c r="DH45" s="164"/>
      <c r="DI45" s="164"/>
      <c r="DJ45" s="164"/>
      <c r="DK45" s="164"/>
      <c r="DL45" s="164"/>
      <c r="DM45" s="164"/>
      <c r="DN45" s="164"/>
      <c r="DO45" s="164"/>
      <c r="DP45" s="164"/>
      <c r="DQ45" s="164"/>
      <c r="DR45" s="163"/>
      <c r="DS45" s="164">
        <f t="shared" si="7"/>
        <v>59374.47</v>
      </c>
      <c r="DT45" s="164">
        <f t="shared" si="8"/>
        <v>7801.8</v>
      </c>
      <c r="DU45" s="164">
        <f t="shared" si="9"/>
        <v>0</v>
      </c>
      <c r="DV45" s="164">
        <f t="shared" si="10"/>
        <v>529.69</v>
      </c>
      <c r="DW45" s="166"/>
      <c r="DX45" s="153" t="str">
        <f>VLOOKUP(C45,薪酬明细!A:A,1,0)</f>
        <v>开弈投资邵吴慧</v>
      </c>
    </row>
    <row r="46" s="149" customFormat="1" spans="1:128">
      <c r="A46" s="163" t="s">
        <v>57</v>
      </c>
      <c r="B46" s="163" t="s">
        <v>410</v>
      </c>
      <c r="C46" s="164" t="str">
        <f t="shared" si="0"/>
        <v>开弈信息郑昌杰</v>
      </c>
      <c r="D46" s="165">
        <v>46023</v>
      </c>
      <c r="E46" s="164">
        <v>8144.85</v>
      </c>
      <c r="F46" s="164">
        <v>1300.3</v>
      </c>
      <c r="G46" s="164">
        <v>0</v>
      </c>
      <c r="H46" s="164">
        <v>0</v>
      </c>
      <c r="I46" s="164">
        <v>0</v>
      </c>
      <c r="J46" s="164">
        <v>3000</v>
      </c>
      <c r="K46" s="164">
        <v>0</v>
      </c>
      <c r="L46" s="164">
        <f t="shared" si="1"/>
        <v>3000</v>
      </c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>
        <v>7487.25</v>
      </c>
      <c r="X46" s="164">
        <v>1300.3</v>
      </c>
      <c r="Y46" s="164">
        <v>0</v>
      </c>
      <c r="Z46" s="164">
        <v>0</v>
      </c>
      <c r="AA46" s="164">
        <v>0</v>
      </c>
      <c r="AB46" s="164">
        <v>3000</v>
      </c>
      <c r="AC46" s="164">
        <v>0</v>
      </c>
      <c r="AD46" s="164">
        <f t="shared" si="2"/>
        <v>3000</v>
      </c>
      <c r="AE46" s="164"/>
      <c r="AF46" s="164">
        <v>8144.85</v>
      </c>
      <c r="AG46" s="164">
        <v>1300.3</v>
      </c>
      <c r="AH46" s="164">
        <v>0</v>
      </c>
      <c r="AI46" s="164">
        <v>0</v>
      </c>
      <c r="AJ46" s="164">
        <v>0</v>
      </c>
      <c r="AK46" s="164">
        <v>3000</v>
      </c>
      <c r="AL46" s="164">
        <v>0</v>
      </c>
      <c r="AM46" s="164">
        <f t="shared" si="3"/>
        <v>3000</v>
      </c>
      <c r="AN46" s="164">
        <v>0</v>
      </c>
      <c r="AO46" s="164">
        <v>8155.8</v>
      </c>
      <c r="AP46" s="164">
        <v>1300.3</v>
      </c>
      <c r="AQ46" s="164">
        <v>0</v>
      </c>
      <c r="AR46" s="164">
        <v>0</v>
      </c>
      <c r="AS46" s="164">
        <v>0</v>
      </c>
      <c r="AT46" s="164">
        <v>3000</v>
      </c>
      <c r="AU46" s="164">
        <v>0</v>
      </c>
      <c r="AV46" s="164">
        <f t="shared" si="4"/>
        <v>3000</v>
      </c>
      <c r="AW46" s="164">
        <v>0</v>
      </c>
      <c r="AX46" s="164">
        <v>17963.38</v>
      </c>
      <c r="AY46" s="164">
        <v>1300.3</v>
      </c>
      <c r="AZ46" s="164">
        <v>0</v>
      </c>
      <c r="BA46" s="164">
        <v>0</v>
      </c>
      <c r="BB46" s="164">
        <v>0</v>
      </c>
      <c r="BC46" s="164">
        <v>3000</v>
      </c>
      <c r="BD46" s="164">
        <v>0</v>
      </c>
      <c r="BE46" s="164">
        <f t="shared" si="5"/>
        <v>3000</v>
      </c>
      <c r="BF46" s="164">
        <v>101.84</v>
      </c>
      <c r="BG46" s="164">
        <f>VLOOKUP(C46,薪酬明细!A:AC,29,0)</f>
        <v>8155.8</v>
      </c>
      <c r="BH46" s="164">
        <v>1300.3</v>
      </c>
      <c r="BI46" s="164">
        <v>0</v>
      </c>
      <c r="BJ46" s="164">
        <v>0</v>
      </c>
      <c r="BK46" s="164">
        <v>0</v>
      </c>
      <c r="BL46" s="164">
        <v>3000</v>
      </c>
      <c r="BM46" s="164">
        <v>0</v>
      </c>
      <c r="BN46" s="164">
        <f t="shared" si="6"/>
        <v>3000</v>
      </c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  <c r="CR46" s="164"/>
      <c r="CS46" s="164"/>
      <c r="CT46" s="164"/>
      <c r="CU46" s="164"/>
      <c r="CV46" s="164"/>
      <c r="CW46" s="164"/>
      <c r="CX46" s="164"/>
      <c r="CY46" s="164"/>
      <c r="CZ46" s="164"/>
      <c r="DA46" s="164"/>
      <c r="DB46" s="164"/>
      <c r="DC46" s="164"/>
      <c r="DD46" s="164"/>
      <c r="DE46" s="164"/>
      <c r="DF46" s="164"/>
      <c r="DG46" s="164"/>
      <c r="DH46" s="164"/>
      <c r="DI46" s="164"/>
      <c r="DJ46" s="164"/>
      <c r="DK46" s="164"/>
      <c r="DL46" s="164"/>
      <c r="DM46" s="164"/>
      <c r="DN46" s="164"/>
      <c r="DO46" s="164"/>
      <c r="DP46" s="164"/>
      <c r="DQ46" s="164"/>
      <c r="DR46" s="163"/>
      <c r="DS46" s="164">
        <f t="shared" si="7"/>
        <v>58051.93</v>
      </c>
      <c r="DT46" s="164">
        <f t="shared" si="8"/>
        <v>7801.8</v>
      </c>
      <c r="DU46" s="164">
        <f t="shared" si="9"/>
        <v>18000</v>
      </c>
      <c r="DV46" s="164">
        <f t="shared" si="10"/>
        <v>101.84</v>
      </c>
      <c r="DW46" s="166"/>
      <c r="DX46" s="153" t="str">
        <f>VLOOKUP(C46,薪酬明细!A:A,1,0)</f>
        <v>开弈信息郑昌杰</v>
      </c>
    </row>
    <row r="47" s="149" customFormat="1" spans="1:128">
      <c r="A47" s="163" t="s">
        <v>57</v>
      </c>
      <c r="B47" s="163" t="s">
        <v>105</v>
      </c>
      <c r="C47" s="164" t="str">
        <f t="shared" si="0"/>
        <v>开弈信息黄欢欢</v>
      </c>
      <c r="D47" s="165">
        <v>46023</v>
      </c>
      <c r="E47" s="164">
        <v>25144.85</v>
      </c>
      <c r="F47" s="164">
        <v>3325</v>
      </c>
      <c r="G47" s="164">
        <v>0</v>
      </c>
      <c r="H47" s="164">
        <v>0</v>
      </c>
      <c r="I47" s="164">
        <v>1500</v>
      </c>
      <c r="J47" s="164">
        <v>0</v>
      </c>
      <c r="K47" s="164">
        <v>0</v>
      </c>
      <c r="L47" s="164">
        <f t="shared" si="1"/>
        <v>1500</v>
      </c>
      <c r="M47" s="164">
        <v>459.6</v>
      </c>
      <c r="N47" s="164"/>
      <c r="O47" s="164"/>
      <c r="P47" s="164"/>
      <c r="Q47" s="164"/>
      <c r="R47" s="164"/>
      <c r="S47" s="164"/>
      <c r="T47" s="164"/>
      <c r="U47" s="164"/>
      <c r="V47" s="164"/>
      <c r="W47" s="164">
        <v>22953.55</v>
      </c>
      <c r="X47" s="164">
        <v>3325</v>
      </c>
      <c r="Y47" s="164">
        <v>0</v>
      </c>
      <c r="Z47" s="164">
        <v>0</v>
      </c>
      <c r="AA47" s="164">
        <v>1500</v>
      </c>
      <c r="AB47" s="164">
        <v>0</v>
      </c>
      <c r="AC47" s="164">
        <v>0</v>
      </c>
      <c r="AD47" s="164">
        <f t="shared" si="2"/>
        <v>1500</v>
      </c>
      <c r="AE47" s="164">
        <v>393.85</v>
      </c>
      <c r="AF47" s="164">
        <v>24272.35</v>
      </c>
      <c r="AG47" s="164">
        <v>3325</v>
      </c>
      <c r="AH47" s="164">
        <v>0</v>
      </c>
      <c r="AI47" s="164">
        <v>0</v>
      </c>
      <c r="AJ47" s="164">
        <v>1500</v>
      </c>
      <c r="AK47" s="164">
        <v>0</v>
      </c>
      <c r="AL47" s="164">
        <v>0</v>
      </c>
      <c r="AM47" s="164">
        <f t="shared" si="3"/>
        <v>1500</v>
      </c>
      <c r="AN47" s="164">
        <v>916.13</v>
      </c>
      <c r="AO47" s="164">
        <v>22690.8</v>
      </c>
      <c r="AP47" s="164">
        <v>3325</v>
      </c>
      <c r="AQ47" s="164">
        <v>0</v>
      </c>
      <c r="AR47" s="164">
        <v>0</v>
      </c>
      <c r="AS47" s="164">
        <v>1500</v>
      </c>
      <c r="AT47" s="164">
        <v>0</v>
      </c>
      <c r="AU47" s="164">
        <v>0</v>
      </c>
      <c r="AV47" s="164">
        <f t="shared" si="4"/>
        <v>1500</v>
      </c>
      <c r="AW47" s="164">
        <v>1286.58</v>
      </c>
      <c r="AX47" s="164">
        <v>16155.8</v>
      </c>
      <c r="AY47" s="164">
        <v>3325</v>
      </c>
      <c r="AZ47" s="164">
        <v>0</v>
      </c>
      <c r="BA47" s="164">
        <v>0</v>
      </c>
      <c r="BB47" s="164">
        <v>1500</v>
      </c>
      <c r="BC47" s="164">
        <v>0</v>
      </c>
      <c r="BD47" s="164">
        <v>0</v>
      </c>
      <c r="BE47" s="164">
        <f t="shared" si="5"/>
        <v>1500</v>
      </c>
      <c r="BF47" s="164">
        <v>633.08</v>
      </c>
      <c r="BG47" s="164">
        <f>VLOOKUP(C47,薪酬明细!A:AC,29,0)</f>
        <v>24228.3</v>
      </c>
      <c r="BH47" s="164">
        <v>3325</v>
      </c>
      <c r="BI47" s="164">
        <v>0</v>
      </c>
      <c r="BJ47" s="164">
        <v>0</v>
      </c>
      <c r="BK47" s="164">
        <v>1500</v>
      </c>
      <c r="BL47" s="164">
        <v>0</v>
      </c>
      <c r="BM47" s="164">
        <v>0</v>
      </c>
      <c r="BN47" s="164">
        <f t="shared" si="6"/>
        <v>1500</v>
      </c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  <c r="CR47" s="164"/>
      <c r="CS47" s="164"/>
      <c r="CT47" s="164"/>
      <c r="CU47" s="164"/>
      <c r="CV47" s="164"/>
      <c r="CW47" s="164"/>
      <c r="CX47" s="164"/>
      <c r="CY47" s="164"/>
      <c r="CZ47" s="164"/>
      <c r="DA47" s="164"/>
      <c r="DB47" s="164"/>
      <c r="DC47" s="164"/>
      <c r="DD47" s="164"/>
      <c r="DE47" s="164"/>
      <c r="DF47" s="164"/>
      <c r="DG47" s="164"/>
      <c r="DH47" s="164"/>
      <c r="DI47" s="164"/>
      <c r="DJ47" s="164"/>
      <c r="DK47" s="164"/>
      <c r="DL47" s="164"/>
      <c r="DM47" s="164"/>
      <c r="DN47" s="164"/>
      <c r="DO47" s="164"/>
      <c r="DP47" s="164"/>
      <c r="DQ47" s="164"/>
      <c r="DR47" s="163"/>
      <c r="DS47" s="164">
        <f t="shared" si="7"/>
        <v>135445.65</v>
      </c>
      <c r="DT47" s="164">
        <f t="shared" si="8"/>
        <v>19950</v>
      </c>
      <c r="DU47" s="164">
        <f t="shared" si="9"/>
        <v>9000</v>
      </c>
      <c r="DV47" s="164">
        <f t="shared" si="10"/>
        <v>3689.24</v>
      </c>
      <c r="DW47" s="166"/>
      <c r="DX47" s="153" t="str">
        <f>VLOOKUP(C47,薪酬明细!A:A,1,0)</f>
        <v>开弈信息黄欢欢</v>
      </c>
    </row>
    <row r="48" s="149" customFormat="1" spans="1:128">
      <c r="A48" s="163" t="s">
        <v>57</v>
      </c>
      <c r="B48" s="163" t="s">
        <v>108</v>
      </c>
      <c r="C48" s="164" t="str">
        <f t="shared" si="0"/>
        <v>开弈信息黄燕婷</v>
      </c>
      <c r="D48" s="165">
        <v>46023</v>
      </c>
      <c r="E48" s="164">
        <v>7863.24</v>
      </c>
      <c r="F48" s="164">
        <v>1305.3</v>
      </c>
      <c r="G48" s="164"/>
      <c r="H48" s="164"/>
      <c r="I48" s="164"/>
      <c r="J48" s="164"/>
      <c r="K48" s="164"/>
      <c r="L48" s="164">
        <f t="shared" si="1"/>
        <v>0</v>
      </c>
      <c r="M48" s="164">
        <v>46.74</v>
      </c>
      <c r="N48" s="164"/>
      <c r="O48" s="164"/>
      <c r="P48" s="164"/>
      <c r="Q48" s="164"/>
      <c r="R48" s="164"/>
      <c r="S48" s="164"/>
      <c r="T48" s="164"/>
      <c r="U48" s="164"/>
      <c r="V48" s="164"/>
      <c r="W48" s="164">
        <v>7549.2</v>
      </c>
      <c r="X48" s="164">
        <v>1305.3</v>
      </c>
      <c r="Y48" s="164"/>
      <c r="Z48" s="164"/>
      <c r="AA48" s="164"/>
      <c r="AB48" s="164"/>
      <c r="AC48" s="164"/>
      <c r="AD48" s="164">
        <f t="shared" si="2"/>
        <v>0</v>
      </c>
      <c r="AE48" s="164">
        <v>37.32</v>
      </c>
      <c r="AF48" s="164">
        <v>8348.2</v>
      </c>
      <c r="AG48" s="164">
        <v>1305.3</v>
      </c>
      <c r="AH48" s="164"/>
      <c r="AI48" s="164"/>
      <c r="AJ48" s="164"/>
      <c r="AK48" s="164"/>
      <c r="AL48" s="164"/>
      <c r="AM48" s="164">
        <f t="shared" si="3"/>
        <v>0</v>
      </c>
      <c r="AN48" s="164">
        <v>61.28</v>
      </c>
      <c r="AO48" s="164">
        <v>7817.7</v>
      </c>
      <c r="AP48" s="164">
        <v>1305.3</v>
      </c>
      <c r="AQ48" s="164"/>
      <c r="AR48" s="164"/>
      <c r="AS48" s="164"/>
      <c r="AT48" s="164"/>
      <c r="AU48" s="164"/>
      <c r="AV48" s="164">
        <f t="shared" si="4"/>
        <v>0</v>
      </c>
      <c r="AW48" s="164">
        <v>45.37</v>
      </c>
      <c r="AX48" s="164">
        <v>6870.8</v>
      </c>
      <c r="AY48" s="164">
        <v>1305.3</v>
      </c>
      <c r="AZ48" s="164"/>
      <c r="BA48" s="164"/>
      <c r="BB48" s="164"/>
      <c r="BC48" s="164"/>
      <c r="BD48" s="164"/>
      <c r="BE48" s="164">
        <f t="shared" si="5"/>
        <v>0</v>
      </c>
      <c r="BF48" s="164">
        <v>16.97</v>
      </c>
      <c r="BG48" s="164">
        <f>VLOOKUP(C48,薪酬明细!A:AC,29,0)</f>
        <v>12540.45</v>
      </c>
      <c r="BH48" s="164">
        <v>1305.3</v>
      </c>
      <c r="BI48" s="164"/>
      <c r="BJ48" s="164"/>
      <c r="BK48" s="164"/>
      <c r="BL48" s="164"/>
      <c r="BM48" s="164"/>
      <c r="BN48" s="164">
        <f t="shared" si="6"/>
        <v>0</v>
      </c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  <c r="CR48" s="164"/>
      <c r="CS48" s="164"/>
      <c r="CT48" s="164"/>
      <c r="CU48" s="164"/>
      <c r="CV48" s="164"/>
      <c r="CW48" s="164"/>
      <c r="CX48" s="164"/>
      <c r="CY48" s="164"/>
      <c r="CZ48" s="164"/>
      <c r="DA48" s="164"/>
      <c r="DB48" s="164"/>
      <c r="DC48" s="164"/>
      <c r="DD48" s="164"/>
      <c r="DE48" s="164"/>
      <c r="DF48" s="164"/>
      <c r="DG48" s="164"/>
      <c r="DH48" s="164"/>
      <c r="DI48" s="164"/>
      <c r="DJ48" s="164"/>
      <c r="DK48" s="164"/>
      <c r="DL48" s="164"/>
      <c r="DM48" s="164"/>
      <c r="DN48" s="164"/>
      <c r="DO48" s="164"/>
      <c r="DP48" s="164"/>
      <c r="DQ48" s="164"/>
      <c r="DR48" s="163"/>
      <c r="DS48" s="164">
        <f t="shared" si="7"/>
        <v>50989.59</v>
      </c>
      <c r="DT48" s="164">
        <f t="shared" si="8"/>
        <v>7831.8</v>
      </c>
      <c r="DU48" s="164">
        <f t="shared" si="9"/>
        <v>0</v>
      </c>
      <c r="DV48" s="164">
        <f t="shared" si="10"/>
        <v>207.68</v>
      </c>
      <c r="DW48" s="166"/>
      <c r="DX48" s="153" t="str">
        <f>VLOOKUP(C48,薪酬明细!A:A,1,0)</f>
        <v>开弈信息黄燕婷</v>
      </c>
    </row>
    <row r="49" s="149" customFormat="1" spans="1:129">
      <c r="A49" s="163" t="s">
        <v>57</v>
      </c>
      <c r="B49" s="163" t="s">
        <v>134</v>
      </c>
      <c r="C49" s="164" t="str">
        <f t="shared" si="0"/>
        <v>开弈信息张毅</v>
      </c>
      <c r="D49" s="165">
        <v>46023</v>
      </c>
      <c r="E49" s="164">
        <v>30311.88</v>
      </c>
      <c r="F49" s="164">
        <v>3500</v>
      </c>
      <c r="G49" s="164">
        <v>0</v>
      </c>
      <c r="H49" s="164">
        <v>0</v>
      </c>
      <c r="I49" s="164">
        <v>0</v>
      </c>
      <c r="J49" s="164">
        <v>1500</v>
      </c>
      <c r="K49" s="164">
        <v>0</v>
      </c>
      <c r="L49" s="164">
        <f t="shared" si="1"/>
        <v>1500</v>
      </c>
      <c r="M49" s="164">
        <v>609.36</v>
      </c>
      <c r="N49" s="164"/>
      <c r="O49" s="164"/>
      <c r="P49" s="164"/>
      <c r="Q49" s="164"/>
      <c r="R49" s="164"/>
      <c r="S49" s="164"/>
      <c r="T49" s="164"/>
      <c r="U49" s="164"/>
      <c r="V49" s="164"/>
      <c r="W49" s="164">
        <v>30311.88</v>
      </c>
      <c r="X49" s="164">
        <v>3500</v>
      </c>
      <c r="Y49" s="164">
        <v>0</v>
      </c>
      <c r="Z49" s="164">
        <v>0</v>
      </c>
      <c r="AA49" s="164">
        <v>0</v>
      </c>
      <c r="AB49" s="164">
        <v>1500</v>
      </c>
      <c r="AC49" s="164">
        <v>0</v>
      </c>
      <c r="AD49" s="164">
        <f t="shared" si="2"/>
        <v>1500</v>
      </c>
      <c r="AE49" s="164">
        <v>933.02</v>
      </c>
      <c r="AF49" s="164">
        <v>30311.88</v>
      </c>
      <c r="AG49" s="164">
        <v>3500</v>
      </c>
      <c r="AH49" s="164">
        <v>0</v>
      </c>
      <c r="AI49" s="164">
        <v>0</v>
      </c>
      <c r="AJ49" s="164">
        <v>0</v>
      </c>
      <c r="AK49" s="164">
        <v>1500</v>
      </c>
      <c r="AL49" s="164">
        <v>0</v>
      </c>
      <c r="AM49" s="164">
        <f t="shared" si="3"/>
        <v>1500</v>
      </c>
      <c r="AN49" s="164">
        <v>2031.18</v>
      </c>
      <c r="AO49" s="164">
        <v>30368.76</v>
      </c>
      <c r="AP49" s="164">
        <v>3500</v>
      </c>
      <c r="AQ49" s="164">
        <v>0</v>
      </c>
      <c r="AR49" s="164">
        <v>0</v>
      </c>
      <c r="AS49" s="164">
        <v>0</v>
      </c>
      <c r="AT49" s="164">
        <v>1500</v>
      </c>
      <c r="AU49" s="164">
        <v>0</v>
      </c>
      <c r="AV49" s="164">
        <f t="shared" si="4"/>
        <v>1500</v>
      </c>
      <c r="AW49" s="164">
        <v>2036.88</v>
      </c>
      <c r="AX49" s="164">
        <v>30368.76</v>
      </c>
      <c r="AY49" s="164">
        <v>3500</v>
      </c>
      <c r="AZ49" s="164">
        <v>0</v>
      </c>
      <c r="BA49" s="164">
        <v>0</v>
      </c>
      <c r="BB49" s="164">
        <v>0</v>
      </c>
      <c r="BC49" s="164">
        <v>1500</v>
      </c>
      <c r="BD49" s="164">
        <v>0</v>
      </c>
      <c r="BE49" s="164">
        <f t="shared" si="5"/>
        <v>1500</v>
      </c>
      <c r="BF49" s="164">
        <v>2036.88</v>
      </c>
      <c r="BG49" s="164">
        <f>VLOOKUP(C49,薪酬明细!A:AC,29,0)</f>
        <v>30368.76</v>
      </c>
      <c r="BH49" s="164">
        <v>3500</v>
      </c>
      <c r="BI49" s="164">
        <v>0</v>
      </c>
      <c r="BJ49" s="164">
        <v>0</v>
      </c>
      <c r="BK49" s="164">
        <v>0</v>
      </c>
      <c r="BL49" s="164">
        <v>1500</v>
      </c>
      <c r="BM49" s="164">
        <v>0</v>
      </c>
      <c r="BN49" s="164">
        <f t="shared" si="6"/>
        <v>1500</v>
      </c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164"/>
      <c r="DB49" s="164"/>
      <c r="DC49" s="164"/>
      <c r="DD49" s="164"/>
      <c r="DE49" s="164"/>
      <c r="DF49" s="164"/>
      <c r="DG49" s="164"/>
      <c r="DH49" s="164"/>
      <c r="DI49" s="164"/>
      <c r="DJ49" s="164"/>
      <c r="DK49" s="164"/>
      <c r="DL49" s="164"/>
      <c r="DM49" s="164"/>
      <c r="DN49" s="164"/>
      <c r="DO49" s="164"/>
      <c r="DP49" s="164"/>
      <c r="DQ49" s="164"/>
      <c r="DR49" s="163"/>
      <c r="DS49" s="164">
        <f t="shared" si="7"/>
        <v>182041.92</v>
      </c>
      <c r="DT49" s="164">
        <f t="shared" si="8"/>
        <v>21000</v>
      </c>
      <c r="DU49" s="164">
        <f t="shared" si="9"/>
        <v>9000</v>
      </c>
      <c r="DV49" s="164">
        <f t="shared" si="10"/>
        <v>7647.32</v>
      </c>
      <c r="DW49" s="166"/>
      <c r="DX49" s="153" t="str">
        <f>VLOOKUP(C49,薪酬明细!A:A,1,0)</f>
        <v>开弈信息张毅</v>
      </c>
    </row>
    <row r="50" s="149" customFormat="1" spans="1:129">
      <c r="A50" s="163" t="s">
        <v>75</v>
      </c>
      <c r="B50" s="163" t="s">
        <v>400</v>
      </c>
      <c r="C50" s="164" t="str">
        <f t="shared" si="0"/>
        <v>人力资源研究院王妤扬</v>
      </c>
      <c r="D50" s="165">
        <v>46023</v>
      </c>
      <c r="E50" s="164">
        <v>1497.03</v>
      </c>
      <c r="F50" s="164">
        <v>1300.3</v>
      </c>
      <c r="G50" s="164">
        <v>0</v>
      </c>
      <c r="H50" s="164">
        <v>0</v>
      </c>
      <c r="I50" s="164">
        <v>0</v>
      </c>
      <c r="J50" s="164">
        <v>0</v>
      </c>
      <c r="K50" s="164">
        <v>0</v>
      </c>
      <c r="L50" s="164">
        <f t="shared" si="1"/>
        <v>0</v>
      </c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>
        <v>1548.35</v>
      </c>
      <c r="X50" s="164">
        <v>1300.3</v>
      </c>
      <c r="Y50" s="164">
        <v>0</v>
      </c>
      <c r="Z50" s="164">
        <v>0</v>
      </c>
      <c r="AA50" s="164">
        <v>0</v>
      </c>
      <c r="AB50" s="164">
        <v>0</v>
      </c>
      <c r="AC50" s="164">
        <v>0</v>
      </c>
      <c r="AD50" s="164">
        <f t="shared" si="2"/>
        <v>0</v>
      </c>
      <c r="AE50" s="164"/>
      <c r="AF50" s="164">
        <v>1445.15</v>
      </c>
      <c r="AG50" s="164">
        <v>1300.3</v>
      </c>
      <c r="AH50" s="164">
        <v>0</v>
      </c>
      <c r="AI50" s="164">
        <v>0</v>
      </c>
      <c r="AJ50" s="164">
        <v>0</v>
      </c>
      <c r="AK50" s="164">
        <v>0</v>
      </c>
      <c r="AL50" s="164">
        <v>0</v>
      </c>
      <c r="AM50" s="164">
        <f t="shared" si="3"/>
        <v>0</v>
      </c>
      <c r="AN50" s="164">
        <v>0</v>
      </c>
      <c r="AO50" s="164">
        <v>1456.1</v>
      </c>
      <c r="AP50" s="164">
        <v>1300.3</v>
      </c>
      <c r="AQ50" s="164">
        <v>0</v>
      </c>
      <c r="AR50" s="164">
        <v>0</v>
      </c>
      <c r="AS50" s="164">
        <v>0</v>
      </c>
      <c r="AT50" s="164">
        <v>0</v>
      </c>
      <c r="AU50" s="164">
        <v>0</v>
      </c>
      <c r="AV50" s="164">
        <f t="shared" si="4"/>
        <v>0</v>
      </c>
      <c r="AW50" s="164">
        <v>0</v>
      </c>
      <c r="AX50" s="164">
        <v>1456.1</v>
      </c>
      <c r="AY50" s="164">
        <v>1300.3</v>
      </c>
      <c r="AZ50" s="164">
        <v>0</v>
      </c>
      <c r="BA50" s="164">
        <v>0</v>
      </c>
      <c r="BB50" s="164">
        <v>0</v>
      </c>
      <c r="BC50" s="164">
        <v>0</v>
      </c>
      <c r="BD50" s="164">
        <v>0</v>
      </c>
      <c r="BE50" s="164">
        <f t="shared" si="5"/>
        <v>0</v>
      </c>
      <c r="BF50" s="164">
        <v>0</v>
      </c>
      <c r="BG50" s="164">
        <f>VLOOKUP(C50,薪酬明细!A:AC,29,0)</f>
        <v>1456.1</v>
      </c>
      <c r="BH50" s="164">
        <v>1300.3</v>
      </c>
      <c r="BI50" s="164">
        <v>0</v>
      </c>
      <c r="BJ50" s="164">
        <v>0</v>
      </c>
      <c r="BK50" s="164">
        <v>0</v>
      </c>
      <c r="BL50" s="164">
        <v>0</v>
      </c>
      <c r="BM50" s="164">
        <v>0</v>
      </c>
      <c r="BN50" s="164">
        <f t="shared" si="6"/>
        <v>0</v>
      </c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164"/>
      <c r="DB50" s="164"/>
      <c r="DC50" s="164"/>
      <c r="DD50" s="164"/>
      <c r="DE50" s="164"/>
      <c r="DF50" s="164"/>
      <c r="DG50" s="164"/>
      <c r="DH50" s="164"/>
      <c r="DI50" s="164"/>
      <c r="DJ50" s="164"/>
      <c r="DK50" s="164"/>
      <c r="DL50" s="164"/>
      <c r="DM50" s="164"/>
      <c r="DN50" s="164"/>
      <c r="DO50" s="164"/>
      <c r="DP50" s="164"/>
      <c r="DQ50" s="164"/>
      <c r="DR50" s="163"/>
      <c r="DS50" s="164">
        <f t="shared" si="7"/>
        <v>8858.83</v>
      </c>
      <c r="DT50" s="164">
        <f t="shared" si="8"/>
        <v>7801.8</v>
      </c>
      <c r="DU50" s="164">
        <f t="shared" si="9"/>
        <v>0</v>
      </c>
      <c r="DV50" s="164">
        <f t="shared" si="10"/>
        <v>0</v>
      </c>
      <c r="DW50" s="166"/>
      <c r="DX50" s="153" t="str">
        <f>VLOOKUP(C50,薪酬明细!A:A,1,0)</f>
        <v>人力资源研究院王妤扬</v>
      </c>
    </row>
    <row r="51" s="149" customFormat="1" spans="1:129">
      <c r="A51" s="163" t="s">
        <v>57</v>
      </c>
      <c r="B51" s="163" t="s">
        <v>397</v>
      </c>
      <c r="C51" s="164" t="str">
        <f t="shared" si="0"/>
        <v>开弈信息沈明明</v>
      </c>
      <c r="D51" s="165">
        <v>46023</v>
      </c>
      <c r="E51" s="164">
        <v>9644.85</v>
      </c>
      <c r="F51" s="164">
        <v>1300.3</v>
      </c>
      <c r="G51" s="164">
        <v>0</v>
      </c>
      <c r="H51" s="164">
        <v>0</v>
      </c>
      <c r="I51" s="164">
        <v>1500</v>
      </c>
      <c r="J51" s="164">
        <v>0</v>
      </c>
      <c r="K51" s="164">
        <v>0</v>
      </c>
      <c r="L51" s="164">
        <f t="shared" si="1"/>
        <v>1500</v>
      </c>
      <c r="M51" s="164">
        <v>55.34</v>
      </c>
      <c r="N51" s="164"/>
      <c r="O51" s="164"/>
      <c r="P51" s="164"/>
      <c r="Q51" s="164"/>
      <c r="R51" s="164"/>
      <c r="S51" s="164"/>
      <c r="T51" s="164"/>
      <c r="U51" s="164"/>
      <c r="V51" s="164"/>
      <c r="W51" s="164">
        <v>8201.91</v>
      </c>
      <c r="X51" s="164">
        <v>1300.3</v>
      </c>
      <c r="Y51" s="164">
        <v>0</v>
      </c>
      <c r="Z51" s="164">
        <v>0</v>
      </c>
      <c r="AA51" s="164">
        <v>1500</v>
      </c>
      <c r="AB51" s="164">
        <v>0</v>
      </c>
      <c r="AC51" s="164">
        <v>0</v>
      </c>
      <c r="AD51" s="164">
        <f t="shared" si="2"/>
        <v>1500</v>
      </c>
      <c r="AE51" s="164">
        <v>12.04</v>
      </c>
      <c r="AF51" s="164">
        <v>9644.85</v>
      </c>
      <c r="AG51" s="164">
        <v>1300.3</v>
      </c>
      <c r="AH51" s="164">
        <v>0</v>
      </c>
      <c r="AI51" s="164">
        <v>0</v>
      </c>
      <c r="AJ51" s="164">
        <v>1500</v>
      </c>
      <c r="AK51" s="164">
        <v>0</v>
      </c>
      <c r="AL51" s="164">
        <v>0</v>
      </c>
      <c r="AM51" s="164">
        <f t="shared" si="3"/>
        <v>1500</v>
      </c>
      <c r="AN51" s="164">
        <v>55.34</v>
      </c>
      <c r="AO51" s="164">
        <v>9655.8</v>
      </c>
      <c r="AP51" s="164">
        <v>1300.3</v>
      </c>
      <c r="AQ51" s="164">
        <v>0</v>
      </c>
      <c r="AR51" s="164">
        <v>0</v>
      </c>
      <c r="AS51" s="164">
        <v>1500</v>
      </c>
      <c r="AT51" s="164">
        <v>0</v>
      </c>
      <c r="AU51" s="164">
        <v>0</v>
      </c>
      <c r="AV51" s="164">
        <f t="shared" si="4"/>
        <v>1500</v>
      </c>
      <c r="AW51" s="164">
        <v>55.67</v>
      </c>
      <c r="AX51" s="164">
        <v>9655.8</v>
      </c>
      <c r="AY51" s="164">
        <v>1300.3</v>
      </c>
      <c r="AZ51" s="164">
        <v>0</v>
      </c>
      <c r="BA51" s="164">
        <v>0</v>
      </c>
      <c r="BB51" s="164">
        <v>1500</v>
      </c>
      <c r="BC51" s="164">
        <v>0</v>
      </c>
      <c r="BD51" s="164">
        <v>0</v>
      </c>
      <c r="BE51" s="164">
        <f t="shared" si="5"/>
        <v>1500</v>
      </c>
      <c r="BF51" s="164">
        <v>55.66</v>
      </c>
      <c r="BG51" s="164">
        <f>VLOOKUP(C51,薪酬明细!A:AC,29,0)</f>
        <v>9655.8</v>
      </c>
      <c r="BH51" s="164">
        <v>1300.3</v>
      </c>
      <c r="BI51" s="164">
        <v>0</v>
      </c>
      <c r="BJ51" s="164">
        <v>0</v>
      </c>
      <c r="BK51" s="164">
        <v>1500</v>
      </c>
      <c r="BL51" s="164">
        <v>0</v>
      </c>
      <c r="BM51" s="164">
        <v>0</v>
      </c>
      <c r="BN51" s="164">
        <f t="shared" si="6"/>
        <v>1500</v>
      </c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164"/>
      <c r="DB51" s="164"/>
      <c r="DC51" s="164"/>
      <c r="DD51" s="164"/>
      <c r="DE51" s="164"/>
      <c r="DF51" s="164"/>
      <c r="DG51" s="164"/>
      <c r="DH51" s="164"/>
      <c r="DI51" s="164"/>
      <c r="DJ51" s="164"/>
      <c r="DK51" s="164"/>
      <c r="DL51" s="164"/>
      <c r="DM51" s="164"/>
      <c r="DN51" s="164"/>
      <c r="DO51" s="164"/>
      <c r="DP51" s="164"/>
      <c r="DQ51" s="164"/>
      <c r="DR51" s="163"/>
      <c r="DS51" s="164">
        <f t="shared" si="7"/>
        <v>56459.01</v>
      </c>
      <c r="DT51" s="164">
        <f t="shared" si="8"/>
        <v>7801.8</v>
      </c>
      <c r="DU51" s="164">
        <f t="shared" si="9"/>
        <v>9000</v>
      </c>
      <c r="DV51" s="164">
        <f t="shared" si="10"/>
        <v>234.05</v>
      </c>
      <c r="DW51" s="166"/>
      <c r="DX51" s="153" t="str">
        <f>VLOOKUP(C51,薪酬明细!A:A,1,0)</f>
        <v>开弈信息沈明明</v>
      </c>
      <c r="DY51" s="153"/>
    </row>
    <row r="52" s="149" customFormat="1" spans="1:129">
      <c r="A52" s="163" t="s">
        <v>57</v>
      </c>
      <c r="B52" s="163" t="s">
        <v>270</v>
      </c>
      <c r="C52" s="164" t="str">
        <f t="shared" si="0"/>
        <v>开弈信息王倩</v>
      </c>
      <c r="D52" s="165">
        <v>46023</v>
      </c>
      <c r="E52" s="164">
        <v>1000</v>
      </c>
      <c r="F52" s="164">
        <v>0</v>
      </c>
      <c r="G52" s="164">
        <v>0</v>
      </c>
      <c r="H52" s="164">
        <v>0</v>
      </c>
      <c r="I52" s="164">
        <v>0</v>
      </c>
      <c r="J52" s="164">
        <v>0</v>
      </c>
      <c r="K52" s="164">
        <v>0</v>
      </c>
      <c r="L52" s="164">
        <f t="shared" si="1"/>
        <v>0</v>
      </c>
      <c r="M52" s="164">
        <v>40</v>
      </c>
      <c r="N52" s="164"/>
      <c r="O52" s="164"/>
      <c r="P52" s="164"/>
      <c r="Q52" s="164"/>
      <c r="R52" s="164"/>
      <c r="S52" s="164"/>
      <c r="T52" s="164"/>
      <c r="U52" s="164"/>
      <c r="V52" s="164"/>
      <c r="W52" s="164">
        <v>1000</v>
      </c>
      <c r="X52" s="164">
        <v>0</v>
      </c>
      <c r="Y52" s="164">
        <v>0</v>
      </c>
      <c r="Z52" s="164">
        <v>0</v>
      </c>
      <c r="AA52" s="164">
        <v>0</v>
      </c>
      <c r="AB52" s="164">
        <v>0</v>
      </c>
      <c r="AC52" s="164">
        <v>0</v>
      </c>
      <c r="AD52" s="164">
        <f t="shared" si="2"/>
        <v>0</v>
      </c>
      <c r="AE52" s="164">
        <v>40</v>
      </c>
      <c r="AF52" s="164">
        <v>1000</v>
      </c>
      <c r="AG52" s="164">
        <v>0</v>
      </c>
      <c r="AH52" s="164">
        <v>0</v>
      </c>
      <c r="AI52" s="164">
        <v>0</v>
      </c>
      <c r="AJ52" s="164">
        <v>0</v>
      </c>
      <c r="AK52" s="164">
        <v>0</v>
      </c>
      <c r="AL52" s="164">
        <v>0</v>
      </c>
      <c r="AM52" s="164">
        <f t="shared" si="3"/>
        <v>0</v>
      </c>
      <c r="AN52" s="164">
        <v>40</v>
      </c>
      <c r="AO52" s="164">
        <v>1000</v>
      </c>
      <c r="AP52" s="164">
        <v>0</v>
      </c>
      <c r="AQ52" s="164">
        <v>0</v>
      </c>
      <c r="AR52" s="164">
        <v>0</v>
      </c>
      <c r="AS52" s="164">
        <v>0</v>
      </c>
      <c r="AT52" s="164">
        <v>0</v>
      </c>
      <c r="AU52" s="164">
        <v>0</v>
      </c>
      <c r="AV52" s="164">
        <f t="shared" si="4"/>
        <v>0</v>
      </c>
      <c r="AW52" s="164">
        <v>40</v>
      </c>
      <c r="AX52" s="164">
        <v>1000</v>
      </c>
      <c r="AY52" s="164">
        <v>0</v>
      </c>
      <c r="AZ52" s="164">
        <v>0</v>
      </c>
      <c r="BA52" s="164">
        <v>0</v>
      </c>
      <c r="BB52" s="164">
        <v>0</v>
      </c>
      <c r="BC52" s="164">
        <v>0</v>
      </c>
      <c r="BD52" s="164">
        <v>0</v>
      </c>
      <c r="BE52" s="164">
        <f t="shared" si="5"/>
        <v>0</v>
      </c>
      <c r="BF52" s="164">
        <v>40</v>
      </c>
      <c r="BG52" s="164">
        <f>VLOOKUP(C52,薪酬明细!A:AC,29,0)</f>
        <v>1000</v>
      </c>
      <c r="BH52" s="164">
        <v>0</v>
      </c>
      <c r="BI52" s="164">
        <v>0</v>
      </c>
      <c r="BJ52" s="164">
        <v>0</v>
      </c>
      <c r="BK52" s="164">
        <v>0</v>
      </c>
      <c r="BL52" s="164">
        <v>0</v>
      </c>
      <c r="BM52" s="164">
        <v>0</v>
      </c>
      <c r="BN52" s="164">
        <f t="shared" si="6"/>
        <v>0</v>
      </c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164"/>
      <c r="DB52" s="164"/>
      <c r="DC52" s="164"/>
      <c r="DD52" s="164"/>
      <c r="DE52" s="164"/>
      <c r="DF52" s="164"/>
      <c r="DG52" s="164"/>
      <c r="DH52" s="164"/>
      <c r="DI52" s="164"/>
      <c r="DJ52" s="164"/>
      <c r="DK52" s="164"/>
      <c r="DL52" s="164"/>
      <c r="DM52" s="164"/>
      <c r="DN52" s="164"/>
      <c r="DO52" s="164"/>
      <c r="DP52" s="164"/>
      <c r="DQ52" s="164"/>
      <c r="DR52" s="163"/>
      <c r="DS52" s="164">
        <f t="shared" si="7"/>
        <v>6000</v>
      </c>
      <c r="DT52" s="164">
        <f t="shared" si="8"/>
        <v>0</v>
      </c>
      <c r="DU52" s="164">
        <f t="shared" si="9"/>
        <v>0</v>
      </c>
      <c r="DV52" s="164">
        <f t="shared" si="10"/>
        <v>200</v>
      </c>
      <c r="DW52" s="166"/>
      <c r="DX52" s="153" t="str">
        <f>VLOOKUP(C52,薪酬明细!A:A,1,0)</f>
        <v>开弈信息王倩</v>
      </c>
      <c r="DY52" s="153"/>
    </row>
    <row r="53" s="149" customFormat="1" spans="1:129">
      <c r="A53" s="163" t="s">
        <v>57</v>
      </c>
      <c r="B53" s="163" t="s">
        <v>392</v>
      </c>
      <c r="C53" s="164" t="str">
        <f t="shared" si="0"/>
        <v>开弈信息杜宪</v>
      </c>
      <c r="D53" s="165">
        <v>46023</v>
      </c>
      <c r="E53" s="164">
        <v>25144.85</v>
      </c>
      <c r="F53" s="164">
        <v>3185</v>
      </c>
      <c r="G53" s="164">
        <v>0</v>
      </c>
      <c r="H53" s="164">
        <v>0</v>
      </c>
      <c r="I53" s="164"/>
      <c r="J53" s="164">
        <v>0</v>
      </c>
      <c r="K53" s="164">
        <v>0</v>
      </c>
      <c r="L53" s="164">
        <f t="shared" si="1"/>
        <v>0</v>
      </c>
      <c r="M53" s="164">
        <v>508.8</v>
      </c>
      <c r="N53" s="164"/>
      <c r="O53" s="164"/>
      <c r="P53" s="164"/>
      <c r="Q53" s="164"/>
      <c r="R53" s="164"/>
      <c r="S53" s="164"/>
      <c r="T53" s="164"/>
      <c r="U53" s="164"/>
      <c r="V53" s="164"/>
      <c r="W53" s="164">
        <v>25144.85</v>
      </c>
      <c r="X53" s="164">
        <v>3185</v>
      </c>
      <c r="Y53" s="164">
        <v>0</v>
      </c>
      <c r="Z53" s="164">
        <v>0</v>
      </c>
      <c r="AA53" s="164">
        <v>3000</v>
      </c>
      <c r="AB53" s="164">
        <v>0</v>
      </c>
      <c r="AC53" s="164">
        <v>0</v>
      </c>
      <c r="AD53" s="164">
        <f t="shared" si="2"/>
        <v>3000</v>
      </c>
      <c r="AE53" s="164">
        <v>508.79</v>
      </c>
      <c r="AF53" s="164">
        <v>28132.38</v>
      </c>
      <c r="AG53" s="164">
        <v>3185</v>
      </c>
      <c r="AH53" s="164">
        <v>0</v>
      </c>
      <c r="AI53" s="164">
        <v>0</v>
      </c>
      <c r="AJ53" s="164">
        <v>1500</v>
      </c>
      <c r="AK53" s="164">
        <v>0</v>
      </c>
      <c r="AL53" s="164">
        <v>0</v>
      </c>
      <c r="AM53" s="164">
        <f t="shared" si="3"/>
        <v>1500</v>
      </c>
      <c r="AN53" s="164">
        <v>1399.12</v>
      </c>
      <c r="AO53" s="164">
        <v>22976.7</v>
      </c>
      <c r="AP53" s="164">
        <v>3185</v>
      </c>
      <c r="AQ53" s="164">
        <v>0</v>
      </c>
      <c r="AR53" s="164">
        <v>0</v>
      </c>
      <c r="AS53" s="164">
        <v>1500</v>
      </c>
      <c r="AT53" s="164">
        <v>0</v>
      </c>
      <c r="AU53" s="164">
        <v>0</v>
      </c>
      <c r="AV53" s="164">
        <f t="shared" si="4"/>
        <v>1500</v>
      </c>
      <c r="AW53" s="164">
        <v>1329.17</v>
      </c>
      <c r="AX53" s="164">
        <v>26902.87</v>
      </c>
      <c r="AY53" s="164">
        <v>3185</v>
      </c>
      <c r="AZ53" s="164">
        <v>0</v>
      </c>
      <c r="BA53" s="164">
        <v>0</v>
      </c>
      <c r="BB53" s="164">
        <v>1500</v>
      </c>
      <c r="BC53" s="164">
        <v>3000</v>
      </c>
      <c r="BD53" s="164">
        <v>0</v>
      </c>
      <c r="BE53" s="164">
        <f t="shared" si="5"/>
        <v>4500</v>
      </c>
      <c r="BF53" s="164">
        <v>1421.79</v>
      </c>
      <c r="BG53" s="164">
        <f>VLOOKUP(C53,薪酬明细!A:AC,29,0)</f>
        <v>24733.2</v>
      </c>
      <c r="BH53" s="164">
        <v>3185</v>
      </c>
      <c r="BI53" s="164">
        <v>0</v>
      </c>
      <c r="BJ53" s="164">
        <v>0</v>
      </c>
      <c r="BK53" s="164">
        <v>1500</v>
      </c>
      <c r="BL53" s="164">
        <v>3000</v>
      </c>
      <c r="BM53" s="164">
        <v>0</v>
      </c>
      <c r="BN53" s="164">
        <f t="shared" si="6"/>
        <v>4500</v>
      </c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  <c r="CR53" s="164"/>
      <c r="CS53" s="164"/>
      <c r="CT53" s="164"/>
      <c r="CU53" s="164"/>
      <c r="CV53" s="164"/>
      <c r="CW53" s="164"/>
      <c r="CX53" s="164"/>
      <c r="CY53" s="164"/>
      <c r="CZ53" s="164"/>
      <c r="DA53" s="164"/>
      <c r="DB53" s="164"/>
      <c r="DC53" s="164"/>
      <c r="DD53" s="164"/>
      <c r="DE53" s="164"/>
      <c r="DF53" s="164"/>
      <c r="DG53" s="164"/>
      <c r="DH53" s="164"/>
      <c r="DI53" s="164"/>
      <c r="DJ53" s="164"/>
      <c r="DK53" s="164"/>
      <c r="DL53" s="164"/>
      <c r="DM53" s="164"/>
      <c r="DN53" s="164"/>
      <c r="DO53" s="164"/>
      <c r="DP53" s="164"/>
      <c r="DQ53" s="164"/>
      <c r="DR53" s="163"/>
      <c r="DS53" s="164">
        <f t="shared" si="7"/>
        <v>153034.85</v>
      </c>
      <c r="DT53" s="164">
        <f t="shared" si="8"/>
        <v>19110</v>
      </c>
      <c r="DU53" s="164">
        <f t="shared" si="9"/>
        <v>15000</v>
      </c>
      <c r="DV53" s="164">
        <f t="shared" si="10"/>
        <v>5167.67</v>
      </c>
      <c r="DW53" s="166"/>
      <c r="DX53" s="153" t="str">
        <f>VLOOKUP(C53,薪酬明细!A:A,1,0)</f>
        <v>开弈信息杜宪</v>
      </c>
      <c r="DY53" s="153"/>
    </row>
    <row r="54" s="149" customFormat="1" spans="1:129">
      <c r="A54" s="163" t="s">
        <v>58</v>
      </c>
      <c r="B54" s="163" t="s">
        <v>400</v>
      </c>
      <c r="C54" s="164" t="str">
        <f t="shared" si="0"/>
        <v>开弈中国王妤扬</v>
      </c>
      <c r="D54" s="165">
        <v>46023</v>
      </c>
      <c r="E54" s="164">
        <v>31960.7</v>
      </c>
      <c r="F54" s="164">
        <v>1500</v>
      </c>
      <c r="G54" s="164">
        <v>0</v>
      </c>
      <c r="H54" s="164">
        <v>0</v>
      </c>
      <c r="I54" s="164">
        <v>0</v>
      </c>
      <c r="J54" s="164">
        <v>0</v>
      </c>
      <c r="K54" s="164">
        <v>0</v>
      </c>
      <c r="L54" s="164">
        <f t="shared" si="1"/>
        <v>0</v>
      </c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>
        <v>27635.49</v>
      </c>
      <c r="X54" s="164">
        <v>1500</v>
      </c>
      <c r="Y54" s="164">
        <v>0</v>
      </c>
      <c r="Z54" s="164">
        <v>0</v>
      </c>
      <c r="AA54" s="164">
        <v>0</v>
      </c>
      <c r="AB54" s="164">
        <v>0</v>
      </c>
      <c r="AC54" s="164">
        <v>0</v>
      </c>
      <c r="AD54" s="164">
        <f t="shared" si="2"/>
        <v>0</v>
      </c>
      <c r="AE54" s="164"/>
      <c r="AF54" s="164">
        <v>55011.95</v>
      </c>
      <c r="AG54" s="164">
        <v>1500</v>
      </c>
      <c r="AH54" s="164">
        <v>0</v>
      </c>
      <c r="AI54" s="164">
        <v>0</v>
      </c>
      <c r="AJ54" s="164">
        <v>0</v>
      </c>
      <c r="AK54" s="164">
        <v>0</v>
      </c>
      <c r="AL54" s="164">
        <v>0</v>
      </c>
      <c r="AM54" s="164">
        <f t="shared" si="3"/>
        <v>0</v>
      </c>
      <c r="AN54" s="164">
        <v>0</v>
      </c>
      <c r="AO54" s="164">
        <v>28941.52</v>
      </c>
      <c r="AP54" s="164">
        <v>1500</v>
      </c>
      <c r="AQ54" s="164">
        <v>0</v>
      </c>
      <c r="AR54" s="164">
        <v>0</v>
      </c>
      <c r="AS54" s="164">
        <v>0</v>
      </c>
      <c r="AT54" s="164">
        <v>0</v>
      </c>
      <c r="AU54" s="164">
        <v>0</v>
      </c>
      <c r="AV54" s="164">
        <f t="shared" si="4"/>
        <v>0</v>
      </c>
      <c r="AW54" s="164">
        <v>0</v>
      </c>
      <c r="AX54" s="164">
        <v>25257.37</v>
      </c>
      <c r="AY54" s="164">
        <v>1500</v>
      </c>
      <c r="AZ54" s="164">
        <v>0</v>
      </c>
      <c r="BA54" s="164">
        <v>0</v>
      </c>
      <c r="BB54" s="164">
        <v>0</v>
      </c>
      <c r="BC54" s="164">
        <v>0</v>
      </c>
      <c r="BD54" s="164">
        <v>0</v>
      </c>
      <c r="BE54" s="164">
        <f t="shared" si="5"/>
        <v>0</v>
      </c>
      <c r="BF54" s="164">
        <v>0</v>
      </c>
      <c r="BG54" s="164">
        <f>VLOOKUP(C54,薪酬明细!A:AC,29,0)</f>
        <v>31106.05</v>
      </c>
      <c r="BH54" s="164">
        <v>1500</v>
      </c>
      <c r="BI54" s="164">
        <v>0</v>
      </c>
      <c r="BJ54" s="164">
        <v>0</v>
      </c>
      <c r="BK54" s="164">
        <v>0</v>
      </c>
      <c r="BL54" s="164">
        <v>0</v>
      </c>
      <c r="BM54" s="164">
        <v>0</v>
      </c>
      <c r="BN54" s="164">
        <f t="shared" si="6"/>
        <v>0</v>
      </c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  <c r="CR54" s="164"/>
      <c r="CS54" s="164"/>
      <c r="CT54" s="164"/>
      <c r="CU54" s="164"/>
      <c r="CV54" s="164"/>
      <c r="CW54" s="164"/>
      <c r="CX54" s="164"/>
      <c r="CY54" s="164"/>
      <c r="CZ54" s="164"/>
      <c r="DA54" s="164"/>
      <c r="DB54" s="164"/>
      <c r="DC54" s="164"/>
      <c r="DD54" s="164"/>
      <c r="DE54" s="164"/>
      <c r="DF54" s="164"/>
      <c r="DG54" s="164"/>
      <c r="DH54" s="164"/>
      <c r="DI54" s="164"/>
      <c r="DJ54" s="164"/>
      <c r="DK54" s="164"/>
      <c r="DL54" s="164"/>
      <c r="DM54" s="164"/>
      <c r="DN54" s="164"/>
      <c r="DO54" s="164"/>
      <c r="DP54" s="164"/>
      <c r="DQ54" s="164"/>
      <c r="DR54" s="163"/>
      <c r="DS54" s="164">
        <f t="shared" si="7"/>
        <v>199913.08</v>
      </c>
      <c r="DT54" s="164">
        <f t="shared" si="8"/>
        <v>9000</v>
      </c>
      <c r="DU54" s="164">
        <f t="shared" si="9"/>
        <v>0</v>
      </c>
      <c r="DV54" s="164">
        <f t="shared" si="10"/>
        <v>0</v>
      </c>
      <c r="DW54" s="166"/>
      <c r="DX54" s="153" t="str">
        <f>VLOOKUP(C54,薪酬明细!A:A,1,0)</f>
        <v>开弈中国王妤扬</v>
      </c>
      <c r="DY54" s="153"/>
    </row>
    <row r="55" s="149" customFormat="1" spans="1:129">
      <c r="A55" s="163" t="s">
        <v>58</v>
      </c>
      <c r="B55" s="163" t="s">
        <v>134</v>
      </c>
      <c r="C55" s="164" t="str">
        <f t="shared" si="0"/>
        <v>开弈中国张毅</v>
      </c>
      <c r="D55" s="165">
        <v>46023</v>
      </c>
      <c r="E55" s="164">
        <v>70000</v>
      </c>
      <c r="F55" s="164">
        <v>0</v>
      </c>
      <c r="G55" s="164">
        <v>0</v>
      </c>
      <c r="H55" s="164">
        <v>0</v>
      </c>
      <c r="I55" s="164">
        <v>0</v>
      </c>
      <c r="J55" s="164"/>
      <c r="K55" s="164">
        <v>0</v>
      </c>
      <c r="L55" s="164">
        <f t="shared" si="1"/>
        <v>0</v>
      </c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>
        <v>70000</v>
      </c>
      <c r="X55" s="164">
        <v>0</v>
      </c>
      <c r="Y55" s="164">
        <v>0</v>
      </c>
      <c r="Z55" s="164">
        <v>0</v>
      </c>
      <c r="AA55" s="164">
        <v>0</v>
      </c>
      <c r="AB55" s="164"/>
      <c r="AC55" s="164">
        <v>0</v>
      </c>
      <c r="AD55" s="164">
        <f t="shared" si="2"/>
        <v>0</v>
      </c>
      <c r="AE55" s="164"/>
      <c r="AF55" s="164">
        <v>70000</v>
      </c>
      <c r="AG55" s="164">
        <v>0</v>
      </c>
      <c r="AH55" s="164">
        <v>0</v>
      </c>
      <c r="AI55" s="164">
        <v>0</v>
      </c>
      <c r="AJ55" s="164">
        <v>0</v>
      </c>
      <c r="AK55" s="164"/>
      <c r="AL55" s="164">
        <v>0</v>
      </c>
      <c r="AM55" s="164">
        <f t="shared" si="3"/>
        <v>0</v>
      </c>
      <c r="AN55" s="164">
        <v>0</v>
      </c>
      <c r="AO55" s="164">
        <v>70000</v>
      </c>
      <c r="AP55" s="164">
        <v>0</v>
      </c>
      <c r="AQ55" s="164">
        <v>0</v>
      </c>
      <c r="AR55" s="164">
        <v>0</v>
      </c>
      <c r="AS55" s="164">
        <v>0</v>
      </c>
      <c r="AT55" s="164"/>
      <c r="AU55" s="164">
        <v>0</v>
      </c>
      <c r="AV55" s="164">
        <f t="shared" si="4"/>
        <v>0</v>
      </c>
      <c r="AW55" s="164">
        <v>0</v>
      </c>
      <c r="AX55" s="164">
        <v>70000</v>
      </c>
      <c r="AY55" s="164">
        <v>0</v>
      </c>
      <c r="AZ55" s="164">
        <v>0</v>
      </c>
      <c r="BA55" s="164">
        <v>0</v>
      </c>
      <c r="BB55" s="164">
        <v>0</v>
      </c>
      <c r="BC55" s="164"/>
      <c r="BD55" s="164">
        <v>0</v>
      </c>
      <c r="BE55" s="164">
        <f t="shared" si="5"/>
        <v>0</v>
      </c>
      <c r="BF55" s="164">
        <v>0</v>
      </c>
      <c r="BG55" s="164">
        <f>VLOOKUP(C55,薪酬明细!A:AC,29,0)</f>
        <v>70000</v>
      </c>
      <c r="BH55" s="164">
        <v>0</v>
      </c>
      <c r="BI55" s="164">
        <v>0</v>
      </c>
      <c r="BJ55" s="164">
        <v>0</v>
      </c>
      <c r="BK55" s="164">
        <v>0</v>
      </c>
      <c r="BL55" s="164"/>
      <c r="BM55" s="164">
        <v>0</v>
      </c>
      <c r="BN55" s="164">
        <f t="shared" si="6"/>
        <v>0</v>
      </c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  <c r="CR55" s="164"/>
      <c r="CS55" s="164"/>
      <c r="CT55" s="164"/>
      <c r="CU55" s="164"/>
      <c r="CV55" s="164"/>
      <c r="CW55" s="164"/>
      <c r="CX55" s="164"/>
      <c r="CY55" s="164"/>
      <c r="CZ55" s="164"/>
      <c r="DA55" s="164"/>
      <c r="DB55" s="164"/>
      <c r="DC55" s="164"/>
      <c r="DD55" s="164"/>
      <c r="DE55" s="164"/>
      <c r="DF55" s="164"/>
      <c r="DG55" s="164"/>
      <c r="DH55" s="164"/>
      <c r="DI55" s="164"/>
      <c r="DJ55" s="164"/>
      <c r="DK55" s="164"/>
      <c r="DL55" s="164"/>
      <c r="DM55" s="164"/>
      <c r="DN55" s="164"/>
      <c r="DO55" s="164"/>
      <c r="DP55" s="164"/>
      <c r="DQ55" s="164"/>
      <c r="DR55" s="163"/>
      <c r="DS55" s="164">
        <f t="shared" si="7"/>
        <v>420000</v>
      </c>
      <c r="DT55" s="164">
        <f t="shared" si="8"/>
        <v>0</v>
      </c>
      <c r="DU55" s="164">
        <f t="shared" si="9"/>
        <v>0</v>
      </c>
      <c r="DV55" s="164">
        <f t="shared" si="10"/>
        <v>0</v>
      </c>
      <c r="DW55" s="166"/>
      <c r="DX55" s="153" t="str">
        <f>VLOOKUP(C55,薪酬明细!A:A,1,0)</f>
        <v>开弈中国张毅</v>
      </c>
      <c r="DY55" s="153"/>
    </row>
    <row r="56" s="149" customFormat="1" spans="1:129">
      <c r="A56" s="163" t="s">
        <v>63</v>
      </c>
      <c r="B56" s="163" t="s">
        <v>427</v>
      </c>
      <c r="C56" s="164" t="str">
        <f t="shared" si="0"/>
        <v>靠普人力季嘉莉</v>
      </c>
      <c r="D56" s="165">
        <v>46023</v>
      </c>
      <c r="E56" s="164">
        <v>13144.85</v>
      </c>
      <c r="F56" s="164">
        <v>1669.3</v>
      </c>
      <c r="G56" s="164">
        <v>0</v>
      </c>
      <c r="H56" s="164">
        <v>0</v>
      </c>
      <c r="I56" s="164">
        <v>1500</v>
      </c>
      <c r="J56" s="164">
        <v>1500</v>
      </c>
      <c r="K56" s="164">
        <v>0</v>
      </c>
      <c r="L56" s="164">
        <f t="shared" si="1"/>
        <v>3000</v>
      </c>
      <c r="M56" s="164">
        <v>104.27</v>
      </c>
      <c r="N56" s="164"/>
      <c r="O56" s="164"/>
      <c r="P56" s="164"/>
      <c r="Q56" s="164"/>
      <c r="R56" s="164"/>
      <c r="S56" s="164"/>
      <c r="T56" s="164"/>
      <c r="U56" s="164"/>
      <c r="V56" s="164"/>
      <c r="W56" s="164">
        <v>11984.75</v>
      </c>
      <c r="X56" s="164">
        <v>1669.3</v>
      </c>
      <c r="Y56" s="164">
        <v>0</v>
      </c>
      <c r="Z56" s="164">
        <v>0</v>
      </c>
      <c r="AA56" s="164">
        <v>1500</v>
      </c>
      <c r="AB56" s="164">
        <v>1500</v>
      </c>
      <c r="AC56" s="164">
        <v>0</v>
      </c>
      <c r="AD56" s="164">
        <f t="shared" si="2"/>
        <v>3000</v>
      </c>
      <c r="AE56" s="164">
        <v>69.46</v>
      </c>
      <c r="AF56" s="164">
        <v>13144.85</v>
      </c>
      <c r="AG56" s="164">
        <v>1669.3</v>
      </c>
      <c r="AH56" s="164">
        <v>0</v>
      </c>
      <c r="AI56" s="164">
        <v>0</v>
      </c>
      <c r="AJ56" s="164">
        <v>1500</v>
      </c>
      <c r="AK56" s="164">
        <v>1500</v>
      </c>
      <c r="AL56" s="164">
        <v>0</v>
      </c>
      <c r="AM56" s="164">
        <f t="shared" si="3"/>
        <v>3000</v>
      </c>
      <c r="AN56" s="164">
        <v>104.27</v>
      </c>
      <c r="AO56" s="164">
        <v>13155.8</v>
      </c>
      <c r="AP56" s="164">
        <v>1669.3</v>
      </c>
      <c r="AQ56" s="164">
        <v>0</v>
      </c>
      <c r="AR56" s="164">
        <v>0</v>
      </c>
      <c r="AS56" s="164">
        <v>1500</v>
      </c>
      <c r="AT56" s="164">
        <v>1500</v>
      </c>
      <c r="AU56" s="164">
        <v>0</v>
      </c>
      <c r="AV56" s="164">
        <f t="shared" si="4"/>
        <v>3000</v>
      </c>
      <c r="AW56" s="164">
        <v>104.59</v>
      </c>
      <c r="AX56" s="164">
        <v>13155.8</v>
      </c>
      <c r="AY56" s="164">
        <v>1669.3</v>
      </c>
      <c r="AZ56" s="164">
        <v>0</v>
      </c>
      <c r="BA56" s="164">
        <v>0</v>
      </c>
      <c r="BB56" s="164">
        <v>1500</v>
      </c>
      <c r="BC56" s="164">
        <v>1500</v>
      </c>
      <c r="BD56" s="164">
        <v>0</v>
      </c>
      <c r="BE56" s="164">
        <f t="shared" si="5"/>
        <v>3000</v>
      </c>
      <c r="BF56" s="164">
        <v>104.6</v>
      </c>
      <c r="BG56" s="164">
        <f>VLOOKUP(C56,薪酬明细!A:AC,29,0)</f>
        <v>13155.8</v>
      </c>
      <c r="BH56" s="164">
        <v>1669.3</v>
      </c>
      <c r="BI56" s="164">
        <v>0</v>
      </c>
      <c r="BJ56" s="164">
        <v>0</v>
      </c>
      <c r="BK56" s="164">
        <v>1500</v>
      </c>
      <c r="BL56" s="164">
        <v>1500</v>
      </c>
      <c r="BM56" s="164">
        <v>0</v>
      </c>
      <c r="BN56" s="164">
        <f t="shared" si="6"/>
        <v>3000</v>
      </c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  <c r="CR56" s="164"/>
      <c r="CS56" s="164"/>
      <c r="CT56" s="164"/>
      <c r="CU56" s="164"/>
      <c r="CV56" s="164"/>
      <c r="CW56" s="164"/>
      <c r="CX56" s="164"/>
      <c r="CY56" s="164"/>
      <c r="CZ56" s="164"/>
      <c r="DA56" s="164"/>
      <c r="DB56" s="164"/>
      <c r="DC56" s="164"/>
      <c r="DD56" s="164"/>
      <c r="DE56" s="164"/>
      <c r="DF56" s="164"/>
      <c r="DG56" s="164"/>
      <c r="DH56" s="164"/>
      <c r="DI56" s="164"/>
      <c r="DJ56" s="164"/>
      <c r="DK56" s="164"/>
      <c r="DL56" s="164"/>
      <c r="DM56" s="164"/>
      <c r="DN56" s="164"/>
      <c r="DO56" s="164"/>
      <c r="DP56" s="164"/>
      <c r="DQ56" s="164"/>
      <c r="DR56" s="163"/>
      <c r="DS56" s="164">
        <f t="shared" si="7"/>
        <v>77741.85</v>
      </c>
      <c r="DT56" s="164">
        <f t="shared" si="8"/>
        <v>10015.8</v>
      </c>
      <c r="DU56" s="164">
        <f t="shared" si="9"/>
        <v>18000</v>
      </c>
      <c r="DV56" s="164">
        <f t="shared" si="10"/>
        <v>487.19</v>
      </c>
      <c r="DW56" s="166"/>
      <c r="DX56" s="153" t="str">
        <f>VLOOKUP(C56,薪酬明细!A:A,1,0)</f>
        <v>靠普人力季嘉莉</v>
      </c>
      <c r="DY56" s="153"/>
    </row>
    <row r="57" s="149" customFormat="1" spans="1:129">
      <c r="A57" s="163" t="s">
        <v>63</v>
      </c>
      <c r="B57" s="163" t="s">
        <v>392</v>
      </c>
      <c r="C57" s="164" t="str">
        <f t="shared" si="0"/>
        <v>靠普人力杜宪</v>
      </c>
      <c r="D57" s="165">
        <v>46023</v>
      </c>
      <c r="E57" s="164">
        <v>1000</v>
      </c>
      <c r="F57" s="164">
        <v>0</v>
      </c>
      <c r="G57" s="164">
        <v>0</v>
      </c>
      <c r="H57" s="164">
        <v>0</v>
      </c>
      <c r="I57" s="164">
        <v>0</v>
      </c>
      <c r="J57" s="164">
        <v>0</v>
      </c>
      <c r="K57" s="164">
        <v>0</v>
      </c>
      <c r="L57" s="164">
        <f t="shared" si="1"/>
        <v>0</v>
      </c>
      <c r="M57" s="164">
        <v>40</v>
      </c>
      <c r="N57" s="164"/>
      <c r="O57" s="164"/>
      <c r="P57" s="164"/>
      <c r="Q57" s="164"/>
      <c r="R57" s="164"/>
      <c r="S57" s="164"/>
      <c r="T57" s="164"/>
      <c r="U57" s="164"/>
      <c r="V57" s="164"/>
      <c r="W57" s="164">
        <v>1000</v>
      </c>
      <c r="X57" s="164">
        <v>0</v>
      </c>
      <c r="Y57" s="164">
        <v>0</v>
      </c>
      <c r="Z57" s="164">
        <v>0</v>
      </c>
      <c r="AA57" s="164">
        <v>0</v>
      </c>
      <c r="AB57" s="164">
        <v>0</v>
      </c>
      <c r="AC57" s="164">
        <v>0</v>
      </c>
      <c r="AD57" s="164">
        <f t="shared" si="2"/>
        <v>0</v>
      </c>
      <c r="AE57" s="164">
        <v>40</v>
      </c>
      <c r="AF57" s="164">
        <v>1000</v>
      </c>
      <c r="AG57" s="164">
        <v>0</v>
      </c>
      <c r="AH57" s="164">
        <v>0</v>
      </c>
      <c r="AI57" s="164">
        <v>0</v>
      </c>
      <c r="AJ57" s="164">
        <v>0</v>
      </c>
      <c r="AK57" s="164">
        <v>0</v>
      </c>
      <c r="AL57" s="164">
        <v>0</v>
      </c>
      <c r="AM57" s="164">
        <f t="shared" si="3"/>
        <v>0</v>
      </c>
      <c r="AN57" s="164">
        <v>40</v>
      </c>
      <c r="AO57" s="164">
        <v>1000</v>
      </c>
      <c r="AP57" s="164">
        <v>0</v>
      </c>
      <c r="AQ57" s="164">
        <v>0</v>
      </c>
      <c r="AR57" s="164">
        <v>0</v>
      </c>
      <c r="AS57" s="164">
        <v>0</v>
      </c>
      <c r="AT57" s="164">
        <v>0</v>
      </c>
      <c r="AU57" s="164">
        <v>0</v>
      </c>
      <c r="AV57" s="164">
        <f t="shared" si="4"/>
        <v>0</v>
      </c>
      <c r="AW57" s="164">
        <v>40</v>
      </c>
      <c r="AX57" s="164">
        <v>1000</v>
      </c>
      <c r="AY57" s="164">
        <v>0</v>
      </c>
      <c r="AZ57" s="164">
        <v>0</v>
      </c>
      <c r="BA57" s="164">
        <v>0</v>
      </c>
      <c r="BB57" s="164">
        <v>0</v>
      </c>
      <c r="BC57" s="164">
        <v>0</v>
      </c>
      <c r="BD57" s="164">
        <v>0</v>
      </c>
      <c r="BE57" s="164">
        <f t="shared" si="5"/>
        <v>0</v>
      </c>
      <c r="BF57" s="164">
        <v>40</v>
      </c>
      <c r="BG57" s="164">
        <f>VLOOKUP(C57,薪酬明细!A:AC,29,0)</f>
        <v>1000</v>
      </c>
      <c r="BH57" s="164">
        <v>0</v>
      </c>
      <c r="BI57" s="164">
        <v>0</v>
      </c>
      <c r="BJ57" s="164">
        <v>0</v>
      </c>
      <c r="BK57" s="164">
        <v>0</v>
      </c>
      <c r="BL57" s="164">
        <v>0</v>
      </c>
      <c r="BM57" s="164">
        <v>0</v>
      </c>
      <c r="BN57" s="164">
        <f t="shared" si="6"/>
        <v>0</v>
      </c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  <c r="CR57" s="164"/>
      <c r="CS57" s="164"/>
      <c r="CT57" s="164"/>
      <c r="CU57" s="164"/>
      <c r="CV57" s="164"/>
      <c r="CW57" s="164"/>
      <c r="CX57" s="164"/>
      <c r="CY57" s="164"/>
      <c r="CZ57" s="164"/>
      <c r="DA57" s="164"/>
      <c r="DB57" s="164"/>
      <c r="DC57" s="164"/>
      <c r="DD57" s="164"/>
      <c r="DE57" s="164"/>
      <c r="DF57" s="164"/>
      <c r="DG57" s="164"/>
      <c r="DH57" s="164"/>
      <c r="DI57" s="164"/>
      <c r="DJ57" s="164"/>
      <c r="DK57" s="164"/>
      <c r="DL57" s="164"/>
      <c r="DM57" s="164"/>
      <c r="DN57" s="164"/>
      <c r="DO57" s="164"/>
      <c r="DP57" s="164"/>
      <c r="DQ57" s="164"/>
      <c r="DR57" s="163"/>
      <c r="DS57" s="164">
        <f t="shared" si="7"/>
        <v>6000</v>
      </c>
      <c r="DT57" s="164">
        <f t="shared" si="8"/>
        <v>0</v>
      </c>
      <c r="DU57" s="164">
        <f t="shared" si="9"/>
        <v>0</v>
      </c>
      <c r="DV57" s="164">
        <f t="shared" si="10"/>
        <v>200</v>
      </c>
      <c r="DW57" s="166"/>
      <c r="DX57" s="153" t="str">
        <f>VLOOKUP(C57,薪酬明细!A:A,1,0)</f>
        <v>靠普人力杜宪</v>
      </c>
      <c r="DY57" s="153"/>
    </row>
    <row r="58" s="149" customFormat="1" spans="1:129">
      <c r="A58" s="163" t="s">
        <v>61</v>
      </c>
      <c r="B58" s="163" t="s">
        <v>429</v>
      </c>
      <c r="C58" s="164" t="str">
        <f t="shared" si="0"/>
        <v>开弈人力资源张家喜</v>
      </c>
      <c r="D58" s="165">
        <v>46023</v>
      </c>
      <c r="E58" s="164">
        <v>3523.3</v>
      </c>
      <c r="F58" s="164">
        <v>783.3</v>
      </c>
      <c r="G58" s="164">
        <v>0</v>
      </c>
      <c r="H58" s="164">
        <v>0</v>
      </c>
      <c r="I58" s="164">
        <v>0</v>
      </c>
      <c r="J58" s="164">
        <v>0</v>
      </c>
      <c r="K58" s="164">
        <v>0</v>
      </c>
      <c r="L58" s="164">
        <f t="shared" si="1"/>
        <v>0</v>
      </c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>
        <v>3523.3</v>
      </c>
      <c r="X58" s="164">
        <v>783.3</v>
      </c>
      <c r="Y58" s="164">
        <v>0</v>
      </c>
      <c r="Z58" s="164">
        <v>0</v>
      </c>
      <c r="AA58" s="164">
        <v>0</v>
      </c>
      <c r="AB58" s="164">
        <v>0</v>
      </c>
      <c r="AC58" s="164">
        <v>0</v>
      </c>
      <c r="AD58" s="164">
        <f t="shared" si="2"/>
        <v>0</v>
      </c>
      <c r="AE58" s="164"/>
      <c r="AF58" s="164">
        <v>3523.3</v>
      </c>
      <c r="AG58" s="164">
        <v>783.3</v>
      </c>
      <c r="AH58" s="164">
        <v>0</v>
      </c>
      <c r="AI58" s="164">
        <v>0</v>
      </c>
      <c r="AJ58" s="164">
        <v>0</v>
      </c>
      <c r="AK58" s="164">
        <v>0</v>
      </c>
      <c r="AL58" s="164">
        <v>0</v>
      </c>
      <c r="AM58" s="164">
        <f t="shared" si="3"/>
        <v>0</v>
      </c>
      <c r="AN58" s="164">
        <v>0</v>
      </c>
      <c r="AO58" s="164">
        <v>3523.3</v>
      </c>
      <c r="AP58" s="164">
        <v>783.3</v>
      </c>
      <c r="AQ58" s="164">
        <v>0</v>
      </c>
      <c r="AR58" s="164">
        <v>0</v>
      </c>
      <c r="AS58" s="164">
        <v>0</v>
      </c>
      <c r="AT58" s="164">
        <v>0</v>
      </c>
      <c r="AU58" s="164">
        <v>0</v>
      </c>
      <c r="AV58" s="164">
        <f t="shared" si="4"/>
        <v>0</v>
      </c>
      <c r="AW58" s="164">
        <v>0</v>
      </c>
      <c r="AX58" s="164">
        <v>3523.3</v>
      </c>
      <c r="AY58" s="164">
        <v>783.3</v>
      </c>
      <c r="AZ58" s="164">
        <v>0</v>
      </c>
      <c r="BA58" s="164">
        <v>0</v>
      </c>
      <c r="BB58" s="164">
        <v>0</v>
      </c>
      <c r="BC58" s="164">
        <v>0</v>
      </c>
      <c r="BD58" s="164">
        <v>0</v>
      </c>
      <c r="BE58" s="164">
        <f t="shared" si="5"/>
        <v>0</v>
      </c>
      <c r="BF58" s="164">
        <v>0</v>
      </c>
      <c r="BG58" s="164">
        <f>VLOOKUP(C58,薪酬明细!A:AC,29,0)</f>
        <v>3523.3</v>
      </c>
      <c r="BH58" s="164">
        <v>783.3</v>
      </c>
      <c r="BI58" s="164">
        <v>0</v>
      </c>
      <c r="BJ58" s="164">
        <v>0</v>
      </c>
      <c r="BK58" s="164">
        <v>0</v>
      </c>
      <c r="BL58" s="164">
        <v>0</v>
      </c>
      <c r="BM58" s="164">
        <v>0</v>
      </c>
      <c r="BN58" s="164">
        <f t="shared" si="6"/>
        <v>0</v>
      </c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  <c r="CR58" s="164"/>
      <c r="CS58" s="164"/>
      <c r="CT58" s="164"/>
      <c r="CU58" s="164"/>
      <c r="CV58" s="164"/>
      <c r="CW58" s="164"/>
      <c r="CX58" s="164"/>
      <c r="CY58" s="164"/>
      <c r="CZ58" s="164"/>
      <c r="DA58" s="164"/>
      <c r="DB58" s="164"/>
      <c r="DC58" s="164"/>
      <c r="DD58" s="164"/>
      <c r="DE58" s="164"/>
      <c r="DF58" s="164"/>
      <c r="DG58" s="164"/>
      <c r="DH58" s="164"/>
      <c r="DI58" s="164"/>
      <c r="DJ58" s="164"/>
      <c r="DK58" s="164"/>
      <c r="DL58" s="164"/>
      <c r="DM58" s="164"/>
      <c r="DN58" s="164"/>
      <c r="DO58" s="164"/>
      <c r="DP58" s="164"/>
      <c r="DQ58" s="164"/>
      <c r="DR58" s="163"/>
      <c r="DS58" s="164">
        <f t="shared" si="7"/>
        <v>21139.8</v>
      </c>
      <c r="DT58" s="164">
        <f t="shared" si="8"/>
        <v>4699.8</v>
      </c>
      <c r="DU58" s="164">
        <f t="shared" si="9"/>
        <v>0</v>
      </c>
      <c r="DV58" s="164">
        <f t="shared" si="10"/>
        <v>0</v>
      </c>
      <c r="DW58" s="166"/>
      <c r="DX58" s="153" t="str">
        <f>VLOOKUP(C58,薪酬明细!A:A,1,0)</f>
        <v>开弈人力资源张家喜</v>
      </c>
      <c r="DY58" s="153"/>
    </row>
    <row r="59" s="149" customFormat="1" spans="1:129">
      <c r="A59" s="163" t="s">
        <v>61</v>
      </c>
      <c r="B59" s="163" t="s">
        <v>392</v>
      </c>
      <c r="C59" s="164" t="str">
        <f t="shared" si="0"/>
        <v>开弈人力资源杜宪</v>
      </c>
      <c r="D59" s="165">
        <v>46023</v>
      </c>
      <c r="E59" s="164">
        <v>1000</v>
      </c>
      <c r="F59" s="164">
        <v>0</v>
      </c>
      <c r="G59" s="164">
        <v>0</v>
      </c>
      <c r="H59" s="164">
        <v>0</v>
      </c>
      <c r="I59" s="164">
        <v>0</v>
      </c>
      <c r="J59" s="164">
        <v>0</v>
      </c>
      <c r="K59" s="164">
        <v>0</v>
      </c>
      <c r="L59" s="164">
        <f t="shared" si="1"/>
        <v>0</v>
      </c>
      <c r="M59" s="164">
        <v>40</v>
      </c>
      <c r="N59" s="164"/>
      <c r="O59" s="164"/>
      <c r="P59" s="164"/>
      <c r="Q59" s="164"/>
      <c r="R59" s="164"/>
      <c r="S59" s="164"/>
      <c r="T59" s="164"/>
      <c r="U59" s="164"/>
      <c r="V59" s="164"/>
      <c r="W59" s="164">
        <v>1000</v>
      </c>
      <c r="X59" s="164">
        <v>0</v>
      </c>
      <c r="Y59" s="164">
        <v>0</v>
      </c>
      <c r="Z59" s="164">
        <v>0</v>
      </c>
      <c r="AA59" s="164">
        <v>0</v>
      </c>
      <c r="AB59" s="164">
        <v>0</v>
      </c>
      <c r="AC59" s="164">
        <v>0</v>
      </c>
      <c r="AD59" s="164">
        <f t="shared" si="2"/>
        <v>0</v>
      </c>
      <c r="AE59" s="164">
        <v>40</v>
      </c>
      <c r="AF59" s="164">
        <v>1000</v>
      </c>
      <c r="AG59" s="164">
        <v>0</v>
      </c>
      <c r="AH59" s="164">
        <v>0</v>
      </c>
      <c r="AI59" s="164">
        <v>0</v>
      </c>
      <c r="AJ59" s="164">
        <v>0</v>
      </c>
      <c r="AK59" s="164">
        <v>0</v>
      </c>
      <c r="AL59" s="164">
        <v>0</v>
      </c>
      <c r="AM59" s="164">
        <f t="shared" si="3"/>
        <v>0</v>
      </c>
      <c r="AN59" s="164">
        <v>40</v>
      </c>
      <c r="AO59" s="164">
        <v>1000</v>
      </c>
      <c r="AP59" s="164">
        <v>0</v>
      </c>
      <c r="AQ59" s="164">
        <v>0</v>
      </c>
      <c r="AR59" s="164">
        <v>0</v>
      </c>
      <c r="AS59" s="164">
        <v>0</v>
      </c>
      <c r="AT59" s="164">
        <v>0</v>
      </c>
      <c r="AU59" s="164">
        <v>0</v>
      </c>
      <c r="AV59" s="164">
        <f t="shared" si="4"/>
        <v>0</v>
      </c>
      <c r="AW59" s="164">
        <v>40</v>
      </c>
      <c r="AX59" s="164">
        <v>1000</v>
      </c>
      <c r="AY59" s="164">
        <v>0</v>
      </c>
      <c r="AZ59" s="164">
        <v>0</v>
      </c>
      <c r="BA59" s="164">
        <v>0</v>
      </c>
      <c r="BB59" s="164">
        <v>0</v>
      </c>
      <c r="BC59" s="164">
        <v>0</v>
      </c>
      <c r="BD59" s="164">
        <v>0</v>
      </c>
      <c r="BE59" s="164">
        <f t="shared" si="5"/>
        <v>0</v>
      </c>
      <c r="BF59" s="164">
        <v>40</v>
      </c>
      <c r="BG59" s="164">
        <f>VLOOKUP(C59,薪酬明细!A:AC,29,0)</f>
        <v>1000</v>
      </c>
      <c r="BH59" s="164">
        <v>0</v>
      </c>
      <c r="BI59" s="164">
        <v>0</v>
      </c>
      <c r="BJ59" s="164">
        <v>0</v>
      </c>
      <c r="BK59" s="164">
        <v>0</v>
      </c>
      <c r="BL59" s="164">
        <v>0</v>
      </c>
      <c r="BM59" s="164">
        <v>0</v>
      </c>
      <c r="BN59" s="164">
        <f t="shared" si="6"/>
        <v>0</v>
      </c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164"/>
      <c r="DC59" s="164"/>
      <c r="DD59" s="164"/>
      <c r="DE59" s="164"/>
      <c r="DF59" s="164"/>
      <c r="DG59" s="164"/>
      <c r="DH59" s="164"/>
      <c r="DI59" s="164"/>
      <c r="DJ59" s="164"/>
      <c r="DK59" s="164"/>
      <c r="DL59" s="164"/>
      <c r="DM59" s="164"/>
      <c r="DN59" s="164"/>
      <c r="DO59" s="164"/>
      <c r="DP59" s="164"/>
      <c r="DQ59" s="164"/>
      <c r="DR59" s="163"/>
      <c r="DS59" s="164">
        <f t="shared" si="7"/>
        <v>6000</v>
      </c>
      <c r="DT59" s="164">
        <f t="shared" si="8"/>
        <v>0</v>
      </c>
      <c r="DU59" s="164">
        <f t="shared" si="9"/>
        <v>0</v>
      </c>
      <c r="DV59" s="164">
        <f t="shared" si="10"/>
        <v>200</v>
      </c>
      <c r="DW59" s="166"/>
      <c r="DX59" s="153" t="str">
        <f>VLOOKUP(C59,薪酬明细!A:A,1,0)</f>
        <v>开弈人力资源杜宪</v>
      </c>
      <c r="DY59" s="153"/>
    </row>
    <row r="60" s="149" customFormat="1" spans="1:129">
      <c r="A60" s="163" t="s">
        <v>69</v>
      </c>
      <c r="B60" s="163" t="s">
        <v>433</v>
      </c>
      <c r="C60" s="164" t="str">
        <f t="shared" si="0"/>
        <v>深圳和弈王雷</v>
      </c>
      <c r="D60" s="165">
        <v>46023</v>
      </c>
      <c r="E60" s="164">
        <v>5634.85</v>
      </c>
      <c r="F60" s="164">
        <v>796.52</v>
      </c>
      <c r="G60" s="164">
        <v>0</v>
      </c>
      <c r="H60" s="164">
        <v>0</v>
      </c>
      <c r="I60" s="164">
        <v>0</v>
      </c>
      <c r="J60" s="164">
        <v>0</v>
      </c>
      <c r="K60" s="164">
        <v>0</v>
      </c>
      <c r="L60" s="164">
        <f t="shared" si="1"/>
        <v>0</v>
      </c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>
        <v>5190.97</v>
      </c>
      <c r="X60" s="164">
        <v>796.52</v>
      </c>
      <c r="Y60" s="164">
        <v>0</v>
      </c>
      <c r="Z60" s="164">
        <v>0</v>
      </c>
      <c r="AA60" s="164">
        <v>0</v>
      </c>
      <c r="AB60" s="164">
        <v>0</v>
      </c>
      <c r="AC60" s="164">
        <v>0</v>
      </c>
      <c r="AD60" s="164">
        <f t="shared" si="2"/>
        <v>0</v>
      </c>
      <c r="AE60" s="164"/>
      <c r="AF60" s="164">
        <v>5634.85</v>
      </c>
      <c r="AG60" s="164">
        <v>796.52</v>
      </c>
      <c r="AH60" s="164">
        <v>0</v>
      </c>
      <c r="AI60" s="164">
        <v>0</v>
      </c>
      <c r="AJ60" s="164">
        <v>0</v>
      </c>
      <c r="AK60" s="164">
        <v>0</v>
      </c>
      <c r="AL60" s="164">
        <v>0</v>
      </c>
      <c r="AM60" s="164">
        <f t="shared" si="3"/>
        <v>0</v>
      </c>
      <c r="AN60" s="164">
        <v>0</v>
      </c>
      <c r="AO60" s="164">
        <v>5667.4</v>
      </c>
      <c r="AP60" s="164">
        <v>796.52</v>
      </c>
      <c r="AQ60" s="164">
        <v>0</v>
      </c>
      <c r="AR60" s="164">
        <v>0</v>
      </c>
      <c r="AS60" s="164">
        <v>0</v>
      </c>
      <c r="AT60" s="164">
        <v>0</v>
      </c>
      <c r="AU60" s="164">
        <v>0</v>
      </c>
      <c r="AV60" s="164">
        <f t="shared" si="4"/>
        <v>0</v>
      </c>
      <c r="AW60" s="164">
        <v>0</v>
      </c>
      <c r="AX60" s="164">
        <v>5667.4</v>
      </c>
      <c r="AY60" s="164">
        <v>796.52</v>
      </c>
      <c r="AZ60" s="164">
        <v>0</v>
      </c>
      <c r="BA60" s="164">
        <v>0</v>
      </c>
      <c r="BB60" s="164">
        <v>0</v>
      </c>
      <c r="BC60" s="164">
        <v>0</v>
      </c>
      <c r="BD60" s="164">
        <v>0</v>
      </c>
      <c r="BE60" s="164">
        <f t="shared" si="5"/>
        <v>0</v>
      </c>
      <c r="BF60" s="164">
        <v>0</v>
      </c>
      <c r="BG60" s="164">
        <f>VLOOKUP(C60,薪酬明细!A:AC,29,0)</f>
        <v>5667.4</v>
      </c>
      <c r="BH60" s="164">
        <v>794.54</v>
      </c>
      <c r="BI60" s="164">
        <v>0</v>
      </c>
      <c r="BJ60" s="164">
        <v>0</v>
      </c>
      <c r="BK60" s="164">
        <v>0</v>
      </c>
      <c r="BL60" s="164">
        <v>0</v>
      </c>
      <c r="BM60" s="164">
        <v>0</v>
      </c>
      <c r="BN60" s="164">
        <f t="shared" si="6"/>
        <v>0</v>
      </c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164"/>
      <c r="DC60" s="164"/>
      <c r="DD60" s="164"/>
      <c r="DE60" s="164"/>
      <c r="DF60" s="164"/>
      <c r="DG60" s="164"/>
      <c r="DH60" s="164"/>
      <c r="DI60" s="164"/>
      <c r="DJ60" s="164"/>
      <c r="DK60" s="164"/>
      <c r="DL60" s="164"/>
      <c r="DM60" s="164"/>
      <c r="DN60" s="164"/>
      <c r="DO60" s="164"/>
      <c r="DP60" s="164"/>
      <c r="DQ60" s="164"/>
      <c r="DR60" s="163"/>
      <c r="DS60" s="164">
        <f t="shared" si="7"/>
        <v>33462.87</v>
      </c>
      <c r="DT60" s="164">
        <f t="shared" si="8"/>
        <v>4777.14</v>
      </c>
      <c r="DU60" s="164">
        <f t="shared" si="9"/>
        <v>0</v>
      </c>
      <c r="DV60" s="164">
        <f t="shared" si="10"/>
        <v>0</v>
      </c>
      <c r="DW60" s="166"/>
      <c r="DX60" s="153" t="str">
        <f>VLOOKUP(C60,薪酬明细!A:A,1,0)</f>
        <v>深圳和弈王雷</v>
      </c>
      <c r="DY60" s="153"/>
    </row>
    <row r="61" s="149" customFormat="1" spans="1:129">
      <c r="A61" s="163" t="s">
        <v>69</v>
      </c>
      <c r="B61" s="163" t="s">
        <v>270</v>
      </c>
      <c r="C61" s="164" t="str">
        <f t="shared" si="0"/>
        <v>深圳和弈王倩</v>
      </c>
      <c r="D61" s="165">
        <v>46023</v>
      </c>
      <c r="E61" s="164">
        <v>1000</v>
      </c>
      <c r="F61" s="164">
        <v>0</v>
      </c>
      <c r="G61" s="164">
        <v>0</v>
      </c>
      <c r="H61" s="164">
        <v>0</v>
      </c>
      <c r="I61" s="164">
        <v>0</v>
      </c>
      <c r="J61" s="164">
        <v>0</v>
      </c>
      <c r="K61" s="164">
        <v>0</v>
      </c>
      <c r="L61" s="164">
        <f t="shared" si="1"/>
        <v>0</v>
      </c>
      <c r="M61" s="164">
        <v>40</v>
      </c>
      <c r="N61" s="164"/>
      <c r="O61" s="164"/>
      <c r="P61" s="164"/>
      <c r="Q61" s="164"/>
      <c r="R61" s="164"/>
      <c r="S61" s="164"/>
      <c r="T61" s="164"/>
      <c r="U61" s="164"/>
      <c r="V61" s="164"/>
      <c r="W61" s="164">
        <v>1000</v>
      </c>
      <c r="X61" s="164">
        <v>0</v>
      </c>
      <c r="Y61" s="164">
        <v>0</v>
      </c>
      <c r="Z61" s="164">
        <v>0</v>
      </c>
      <c r="AA61" s="164">
        <v>0</v>
      </c>
      <c r="AB61" s="164">
        <v>0</v>
      </c>
      <c r="AC61" s="164">
        <v>0</v>
      </c>
      <c r="AD61" s="164">
        <f t="shared" si="2"/>
        <v>0</v>
      </c>
      <c r="AE61" s="164">
        <v>40</v>
      </c>
      <c r="AF61" s="164">
        <v>1000</v>
      </c>
      <c r="AG61" s="164">
        <v>0</v>
      </c>
      <c r="AH61" s="164">
        <v>0</v>
      </c>
      <c r="AI61" s="164">
        <v>0</v>
      </c>
      <c r="AJ61" s="164">
        <v>0</v>
      </c>
      <c r="AK61" s="164">
        <v>0</v>
      </c>
      <c r="AL61" s="164">
        <v>0</v>
      </c>
      <c r="AM61" s="164">
        <f t="shared" si="3"/>
        <v>0</v>
      </c>
      <c r="AN61" s="164">
        <v>40</v>
      </c>
      <c r="AO61" s="164">
        <v>1000</v>
      </c>
      <c r="AP61" s="164">
        <v>0</v>
      </c>
      <c r="AQ61" s="164">
        <v>0</v>
      </c>
      <c r="AR61" s="164">
        <v>0</v>
      </c>
      <c r="AS61" s="164">
        <v>0</v>
      </c>
      <c r="AT61" s="164">
        <v>0</v>
      </c>
      <c r="AU61" s="164">
        <v>0</v>
      </c>
      <c r="AV61" s="164">
        <f t="shared" si="4"/>
        <v>0</v>
      </c>
      <c r="AW61" s="164">
        <v>40</v>
      </c>
      <c r="AX61" s="164">
        <v>1000</v>
      </c>
      <c r="AY61" s="164">
        <v>0</v>
      </c>
      <c r="AZ61" s="164">
        <v>0</v>
      </c>
      <c r="BA61" s="164">
        <v>0</v>
      </c>
      <c r="BB61" s="164">
        <v>0</v>
      </c>
      <c r="BC61" s="164">
        <v>0</v>
      </c>
      <c r="BD61" s="164">
        <v>0</v>
      </c>
      <c r="BE61" s="164">
        <f t="shared" si="5"/>
        <v>0</v>
      </c>
      <c r="BF61" s="164">
        <v>40</v>
      </c>
      <c r="BG61" s="164">
        <f>VLOOKUP(C61,薪酬明细!A:AC,29,0)</f>
        <v>1000</v>
      </c>
      <c r="BH61" s="164">
        <v>0</v>
      </c>
      <c r="BI61" s="164">
        <v>0</v>
      </c>
      <c r="BJ61" s="164">
        <v>0</v>
      </c>
      <c r="BK61" s="164">
        <v>0</v>
      </c>
      <c r="BL61" s="164">
        <v>0</v>
      </c>
      <c r="BM61" s="164">
        <v>0</v>
      </c>
      <c r="BN61" s="164">
        <f t="shared" si="6"/>
        <v>0</v>
      </c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164"/>
      <c r="DC61" s="164"/>
      <c r="DD61" s="164"/>
      <c r="DE61" s="164"/>
      <c r="DF61" s="164"/>
      <c r="DG61" s="164"/>
      <c r="DH61" s="164"/>
      <c r="DI61" s="164"/>
      <c r="DJ61" s="164"/>
      <c r="DK61" s="164"/>
      <c r="DL61" s="164"/>
      <c r="DM61" s="164"/>
      <c r="DN61" s="164"/>
      <c r="DO61" s="164"/>
      <c r="DP61" s="164"/>
      <c r="DQ61" s="164"/>
      <c r="DR61" s="163"/>
      <c r="DS61" s="164">
        <f t="shared" si="7"/>
        <v>6000</v>
      </c>
      <c r="DT61" s="164">
        <f t="shared" si="8"/>
        <v>0</v>
      </c>
      <c r="DU61" s="164">
        <f t="shared" si="9"/>
        <v>0</v>
      </c>
      <c r="DV61" s="164">
        <f t="shared" si="10"/>
        <v>200</v>
      </c>
      <c r="DW61" s="166"/>
      <c r="DX61" s="153" t="str">
        <f>VLOOKUP(C61,薪酬明细!A:A,1,0)</f>
        <v>深圳和弈王倩</v>
      </c>
      <c r="DY61" s="153"/>
    </row>
    <row r="62" s="149" customFormat="1" spans="1:129">
      <c r="A62" s="163" t="s">
        <v>78</v>
      </c>
      <c r="B62" s="163" t="s">
        <v>440</v>
      </c>
      <c r="C62" s="164" t="str">
        <f t="shared" si="0"/>
        <v>时代人才蒋孝峰</v>
      </c>
      <c r="D62" s="165">
        <v>46023</v>
      </c>
      <c r="E62" s="164">
        <v>11674.85</v>
      </c>
      <c r="F62" s="164">
        <v>1119.3</v>
      </c>
      <c r="G62" s="164">
        <v>2000</v>
      </c>
      <c r="H62" s="164">
        <v>0</v>
      </c>
      <c r="I62" s="164">
        <v>0</v>
      </c>
      <c r="J62" s="164">
        <v>1500</v>
      </c>
      <c r="K62" s="164">
        <v>0</v>
      </c>
      <c r="L62" s="164">
        <f t="shared" si="1"/>
        <v>3500</v>
      </c>
      <c r="M62" s="164">
        <v>61.67</v>
      </c>
      <c r="N62" s="164"/>
      <c r="O62" s="164"/>
      <c r="P62" s="164"/>
      <c r="Q62" s="164"/>
      <c r="R62" s="164"/>
      <c r="S62" s="164"/>
      <c r="T62" s="164"/>
      <c r="U62" s="164"/>
      <c r="V62" s="164"/>
      <c r="W62" s="164">
        <v>11674.85</v>
      </c>
      <c r="X62" s="164">
        <v>1119.3</v>
      </c>
      <c r="Y62" s="164">
        <v>2000</v>
      </c>
      <c r="Z62" s="164">
        <v>0</v>
      </c>
      <c r="AA62" s="164">
        <v>0</v>
      </c>
      <c r="AB62" s="164">
        <v>1500</v>
      </c>
      <c r="AC62" s="164">
        <v>0</v>
      </c>
      <c r="AD62" s="164">
        <f t="shared" si="2"/>
        <v>3500</v>
      </c>
      <c r="AE62" s="164">
        <v>61.66</v>
      </c>
      <c r="AF62" s="164">
        <v>11674.85</v>
      </c>
      <c r="AG62" s="164">
        <v>1119.3</v>
      </c>
      <c r="AH62" s="164">
        <v>2000</v>
      </c>
      <c r="AI62" s="164">
        <v>0</v>
      </c>
      <c r="AJ62" s="164">
        <v>0</v>
      </c>
      <c r="AK62" s="164">
        <v>1500</v>
      </c>
      <c r="AL62" s="164">
        <v>0</v>
      </c>
      <c r="AM62" s="164">
        <f t="shared" si="3"/>
        <v>3500</v>
      </c>
      <c r="AN62" s="164">
        <v>61.67</v>
      </c>
      <c r="AO62" s="164">
        <v>11685.8</v>
      </c>
      <c r="AP62" s="164">
        <v>1119.3</v>
      </c>
      <c r="AQ62" s="164">
        <v>2000</v>
      </c>
      <c r="AR62" s="164">
        <v>0</v>
      </c>
      <c r="AS62" s="164">
        <v>0</v>
      </c>
      <c r="AT62" s="164">
        <v>1500</v>
      </c>
      <c r="AU62" s="164">
        <v>0</v>
      </c>
      <c r="AV62" s="164">
        <f t="shared" si="4"/>
        <v>3500</v>
      </c>
      <c r="AW62" s="164">
        <v>61.99</v>
      </c>
      <c r="AX62" s="164">
        <v>11685.8</v>
      </c>
      <c r="AY62" s="164">
        <v>1119.3</v>
      </c>
      <c r="AZ62" s="164">
        <v>2000</v>
      </c>
      <c r="BA62" s="164">
        <v>0</v>
      </c>
      <c r="BB62" s="164">
        <v>0</v>
      </c>
      <c r="BC62" s="164">
        <v>1500</v>
      </c>
      <c r="BD62" s="164">
        <v>0</v>
      </c>
      <c r="BE62" s="164">
        <f t="shared" si="5"/>
        <v>3500</v>
      </c>
      <c r="BF62" s="164">
        <v>62</v>
      </c>
      <c r="BG62" s="164">
        <f>VLOOKUP(C62,薪酬明细!A:AC,29,0)</f>
        <v>11685.8</v>
      </c>
      <c r="BH62" s="164">
        <v>1119.3</v>
      </c>
      <c r="BI62" s="164">
        <v>2000</v>
      </c>
      <c r="BJ62" s="164">
        <v>0</v>
      </c>
      <c r="BK62" s="164">
        <v>0</v>
      </c>
      <c r="BL62" s="164">
        <v>1500</v>
      </c>
      <c r="BM62" s="164">
        <v>0</v>
      </c>
      <c r="BN62" s="164">
        <f t="shared" si="6"/>
        <v>3500</v>
      </c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  <c r="DQ62" s="164"/>
      <c r="DR62" s="163"/>
      <c r="DS62" s="164">
        <f t="shared" si="7"/>
        <v>70081.95</v>
      </c>
      <c r="DT62" s="164">
        <f t="shared" si="8"/>
        <v>6715.8</v>
      </c>
      <c r="DU62" s="164">
        <f t="shared" si="9"/>
        <v>21000</v>
      </c>
      <c r="DV62" s="164">
        <f t="shared" si="10"/>
        <v>308.99</v>
      </c>
      <c r="DW62" s="166"/>
      <c r="DX62" s="153" t="str">
        <f>VLOOKUP(C62,薪酬明细!A:A,1,0)</f>
        <v>时代人才蒋孝峰</v>
      </c>
      <c r="DY62" s="153"/>
    </row>
    <row r="63" s="149" customFormat="1" spans="1:129">
      <c r="A63" s="163" t="s">
        <v>72</v>
      </c>
      <c r="B63" s="163" t="s">
        <v>438</v>
      </c>
      <c r="C63" s="164" t="str">
        <f t="shared" si="0"/>
        <v>弈工分信息安东生</v>
      </c>
      <c r="D63" s="165">
        <v>46023</v>
      </c>
      <c r="E63" s="164">
        <v>9644.85</v>
      </c>
      <c r="F63" s="164">
        <v>1063.3</v>
      </c>
      <c r="G63" s="164">
        <v>0</v>
      </c>
      <c r="H63" s="164">
        <v>0</v>
      </c>
      <c r="I63" s="164">
        <v>0</v>
      </c>
      <c r="J63" s="164">
        <v>0</v>
      </c>
      <c r="K63" s="164">
        <v>0</v>
      </c>
      <c r="L63" s="164">
        <f t="shared" si="1"/>
        <v>0</v>
      </c>
      <c r="M63" s="164">
        <v>107.45</v>
      </c>
      <c r="N63" s="164"/>
      <c r="O63" s="164"/>
      <c r="P63" s="164"/>
      <c r="Q63" s="164"/>
      <c r="R63" s="164"/>
      <c r="S63" s="164"/>
      <c r="T63" s="164"/>
      <c r="U63" s="164"/>
      <c r="V63" s="164"/>
      <c r="W63" s="164">
        <v>7585.36</v>
      </c>
      <c r="X63" s="164">
        <v>1063.3</v>
      </c>
      <c r="Y63" s="164">
        <v>0</v>
      </c>
      <c r="Z63" s="164">
        <v>0</v>
      </c>
      <c r="AA63" s="164">
        <v>0</v>
      </c>
      <c r="AB63" s="164">
        <v>0</v>
      </c>
      <c r="AC63" s="164">
        <v>0</v>
      </c>
      <c r="AD63" s="164">
        <f t="shared" si="2"/>
        <v>0</v>
      </c>
      <c r="AE63" s="164">
        <v>45.66</v>
      </c>
      <c r="AF63" s="164">
        <v>15330.18</v>
      </c>
      <c r="AG63" s="164">
        <v>1063.3</v>
      </c>
      <c r="AH63" s="164">
        <v>0</v>
      </c>
      <c r="AI63" s="164">
        <v>0</v>
      </c>
      <c r="AJ63" s="164">
        <v>0</v>
      </c>
      <c r="AK63" s="164">
        <v>0</v>
      </c>
      <c r="AL63" s="164">
        <v>0</v>
      </c>
      <c r="AM63" s="164">
        <f t="shared" si="3"/>
        <v>0</v>
      </c>
      <c r="AN63" s="164">
        <v>278</v>
      </c>
      <c r="AO63" s="164">
        <v>10897.78</v>
      </c>
      <c r="AP63" s="164">
        <v>1063.3</v>
      </c>
      <c r="AQ63" s="164">
        <v>0</v>
      </c>
      <c r="AR63" s="164">
        <v>0</v>
      </c>
      <c r="AS63" s="164">
        <v>0</v>
      </c>
      <c r="AT63" s="164">
        <v>0</v>
      </c>
      <c r="AU63" s="164">
        <v>0</v>
      </c>
      <c r="AV63" s="164">
        <f t="shared" si="4"/>
        <v>0</v>
      </c>
      <c r="AW63" s="164">
        <v>145.04</v>
      </c>
      <c r="AX63" s="164">
        <v>12489</v>
      </c>
      <c r="AY63" s="164">
        <v>1063.3</v>
      </c>
      <c r="AZ63" s="164">
        <v>0</v>
      </c>
      <c r="BA63" s="164">
        <v>0</v>
      </c>
      <c r="BB63" s="164">
        <v>0</v>
      </c>
      <c r="BC63" s="164">
        <v>0</v>
      </c>
      <c r="BD63" s="164">
        <v>0</v>
      </c>
      <c r="BE63" s="164">
        <f t="shared" si="5"/>
        <v>0</v>
      </c>
      <c r="BF63" s="164">
        <v>192.77</v>
      </c>
      <c r="BG63" s="164">
        <f>VLOOKUP(C63,薪酬明细!A:AC,29,0)</f>
        <v>11846.47</v>
      </c>
      <c r="BH63" s="164">
        <v>1063.3</v>
      </c>
      <c r="BI63" s="164">
        <v>0</v>
      </c>
      <c r="BJ63" s="164">
        <v>0</v>
      </c>
      <c r="BK63" s="164">
        <v>0</v>
      </c>
      <c r="BL63" s="164">
        <v>0</v>
      </c>
      <c r="BM63" s="164">
        <v>0</v>
      </c>
      <c r="BN63" s="164">
        <f t="shared" si="6"/>
        <v>0</v>
      </c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164"/>
      <c r="DC63" s="164"/>
      <c r="DD63" s="164"/>
      <c r="DE63" s="164"/>
      <c r="DF63" s="164"/>
      <c r="DG63" s="164"/>
      <c r="DH63" s="164"/>
      <c r="DI63" s="164"/>
      <c r="DJ63" s="164"/>
      <c r="DK63" s="164"/>
      <c r="DL63" s="164"/>
      <c r="DM63" s="164"/>
      <c r="DN63" s="164"/>
      <c r="DO63" s="164"/>
      <c r="DP63" s="164"/>
      <c r="DQ63" s="164"/>
      <c r="DR63" s="163"/>
      <c r="DS63" s="164">
        <f t="shared" si="7"/>
        <v>67793.64</v>
      </c>
      <c r="DT63" s="164">
        <f t="shared" si="8"/>
        <v>6379.8</v>
      </c>
      <c r="DU63" s="164">
        <f t="shared" si="9"/>
        <v>0</v>
      </c>
      <c r="DV63" s="164">
        <f t="shared" si="10"/>
        <v>768.92</v>
      </c>
      <c r="DW63" s="166"/>
      <c r="DX63" s="153" t="str">
        <f>VLOOKUP(C63,薪酬明细!A:A,1,0)</f>
        <v>弈工分信息安东生</v>
      </c>
      <c r="DY63" s="153"/>
    </row>
    <row r="64" s="149" customFormat="1" spans="1:129">
      <c r="A64" s="163" t="s">
        <v>78</v>
      </c>
      <c r="B64" s="163" t="s">
        <v>441</v>
      </c>
      <c r="C64" s="164" t="str">
        <f t="shared" si="0"/>
        <v>时代人才常虹</v>
      </c>
      <c r="D64" s="165">
        <v>46023</v>
      </c>
      <c r="E64" s="164">
        <v>20463.92</v>
      </c>
      <c r="F64" s="164">
        <v>0</v>
      </c>
      <c r="G64" s="164">
        <v>0</v>
      </c>
      <c r="H64" s="164">
        <v>0</v>
      </c>
      <c r="I64" s="164">
        <v>0</v>
      </c>
      <c r="J64" s="164">
        <v>0</v>
      </c>
      <c r="K64" s="164">
        <v>0</v>
      </c>
      <c r="L64" s="164">
        <f t="shared" si="1"/>
        <v>0</v>
      </c>
      <c r="M64" s="164">
        <v>463.92</v>
      </c>
      <c r="N64" s="164"/>
      <c r="O64" s="164"/>
      <c r="P64" s="164"/>
      <c r="Q64" s="164"/>
      <c r="R64" s="164"/>
      <c r="S64" s="164"/>
      <c r="T64" s="164"/>
      <c r="U64" s="164"/>
      <c r="V64" s="164"/>
      <c r="W64" s="164">
        <v>20463.92</v>
      </c>
      <c r="X64" s="164">
        <v>0</v>
      </c>
      <c r="Y64" s="164">
        <v>0</v>
      </c>
      <c r="Z64" s="164">
        <v>0</v>
      </c>
      <c r="AA64" s="164">
        <v>0</v>
      </c>
      <c r="AB64" s="164">
        <v>0</v>
      </c>
      <c r="AC64" s="164">
        <v>0</v>
      </c>
      <c r="AD64" s="164">
        <f t="shared" si="2"/>
        <v>0</v>
      </c>
      <c r="AE64" s="164">
        <v>463.92</v>
      </c>
      <c r="AF64" s="164">
        <v>21272.16</v>
      </c>
      <c r="AG64" s="164">
        <v>0</v>
      </c>
      <c r="AH64" s="164">
        <v>0</v>
      </c>
      <c r="AI64" s="164">
        <v>0</v>
      </c>
      <c r="AJ64" s="164">
        <v>0</v>
      </c>
      <c r="AK64" s="164">
        <v>0</v>
      </c>
      <c r="AL64" s="164">
        <v>0</v>
      </c>
      <c r="AM64" s="164">
        <f t="shared" si="3"/>
        <v>0</v>
      </c>
      <c r="AN64" s="164">
        <v>1272.16</v>
      </c>
      <c r="AO64" s="164">
        <v>21666.67</v>
      </c>
      <c r="AP64" s="164">
        <v>0</v>
      </c>
      <c r="AQ64" s="164">
        <v>0</v>
      </c>
      <c r="AR64" s="164">
        <v>0</v>
      </c>
      <c r="AS64" s="164">
        <v>0</v>
      </c>
      <c r="AT64" s="164">
        <v>0</v>
      </c>
      <c r="AU64" s="164">
        <v>0</v>
      </c>
      <c r="AV64" s="164">
        <f t="shared" si="4"/>
        <v>0</v>
      </c>
      <c r="AW64" s="164">
        <v>1666.67</v>
      </c>
      <c r="AX64" s="164">
        <v>21666.66</v>
      </c>
      <c r="AY64" s="164">
        <v>0</v>
      </c>
      <c r="AZ64" s="164">
        <v>0</v>
      </c>
      <c r="BA64" s="164">
        <v>0</v>
      </c>
      <c r="BB64" s="164">
        <v>0</v>
      </c>
      <c r="BC64" s="164">
        <v>0</v>
      </c>
      <c r="BD64" s="164">
        <v>0</v>
      </c>
      <c r="BE64" s="164">
        <f t="shared" si="5"/>
        <v>0</v>
      </c>
      <c r="BF64" s="164">
        <v>1666.66</v>
      </c>
      <c r="BG64" s="164">
        <f>VLOOKUP(C64,薪酬明细!A:AC,29,0)</f>
        <v>21666.67</v>
      </c>
      <c r="BH64" s="164">
        <v>0</v>
      </c>
      <c r="BI64" s="164">
        <v>0</v>
      </c>
      <c r="BJ64" s="164">
        <v>0</v>
      </c>
      <c r="BK64" s="164">
        <v>0</v>
      </c>
      <c r="BL64" s="164">
        <v>0</v>
      </c>
      <c r="BM64" s="164">
        <v>0</v>
      </c>
      <c r="BN64" s="164">
        <f t="shared" si="6"/>
        <v>0</v>
      </c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  <c r="CR64" s="164"/>
      <c r="CS64" s="164"/>
      <c r="CT64" s="164"/>
      <c r="CU64" s="164"/>
      <c r="CV64" s="164"/>
      <c r="CW64" s="164"/>
      <c r="CX64" s="164"/>
      <c r="CY64" s="164"/>
      <c r="CZ64" s="164"/>
      <c r="DA64" s="164"/>
      <c r="DB64" s="164"/>
      <c r="DC64" s="164"/>
      <c r="DD64" s="164"/>
      <c r="DE64" s="164"/>
      <c r="DF64" s="164"/>
      <c r="DG64" s="164"/>
      <c r="DH64" s="164"/>
      <c r="DI64" s="164"/>
      <c r="DJ64" s="164"/>
      <c r="DK64" s="164"/>
      <c r="DL64" s="164"/>
      <c r="DM64" s="164"/>
      <c r="DN64" s="164"/>
      <c r="DO64" s="164"/>
      <c r="DP64" s="164"/>
      <c r="DQ64" s="164"/>
      <c r="DR64" s="163"/>
      <c r="DS64" s="164">
        <f t="shared" si="7"/>
        <v>127200</v>
      </c>
      <c r="DT64" s="164">
        <f t="shared" si="8"/>
        <v>0</v>
      </c>
      <c r="DU64" s="164">
        <f t="shared" si="9"/>
        <v>0</v>
      </c>
      <c r="DV64" s="164">
        <f t="shared" si="10"/>
        <v>5533.33</v>
      </c>
      <c r="DW64" s="166"/>
      <c r="DX64" s="153" t="str">
        <f>VLOOKUP(C64,薪酬明细!A:A,1,0)</f>
        <v>时代人才常虹</v>
      </c>
      <c r="DY64" s="153"/>
    </row>
    <row r="65" s="149" customFormat="1" spans="1:129">
      <c r="A65" s="163" t="s">
        <v>67</v>
      </c>
      <c r="B65" s="163" t="s">
        <v>446</v>
      </c>
      <c r="C65" s="164" t="str">
        <f t="shared" si="0"/>
        <v>天津英才郭双红</v>
      </c>
      <c r="D65" s="165">
        <v>46023</v>
      </c>
      <c r="E65" s="164">
        <v>11188.85</v>
      </c>
      <c r="F65" s="164">
        <v>0</v>
      </c>
      <c r="G65" s="164">
        <v>0</v>
      </c>
      <c r="H65" s="164">
        <v>0</v>
      </c>
      <c r="I65" s="164">
        <v>0</v>
      </c>
      <c r="J65" s="164">
        <v>0</v>
      </c>
      <c r="K65" s="164">
        <v>0</v>
      </c>
      <c r="L65" s="164">
        <f t="shared" si="1"/>
        <v>0</v>
      </c>
      <c r="M65" s="164">
        <v>185.67</v>
      </c>
      <c r="N65" s="164"/>
      <c r="O65" s="164"/>
      <c r="P65" s="164"/>
      <c r="Q65" s="164"/>
      <c r="R65" s="164"/>
      <c r="S65" s="164"/>
      <c r="T65" s="164"/>
      <c r="U65" s="164"/>
      <c r="V65" s="164"/>
      <c r="W65" s="164">
        <v>10354.85</v>
      </c>
      <c r="X65" s="164">
        <v>0</v>
      </c>
      <c r="Y65" s="164">
        <v>0</v>
      </c>
      <c r="Z65" s="164">
        <v>0</v>
      </c>
      <c r="AA65" s="164">
        <v>0</v>
      </c>
      <c r="AB65" s="164">
        <v>0</v>
      </c>
      <c r="AC65" s="164">
        <v>0</v>
      </c>
      <c r="AD65" s="164">
        <f t="shared" si="2"/>
        <v>0</v>
      </c>
      <c r="AE65" s="164">
        <v>160.64</v>
      </c>
      <c r="AF65" s="164">
        <v>11176.85</v>
      </c>
      <c r="AG65" s="164">
        <v>0</v>
      </c>
      <c r="AH65" s="164">
        <v>0</v>
      </c>
      <c r="AI65" s="164">
        <v>0</v>
      </c>
      <c r="AJ65" s="164">
        <v>0</v>
      </c>
      <c r="AK65" s="164">
        <v>0</v>
      </c>
      <c r="AL65" s="164">
        <v>0</v>
      </c>
      <c r="AM65" s="164">
        <f t="shared" si="3"/>
        <v>0</v>
      </c>
      <c r="AN65" s="164">
        <v>185.31</v>
      </c>
      <c r="AO65" s="164">
        <v>11187.8</v>
      </c>
      <c r="AP65" s="164">
        <v>0</v>
      </c>
      <c r="AQ65" s="164">
        <v>0</v>
      </c>
      <c r="AR65" s="164">
        <v>0</v>
      </c>
      <c r="AS65" s="164">
        <v>0</v>
      </c>
      <c r="AT65" s="164">
        <v>0</v>
      </c>
      <c r="AU65" s="164">
        <v>0</v>
      </c>
      <c r="AV65" s="164">
        <f t="shared" si="4"/>
        <v>0</v>
      </c>
      <c r="AW65" s="164">
        <v>185.63</v>
      </c>
      <c r="AX65" s="164">
        <v>11187.8</v>
      </c>
      <c r="AY65" s="164">
        <v>0</v>
      </c>
      <c r="AZ65" s="164">
        <v>0</v>
      </c>
      <c r="BA65" s="164">
        <v>0</v>
      </c>
      <c r="BB65" s="164">
        <v>0</v>
      </c>
      <c r="BC65" s="164">
        <v>0</v>
      </c>
      <c r="BD65" s="164">
        <v>0</v>
      </c>
      <c r="BE65" s="164">
        <f t="shared" si="5"/>
        <v>0</v>
      </c>
      <c r="BF65" s="164">
        <v>185.63</v>
      </c>
      <c r="BG65" s="164">
        <f>VLOOKUP(C65,薪酬明细!A:AC,29,0)</f>
        <v>10706.5</v>
      </c>
      <c r="BH65" s="164">
        <v>0</v>
      </c>
      <c r="BI65" s="164">
        <v>0</v>
      </c>
      <c r="BJ65" s="164">
        <v>0</v>
      </c>
      <c r="BK65" s="164">
        <v>0</v>
      </c>
      <c r="BL65" s="164">
        <v>0</v>
      </c>
      <c r="BM65" s="164">
        <v>0</v>
      </c>
      <c r="BN65" s="164">
        <f t="shared" si="6"/>
        <v>0</v>
      </c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  <c r="CR65" s="164"/>
      <c r="CS65" s="164"/>
      <c r="CT65" s="164"/>
      <c r="CU65" s="164"/>
      <c r="CV65" s="164"/>
      <c r="CW65" s="164"/>
      <c r="CX65" s="164"/>
      <c r="CY65" s="164"/>
      <c r="CZ65" s="164"/>
      <c r="DA65" s="164"/>
      <c r="DB65" s="164"/>
      <c r="DC65" s="164"/>
      <c r="DD65" s="164"/>
      <c r="DE65" s="164"/>
      <c r="DF65" s="164"/>
      <c r="DG65" s="164"/>
      <c r="DH65" s="164"/>
      <c r="DI65" s="164"/>
      <c r="DJ65" s="164"/>
      <c r="DK65" s="164"/>
      <c r="DL65" s="164"/>
      <c r="DM65" s="164"/>
      <c r="DN65" s="164"/>
      <c r="DO65" s="164"/>
      <c r="DP65" s="164"/>
      <c r="DQ65" s="164"/>
      <c r="DR65" s="163"/>
      <c r="DS65" s="164">
        <f t="shared" si="7"/>
        <v>65802.65</v>
      </c>
      <c r="DT65" s="164">
        <f t="shared" si="8"/>
        <v>0</v>
      </c>
      <c r="DU65" s="164">
        <f t="shared" si="9"/>
        <v>0</v>
      </c>
      <c r="DV65" s="164">
        <f t="shared" si="10"/>
        <v>902.88</v>
      </c>
      <c r="DW65" s="166"/>
      <c r="DX65" s="153" t="str">
        <f>VLOOKUP(C65,薪酬明细!A:A,1,0)</f>
        <v>天津英才郭双红</v>
      </c>
      <c r="DY65" s="153"/>
    </row>
    <row r="66" s="149" customFormat="1" spans="1:129">
      <c r="A66" s="163" t="s">
        <v>67</v>
      </c>
      <c r="B66" s="163" t="s">
        <v>447</v>
      </c>
      <c r="C66" s="164" t="str">
        <f t="shared" si="0"/>
        <v>天津英才陈一卓</v>
      </c>
      <c r="D66" s="165">
        <v>46023</v>
      </c>
      <c r="E66" s="164">
        <v>13325.85</v>
      </c>
      <c r="F66" s="164">
        <v>1207.37</v>
      </c>
      <c r="G66" s="164">
        <v>0</v>
      </c>
      <c r="H66" s="164">
        <v>0</v>
      </c>
      <c r="I66" s="164">
        <v>0</v>
      </c>
      <c r="J66" s="164">
        <v>0</v>
      </c>
      <c r="K66" s="164">
        <v>0</v>
      </c>
      <c r="L66" s="164">
        <f t="shared" si="1"/>
        <v>0</v>
      </c>
      <c r="M66" s="164">
        <v>213.55</v>
      </c>
      <c r="N66" s="164"/>
      <c r="O66" s="164"/>
      <c r="P66" s="164"/>
      <c r="Q66" s="164"/>
      <c r="R66" s="164"/>
      <c r="S66" s="164"/>
      <c r="T66" s="164"/>
      <c r="U66" s="164"/>
      <c r="V66" s="164"/>
      <c r="W66" s="164">
        <v>12410.25</v>
      </c>
      <c r="X66" s="164">
        <v>1198.02</v>
      </c>
      <c r="Y66" s="164">
        <v>0</v>
      </c>
      <c r="Z66" s="164">
        <v>0</v>
      </c>
      <c r="AA66" s="164">
        <v>0</v>
      </c>
      <c r="AB66" s="164">
        <v>0</v>
      </c>
      <c r="AC66" s="164">
        <v>0</v>
      </c>
      <c r="AD66" s="164">
        <f t="shared" si="2"/>
        <v>0</v>
      </c>
      <c r="AE66" s="164">
        <v>186.37</v>
      </c>
      <c r="AF66" s="164">
        <v>13479.85</v>
      </c>
      <c r="AG66" s="164">
        <v>1198.02</v>
      </c>
      <c r="AH66" s="164">
        <v>0</v>
      </c>
      <c r="AI66" s="164">
        <v>0</v>
      </c>
      <c r="AJ66" s="164">
        <v>0</v>
      </c>
      <c r="AK66" s="164">
        <v>0</v>
      </c>
      <c r="AL66" s="164">
        <v>0</v>
      </c>
      <c r="AM66" s="164">
        <f t="shared" si="3"/>
        <v>0</v>
      </c>
      <c r="AN66" s="164">
        <v>218.46</v>
      </c>
      <c r="AO66" s="164">
        <v>13245.8</v>
      </c>
      <c r="AP66" s="164">
        <v>1198.02</v>
      </c>
      <c r="AQ66" s="164">
        <v>0</v>
      </c>
      <c r="AR66" s="164">
        <v>0</v>
      </c>
      <c r="AS66" s="164">
        <v>0</v>
      </c>
      <c r="AT66" s="164">
        <v>0</v>
      </c>
      <c r="AU66" s="164">
        <v>0</v>
      </c>
      <c r="AV66" s="164">
        <f t="shared" si="4"/>
        <v>0</v>
      </c>
      <c r="AW66" s="164">
        <v>211.43</v>
      </c>
      <c r="AX66" s="164">
        <v>12547.8</v>
      </c>
      <c r="AY66" s="164">
        <v>1198.02</v>
      </c>
      <c r="AZ66" s="164">
        <v>0</v>
      </c>
      <c r="BA66" s="164">
        <v>0</v>
      </c>
      <c r="BB66" s="164">
        <v>0</v>
      </c>
      <c r="BC66" s="164">
        <v>0</v>
      </c>
      <c r="BD66" s="164">
        <v>0</v>
      </c>
      <c r="BE66" s="164">
        <f t="shared" si="5"/>
        <v>0</v>
      </c>
      <c r="BF66" s="164">
        <v>190.49</v>
      </c>
      <c r="BG66" s="164">
        <f>VLOOKUP(C66,薪酬明细!A:AC,29,0)</f>
        <v>12758.5</v>
      </c>
      <c r="BH66" s="164">
        <v>1220.02</v>
      </c>
      <c r="BI66" s="164">
        <v>0</v>
      </c>
      <c r="BJ66" s="164">
        <v>0</v>
      </c>
      <c r="BK66" s="164">
        <v>0</v>
      </c>
      <c r="BL66" s="164">
        <v>0</v>
      </c>
      <c r="BM66" s="164">
        <v>0</v>
      </c>
      <c r="BN66" s="164">
        <f t="shared" si="6"/>
        <v>0</v>
      </c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  <c r="CR66" s="164"/>
      <c r="CS66" s="164"/>
      <c r="CT66" s="164"/>
      <c r="CU66" s="164"/>
      <c r="CV66" s="164"/>
      <c r="CW66" s="164"/>
      <c r="CX66" s="164"/>
      <c r="CY66" s="164"/>
      <c r="CZ66" s="164"/>
      <c r="DA66" s="164"/>
      <c r="DB66" s="164"/>
      <c r="DC66" s="164"/>
      <c r="DD66" s="164"/>
      <c r="DE66" s="164"/>
      <c r="DF66" s="164"/>
      <c r="DG66" s="164"/>
      <c r="DH66" s="164"/>
      <c r="DI66" s="164"/>
      <c r="DJ66" s="164"/>
      <c r="DK66" s="164"/>
      <c r="DL66" s="164"/>
      <c r="DM66" s="164"/>
      <c r="DN66" s="164"/>
      <c r="DO66" s="164"/>
      <c r="DP66" s="164"/>
      <c r="DQ66" s="164"/>
      <c r="DR66" s="163"/>
      <c r="DS66" s="164">
        <f t="shared" si="7"/>
        <v>77768.05</v>
      </c>
      <c r="DT66" s="164">
        <f t="shared" si="8"/>
        <v>7219.47</v>
      </c>
      <c r="DU66" s="164">
        <f t="shared" si="9"/>
        <v>0</v>
      </c>
      <c r="DV66" s="164">
        <f t="shared" si="10"/>
        <v>1020.3</v>
      </c>
      <c r="DW66" s="166"/>
      <c r="DX66" s="153" t="str">
        <f>VLOOKUP(C66,薪酬明细!A:A,1,0)</f>
        <v>天津英才陈一卓</v>
      </c>
      <c r="DY66" s="153"/>
    </row>
    <row r="67" s="149" customFormat="1" spans="1:129">
      <c r="A67" s="163" t="s">
        <v>67</v>
      </c>
      <c r="B67" s="163" t="s">
        <v>453</v>
      </c>
      <c r="C67" s="164" t="str">
        <f t="shared" si="0"/>
        <v>天津英才周梓荣</v>
      </c>
      <c r="D67" s="165">
        <v>46023</v>
      </c>
      <c r="E67" s="164">
        <v>6144.85</v>
      </c>
      <c r="F67" s="164">
        <v>1098.37</v>
      </c>
      <c r="G67" s="164">
        <v>0</v>
      </c>
      <c r="H67" s="164">
        <v>0</v>
      </c>
      <c r="I67" s="164">
        <v>0</v>
      </c>
      <c r="J67" s="164">
        <v>0</v>
      </c>
      <c r="K67" s="164">
        <v>0</v>
      </c>
      <c r="L67" s="164">
        <f t="shared" si="1"/>
        <v>0</v>
      </c>
      <c r="M67" s="164">
        <v>1.39</v>
      </c>
      <c r="N67" s="164"/>
      <c r="O67" s="164"/>
      <c r="P67" s="164"/>
      <c r="Q67" s="164"/>
      <c r="R67" s="164"/>
      <c r="S67" s="164"/>
      <c r="T67" s="164"/>
      <c r="U67" s="164"/>
      <c r="V67" s="164"/>
      <c r="W67" s="164">
        <v>5651.65</v>
      </c>
      <c r="X67" s="164">
        <v>1089.02</v>
      </c>
      <c r="Y67" s="164">
        <v>0</v>
      </c>
      <c r="Z67" s="164">
        <v>0</v>
      </c>
      <c r="AA67" s="164">
        <v>0</v>
      </c>
      <c r="AB67" s="164">
        <v>0</v>
      </c>
      <c r="AC67" s="164">
        <v>0</v>
      </c>
      <c r="AD67" s="164">
        <f t="shared" si="2"/>
        <v>0</v>
      </c>
      <c r="AE67" s="164"/>
      <c r="AF67" s="164">
        <v>6144.85</v>
      </c>
      <c r="AG67" s="164">
        <v>1089.02</v>
      </c>
      <c r="AH67" s="164">
        <v>0</v>
      </c>
      <c r="AI67" s="164">
        <v>0</v>
      </c>
      <c r="AJ67" s="164">
        <v>0</v>
      </c>
      <c r="AK67" s="164">
        <v>0</v>
      </c>
      <c r="AL67" s="164">
        <v>0</v>
      </c>
      <c r="AM67" s="164">
        <f t="shared" si="3"/>
        <v>0</v>
      </c>
      <c r="AN67" s="164">
        <v>0</v>
      </c>
      <c r="AO67" s="164">
        <v>6155.8</v>
      </c>
      <c r="AP67" s="164">
        <v>1089.02</v>
      </c>
      <c r="AQ67" s="164">
        <v>0</v>
      </c>
      <c r="AR67" s="164">
        <v>0</v>
      </c>
      <c r="AS67" s="164">
        <v>0</v>
      </c>
      <c r="AT67" s="164">
        <v>0</v>
      </c>
      <c r="AU67" s="164">
        <v>0</v>
      </c>
      <c r="AV67" s="164">
        <f t="shared" si="4"/>
        <v>0</v>
      </c>
      <c r="AW67" s="164">
        <v>0</v>
      </c>
      <c r="AX67" s="164">
        <v>6155.8</v>
      </c>
      <c r="AY67" s="164">
        <v>1089.02</v>
      </c>
      <c r="AZ67" s="164">
        <v>0</v>
      </c>
      <c r="BA67" s="164">
        <v>0</v>
      </c>
      <c r="BB67" s="164">
        <v>0</v>
      </c>
      <c r="BC67" s="164">
        <v>0</v>
      </c>
      <c r="BD67" s="164">
        <v>0</v>
      </c>
      <c r="BE67" s="164">
        <f t="shared" si="5"/>
        <v>0</v>
      </c>
      <c r="BF67" s="164">
        <v>0</v>
      </c>
      <c r="BG67" s="164">
        <f>VLOOKUP(C67,薪酬明细!A:AC,29,0)</f>
        <v>6406.5</v>
      </c>
      <c r="BH67" s="164">
        <v>1111.02</v>
      </c>
      <c r="BI67" s="164">
        <v>0</v>
      </c>
      <c r="BJ67" s="164">
        <v>0</v>
      </c>
      <c r="BK67" s="164">
        <v>0</v>
      </c>
      <c r="BL67" s="164">
        <v>0</v>
      </c>
      <c r="BM67" s="164">
        <v>0</v>
      </c>
      <c r="BN67" s="164">
        <f t="shared" si="6"/>
        <v>0</v>
      </c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  <c r="CR67" s="164"/>
      <c r="CS67" s="164"/>
      <c r="CT67" s="164"/>
      <c r="CU67" s="164"/>
      <c r="CV67" s="164"/>
      <c r="CW67" s="164"/>
      <c r="CX67" s="164"/>
      <c r="CY67" s="164"/>
      <c r="CZ67" s="164"/>
      <c r="DA67" s="164"/>
      <c r="DB67" s="164"/>
      <c r="DC67" s="164"/>
      <c r="DD67" s="164"/>
      <c r="DE67" s="164"/>
      <c r="DF67" s="164"/>
      <c r="DG67" s="164"/>
      <c r="DH67" s="164"/>
      <c r="DI67" s="164"/>
      <c r="DJ67" s="164"/>
      <c r="DK67" s="164"/>
      <c r="DL67" s="164"/>
      <c r="DM67" s="164"/>
      <c r="DN67" s="164"/>
      <c r="DO67" s="164"/>
      <c r="DP67" s="164"/>
      <c r="DQ67" s="164"/>
      <c r="DR67" s="163"/>
      <c r="DS67" s="164">
        <f t="shared" si="7"/>
        <v>36659.45</v>
      </c>
      <c r="DT67" s="164">
        <f t="shared" si="8"/>
        <v>6565.47</v>
      </c>
      <c r="DU67" s="164">
        <f t="shared" si="9"/>
        <v>0</v>
      </c>
      <c r="DV67" s="164">
        <f t="shared" si="10"/>
        <v>1.39</v>
      </c>
      <c r="DW67" s="166"/>
      <c r="DX67" s="153" t="str">
        <f>VLOOKUP(C67,薪酬明细!A:A,1,0)</f>
        <v>天津英才周梓荣</v>
      </c>
      <c r="DY67" s="153"/>
    </row>
    <row r="68" s="149" customFormat="1" spans="1:129">
      <c r="A68" s="163" t="s">
        <v>67</v>
      </c>
      <c r="B68" s="163" t="s">
        <v>270</v>
      </c>
      <c r="C68" s="164" t="str">
        <f t="shared" ref="C68:C123" si="11">A68&amp;B68</f>
        <v>天津英才王倩</v>
      </c>
      <c r="D68" s="165">
        <v>46023</v>
      </c>
      <c r="E68" s="164">
        <v>1000</v>
      </c>
      <c r="F68" s="164">
        <v>0</v>
      </c>
      <c r="G68" s="164">
        <v>0</v>
      </c>
      <c r="H68" s="164">
        <v>0</v>
      </c>
      <c r="I68" s="164">
        <v>0</v>
      </c>
      <c r="J68" s="164">
        <v>0</v>
      </c>
      <c r="K68" s="164">
        <v>0</v>
      </c>
      <c r="L68" s="164">
        <f t="shared" ref="L68:L108" si="12">SUM(G68:K68)</f>
        <v>0</v>
      </c>
      <c r="M68" s="164">
        <v>40</v>
      </c>
      <c r="N68" s="164"/>
      <c r="O68" s="164"/>
      <c r="P68" s="164"/>
      <c r="Q68" s="164"/>
      <c r="R68" s="164"/>
      <c r="S68" s="164"/>
      <c r="T68" s="164"/>
      <c r="U68" s="164"/>
      <c r="V68" s="164"/>
      <c r="W68" s="164">
        <v>1000</v>
      </c>
      <c r="X68" s="164">
        <v>0</v>
      </c>
      <c r="Y68" s="164">
        <v>0</v>
      </c>
      <c r="Z68" s="164">
        <v>0</v>
      </c>
      <c r="AA68" s="164">
        <v>0</v>
      </c>
      <c r="AB68" s="164">
        <v>0</v>
      </c>
      <c r="AC68" s="164">
        <v>0</v>
      </c>
      <c r="AD68" s="164">
        <f t="shared" ref="AD68:AD108" si="13">SUM(Y68:AC68)</f>
        <v>0</v>
      </c>
      <c r="AE68" s="164">
        <v>40</v>
      </c>
      <c r="AF68" s="164">
        <v>1000</v>
      </c>
      <c r="AG68" s="164">
        <v>0</v>
      </c>
      <c r="AH68" s="164">
        <v>0</v>
      </c>
      <c r="AI68" s="164">
        <v>0</v>
      </c>
      <c r="AJ68" s="164">
        <v>0</v>
      </c>
      <c r="AK68" s="164">
        <v>0</v>
      </c>
      <c r="AL68" s="164">
        <v>0</v>
      </c>
      <c r="AM68" s="164">
        <f t="shared" ref="AM68:AM108" si="14">SUM(AH68:AL68)</f>
        <v>0</v>
      </c>
      <c r="AN68" s="164">
        <v>40</v>
      </c>
      <c r="AO68" s="164">
        <v>1000</v>
      </c>
      <c r="AP68" s="164">
        <v>0</v>
      </c>
      <c r="AQ68" s="164">
        <v>0</v>
      </c>
      <c r="AR68" s="164">
        <v>0</v>
      </c>
      <c r="AS68" s="164">
        <v>0</v>
      </c>
      <c r="AT68" s="164">
        <v>0</v>
      </c>
      <c r="AU68" s="164">
        <v>0</v>
      </c>
      <c r="AV68" s="164">
        <f t="shared" ref="AV68:AV115" si="15">SUM(AQ68:AU68)</f>
        <v>0</v>
      </c>
      <c r="AW68" s="164">
        <v>40</v>
      </c>
      <c r="AX68" s="164">
        <v>1000</v>
      </c>
      <c r="AY68" s="164">
        <v>0</v>
      </c>
      <c r="AZ68" s="164">
        <v>0</v>
      </c>
      <c r="BA68" s="164">
        <v>0</v>
      </c>
      <c r="BB68" s="164">
        <v>0</v>
      </c>
      <c r="BC68" s="164">
        <v>0</v>
      </c>
      <c r="BD68" s="164">
        <v>0</v>
      </c>
      <c r="BE68" s="164">
        <f t="shared" ref="BE68:BE115" si="16">SUM(AZ68:BD68)</f>
        <v>0</v>
      </c>
      <c r="BF68" s="164">
        <v>40</v>
      </c>
      <c r="BG68" s="164">
        <f>VLOOKUP(C68,薪酬明细!A:AC,29,0)</f>
        <v>1000</v>
      </c>
      <c r="BH68" s="164">
        <v>0</v>
      </c>
      <c r="BI68" s="164">
        <v>0</v>
      </c>
      <c r="BJ68" s="164">
        <v>0</v>
      </c>
      <c r="BK68" s="164">
        <v>0</v>
      </c>
      <c r="BL68" s="164">
        <v>0</v>
      </c>
      <c r="BM68" s="164">
        <v>0</v>
      </c>
      <c r="BN68" s="164">
        <f t="shared" ref="BN68:BN107" si="17">SUM(BI68:BM68)</f>
        <v>0</v>
      </c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  <c r="CR68" s="164"/>
      <c r="CS68" s="164"/>
      <c r="CT68" s="164"/>
      <c r="CU68" s="164"/>
      <c r="CV68" s="164"/>
      <c r="CW68" s="164"/>
      <c r="CX68" s="164"/>
      <c r="CY68" s="164"/>
      <c r="CZ68" s="164"/>
      <c r="DA68" s="164"/>
      <c r="DB68" s="164"/>
      <c r="DC68" s="164"/>
      <c r="DD68" s="164"/>
      <c r="DE68" s="164"/>
      <c r="DF68" s="164"/>
      <c r="DG68" s="164"/>
      <c r="DH68" s="164"/>
      <c r="DI68" s="164"/>
      <c r="DJ68" s="164"/>
      <c r="DK68" s="164"/>
      <c r="DL68" s="164"/>
      <c r="DM68" s="164"/>
      <c r="DN68" s="164"/>
      <c r="DO68" s="164"/>
      <c r="DP68" s="164"/>
      <c r="DQ68" s="164"/>
      <c r="DR68" s="163"/>
      <c r="DS68" s="164">
        <f t="shared" ref="DS68:DS116" si="18">E68+N68+W68+AF68+AO68+AX68+BG68+BP68+BY68+CH68+CQ68+CZ68+DI68</f>
        <v>6000</v>
      </c>
      <c r="DT68" s="164">
        <f t="shared" ref="DT68:DT116" si="19">F68+O68+X68+AG68+AP68+AY68+BH68+BQ68+BZ68+CI68+CR68+DA68+DJ68</f>
        <v>0</v>
      </c>
      <c r="DU68" s="164">
        <f t="shared" ref="DU68:DU116" si="20">L68+U68+AD68+AM68+AV68+BE68+BN68+BW68+CF68+CO68+CX68+DG68+DP68</f>
        <v>0</v>
      </c>
      <c r="DV68" s="164">
        <f t="shared" ref="DV68:DV116" si="21">M68+V68+AE68+AN68+AW68+BF68+BO68+BX68+CG68+CP68+CY68+DH68+DQ68</f>
        <v>200</v>
      </c>
      <c r="DW68" s="166"/>
      <c r="DX68" s="153" t="str">
        <f>VLOOKUP(C68,薪酬明细!A:A,1,0)</f>
        <v>天津英才王倩</v>
      </c>
      <c r="DY68" s="153"/>
    </row>
    <row r="69" s="149" customFormat="1" spans="1:129">
      <c r="A69" s="163" t="s">
        <v>67</v>
      </c>
      <c r="B69" s="163" t="s">
        <v>451</v>
      </c>
      <c r="C69" s="164" t="str">
        <f t="shared" si="11"/>
        <v>天津英才吴靖娴</v>
      </c>
      <c r="D69" s="165">
        <v>46023</v>
      </c>
      <c r="E69" s="164">
        <v>5144.85</v>
      </c>
      <c r="F69" s="164">
        <v>1098.37</v>
      </c>
      <c r="G69" s="164">
        <v>0</v>
      </c>
      <c r="H69" s="164">
        <v>0</v>
      </c>
      <c r="I69" s="164">
        <v>0</v>
      </c>
      <c r="J69" s="164">
        <v>0</v>
      </c>
      <c r="K69" s="164">
        <v>0</v>
      </c>
      <c r="L69" s="164">
        <f t="shared" si="12"/>
        <v>0</v>
      </c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>
        <v>4733.85</v>
      </c>
      <c r="X69" s="164">
        <v>1089.02</v>
      </c>
      <c r="Y69" s="164">
        <v>0</v>
      </c>
      <c r="Z69" s="164">
        <v>0</v>
      </c>
      <c r="AA69" s="164">
        <v>0</v>
      </c>
      <c r="AB69" s="164">
        <v>0</v>
      </c>
      <c r="AC69" s="164">
        <v>0</v>
      </c>
      <c r="AD69" s="164">
        <f t="shared" si="13"/>
        <v>0</v>
      </c>
      <c r="AE69" s="164"/>
      <c r="AF69" s="164">
        <v>5144.85</v>
      </c>
      <c r="AG69" s="164">
        <v>1089.02</v>
      </c>
      <c r="AH69" s="164">
        <v>0</v>
      </c>
      <c r="AI69" s="164">
        <v>0</v>
      </c>
      <c r="AJ69" s="164">
        <v>0</v>
      </c>
      <c r="AK69" s="164">
        <v>0</v>
      </c>
      <c r="AL69" s="164">
        <v>0</v>
      </c>
      <c r="AM69" s="164">
        <f t="shared" si="14"/>
        <v>0</v>
      </c>
      <c r="AN69" s="164">
        <v>0</v>
      </c>
      <c r="AO69" s="164">
        <v>5155.8</v>
      </c>
      <c r="AP69" s="164">
        <v>1089.02</v>
      </c>
      <c r="AQ69" s="164">
        <v>0</v>
      </c>
      <c r="AR69" s="164">
        <v>0</v>
      </c>
      <c r="AS69" s="164">
        <v>0</v>
      </c>
      <c r="AT69" s="164">
        <v>0</v>
      </c>
      <c r="AU69" s="164">
        <v>0</v>
      </c>
      <c r="AV69" s="164">
        <f t="shared" si="15"/>
        <v>0</v>
      </c>
      <c r="AW69" s="164">
        <v>0</v>
      </c>
      <c r="AX69" s="164">
        <v>5155.8</v>
      </c>
      <c r="AY69" s="164">
        <v>1089.02</v>
      </c>
      <c r="AZ69" s="164">
        <v>0</v>
      </c>
      <c r="BA69" s="164">
        <v>0</v>
      </c>
      <c r="BB69" s="164">
        <v>0</v>
      </c>
      <c r="BC69" s="164">
        <v>0</v>
      </c>
      <c r="BD69" s="164">
        <v>0</v>
      </c>
      <c r="BE69" s="164">
        <f t="shared" si="16"/>
        <v>0</v>
      </c>
      <c r="BF69" s="164">
        <v>0</v>
      </c>
      <c r="BG69" s="164">
        <f>VLOOKUP(C69,薪酬明细!A:AC,29,0)</f>
        <v>5406.5</v>
      </c>
      <c r="BH69" s="164">
        <v>1111.02</v>
      </c>
      <c r="BI69" s="164">
        <v>0</v>
      </c>
      <c r="BJ69" s="164">
        <v>0</v>
      </c>
      <c r="BK69" s="164">
        <v>0</v>
      </c>
      <c r="BL69" s="164">
        <v>0</v>
      </c>
      <c r="BM69" s="164">
        <v>0</v>
      </c>
      <c r="BN69" s="164">
        <f t="shared" si="17"/>
        <v>0</v>
      </c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  <c r="CR69" s="164"/>
      <c r="CS69" s="164"/>
      <c r="CT69" s="164"/>
      <c r="CU69" s="164"/>
      <c r="CV69" s="164"/>
      <c r="CW69" s="164"/>
      <c r="CX69" s="164"/>
      <c r="CY69" s="164"/>
      <c r="CZ69" s="164"/>
      <c r="DA69" s="164"/>
      <c r="DB69" s="164"/>
      <c r="DC69" s="164"/>
      <c r="DD69" s="164"/>
      <c r="DE69" s="164"/>
      <c r="DF69" s="164"/>
      <c r="DG69" s="164"/>
      <c r="DH69" s="164"/>
      <c r="DI69" s="164"/>
      <c r="DJ69" s="164"/>
      <c r="DK69" s="164"/>
      <c r="DL69" s="164"/>
      <c r="DM69" s="164"/>
      <c r="DN69" s="164"/>
      <c r="DO69" s="164"/>
      <c r="DP69" s="164"/>
      <c r="DQ69" s="164"/>
      <c r="DR69" s="163"/>
      <c r="DS69" s="164">
        <f t="shared" si="18"/>
        <v>30741.65</v>
      </c>
      <c r="DT69" s="164">
        <f t="shared" si="19"/>
        <v>6565.47</v>
      </c>
      <c r="DU69" s="164">
        <f t="shared" si="20"/>
        <v>0</v>
      </c>
      <c r="DV69" s="164">
        <f t="shared" si="21"/>
        <v>0</v>
      </c>
      <c r="DW69" s="166"/>
      <c r="DX69" s="153" t="str">
        <f>VLOOKUP(C69,薪酬明细!A:A,1,0)</f>
        <v>天津英才吴靖娴</v>
      </c>
      <c r="DY69" s="153"/>
    </row>
    <row r="70" s="149" customFormat="1" spans="1:129">
      <c r="A70" s="163" t="s">
        <v>77</v>
      </c>
      <c r="B70" s="163" t="s">
        <v>455</v>
      </c>
      <c r="C70" s="164" t="str">
        <f t="shared" si="11"/>
        <v>微芮洺程璐</v>
      </c>
      <c r="D70" s="165">
        <v>46023</v>
      </c>
      <c r="E70" s="164">
        <v>1445.15</v>
      </c>
      <c r="F70" s="164">
        <v>1300.3</v>
      </c>
      <c r="G70" s="164">
        <v>0</v>
      </c>
      <c r="H70" s="164">
        <v>0</v>
      </c>
      <c r="I70" s="164">
        <v>0</v>
      </c>
      <c r="J70" s="164">
        <v>0</v>
      </c>
      <c r="K70" s="164">
        <v>0</v>
      </c>
      <c r="L70" s="164">
        <f t="shared" si="12"/>
        <v>0</v>
      </c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>
        <v>2209.19</v>
      </c>
      <c r="X70" s="164">
        <v>1300.3</v>
      </c>
      <c r="Y70" s="164">
        <v>0</v>
      </c>
      <c r="Z70" s="164">
        <v>0</v>
      </c>
      <c r="AA70" s="164">
        <v>0</v>
      </c>
      <c r="AB70" s="164">
        <v>0</v>
      </c>
      <c r="AC70" s="164">
        <v>0</v>
      </c>
      <c r="AD70" s="164">
        <f t="shared" si="13"/>
        <v>0</v>
      </c>
      <c r="AE70" s="164"/>
      <c r="AF70" s="164">
        <v>4544.25</v>
      </c>
      <c r="AG70" s="164">
        <v>1300.3</v>
      </c>
      <c r="AH70" s="164">
        <v>0</v>
      </c>
      <c r="AI70" s="164">
        <v>0</v>
      </c>
      <c r="AJ70" s="164">
        <v>0</v>
      </c>
      <c r="AK70" s="164">
        <v>0</v>
      </c>
      <c r="AL70" s="164">
        <v>0</v>
      </c>
      <c r="AM70" s="164">
        <f t="shared" si="14"/>
        <v>0</v>
      </c>
      <c r="AN70" s="164">
        <v>0</v>
      </c>
      <c r="AO70" s="164">
        <v>7155.8</v>
      </c>
      <c r="AP70" s="164">
        <v>1300.3</v>
      </c>
      <c r="AQ70" s="164">
        <v>0</v>
      </c>
      <c r="AR70" s="164">
        <v>0</v>
      </c>
      <c r="AS70" s="164">
        <v>0</v>
      </c>
      <c r="AT70" s="164">
        <v>0</v>
      </c>
      <c r="AU70" s="164">
        <v>0</v>
      </c>
      <c r="AV70" s="164">
        <f t="shared" si="15"/>
        <v>0</v>
      </c>
      <c r="AW70" s="164">
        <v>0</v>
      </c>
      <c r="AX70" s="164">
        <v>7155.8</v>
      </c>
      <c r="AY70" s="164">
        <v>1300.3</v>
      </c>
      <c r="AZ70" s="164">
        <v>0</v>
      </c>
      <c r="BA70" s="164">
        <v>0</v>
      </c>
      <c r="BB70" s="164">
        <v>0</v>
      </c>
      <c r="BC70" s="164">
        <v>0</v>
      </c>
      <c r="BD70" s="164">
        <v>0</v>
      </c>
      <c r="BE70" s="164">
        <f t="shared" si="16"/>
        <v>0</v>
      </c>
      <c r="BF70" s="164">
        <v>0</v>
      </c>
      <c r="BG70" s="164">
        <f>VLOOKUP(C70,薪酬明细!A:AC,29,0)</f>
        <v>7155.8</v>
      </c>
      <c r="BH70" s="164">
        <v>1300.3</v>
      </c>
      <c r="BI70" s="164">
        <v>0</v>
      </c>
      <c r="BJ70" s="164">
        <v>0</v>
      </c>
      <c r="BK70" s="164">
        <v>0</v>
      </c>
      <c r="BL70" s="164">
        <v>0</v>
      </c>
      <c r="BM70" s="164">
        <v>0</v>
      </c>
      <c r="BN70" s="164">
        <f t="shared" si="17"/>
        <v>0</v>
      </c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  <c r="CR70" s="164"/>
      <c r="CS70" s="164"/>
      <c r="CT70" s="164"/>
      <c r="CU70" s="164"/>
      <c r="CV70" s="164"/>
      <c r="CW70" s="164"/>
      <c r="CX70" s="164"/>
      <c r="CY70" s="164"/>
      <c r="CZ70" s="164"/>
      <c r="DA70" s="164"/>
      <c r="DB70" s="164"/>
      <c r="DC70" s="164"/>
      <c r="DD70" s="164"/>
      <c r="DE70" s="164"/>
      <c r="DF70" s="164"/>
      <c r="DG70" s="164"/>
      <c r="DH70" s="164"/>
      <c r="DI70" s="164"/>
      <c r="DJ70" s="164"/>
      <c r="DK70" s="164"/>
      <c r="DL70" s="164"/>
      <c r="DM70" s="164"/>
      <c r="DN70" s="164"/>
      <c r="DO70" s="164"/>
      <c r="DP70" s="164"/>
      <c r="DQ70" s="164"/>
      <c r="DR70" s="163"/>
      <c r="DS70" s="164">
        <f t="shared" si="18"/>
        <v>29665.99</v>
      </c>
      <c r="DT70" s="164">
        <f t="shared" si="19"/>
        <v>7801.8</v>
      </c>
      <c r="DU70" s="164">
        <f t="shared" si="20"/>
        <v>0</v>
      </c>
      <c r="DV70" s="164">
        <f t="shared" si="21"/>
        <v>0</v>
      </c>
      <c r="DW70" s="166"/>
      <c r="DX70" s="153" t="str">
        <f>VLOOKUP(C70,薪酬明细!A:A,1,0)</f>
        <v>微芮洺程璐</v>
      </c>
      <c r="DY70" s="153"/>
    </row>
    <row r="71" s="149" customFormat="1" spans="1:129">
      <c r="A71" s="163" t="s">
        <v>73</v>
      </c>
      <c r="B71" s="163" t="s">
        <v>458</v>
      </c>
      <c r="C71" s="164" t="str">
        <f t="shared" si="11"/>
        <v>弈工分健康胡金明</v>
      </c>
      <c r="D71" s="165">
        <v>46023</v>
      </c>
      <c r="E71" s="164">
        <v>7449.85</v>
      </c>
      <c r="F71" s="164">
        <v>1300.3</v>
      </c>
      <c r="G71" s="164">
        <v>0</v>
      </c>
      <c r="H71" s="164">
        <v>0</v>
      </c>
      <c r="I71" s="164"/>
      <c r="J71" s="164">
        <v>0</v>
      </c>
      <c r="K71" s="164">
        <v>0</v>
      </c>
      <c r="L71" s="164">
        <f t="shared" si="12"/>
        <v>0</v>
      </c>
      <c r="M71" s="164">
        <v>34.49</v>
      </c>
      <c r="N71" s="164"/>
      <c r="O71" s="164"/>
      <c r="P71" s="164"/>
      <c r="Q71" s="164"/>
      <c r="R71" s="164"/>
      <c r="S71" s="164"/>
      <c r="T71" s="164"/>
      <c r="U71" s="164"/>
      <c r="V71" s="164"/>
      <c r="W71" s="164">
        <v>6034.14</v>
      </c>
      <c r="X71" s="164">
        <v>1300.3</v>
      </c>
      <c r="Y71" s="164">
        <v>0</v>
      </c>
      <c r="Z71" s="164">
        <v>0</v>
      </c>
      <c r="AA71" s="164"/>
      <c r="AB71" s="164">
        <v>0</v>
      </c>
      <c r="AC71" s="164">
        <v>0</v>
      </c>
      <c r="AD71" s="164">
        <f t="shared" si="13"/>
        <v>0</v>
      </c>
      <c r="AE71" s="164"/>
      <c r="AF71" s="164">
        <v>8034.85</v>
      </c>
      <c r="AG71" s="164">
        <v>1300.3</v>
      </c>
      <c r="AH71" s="164">
        <v>0</v>
      </c>
      <c r="AI71" s="164">
        <v>0</v>
      </c>
      <c r="AJ71" s="164"/>
      <c r="AK71" s="164">
        <v>0</v>
      </c>
      <c r="AL71" s="164">
        <v>0</v>
      </c>
      <c r="AM71" s="164">
        <f t="shared" si="14"/>
        <v>0</v>
      </c>
      <c r="AN71" s="164">
        <v>44.05</v>
      </c>
      <c r="AO71" s="164">
        <v>8690.28</v>
      </c>
      <c r="AP71" s="164">
        <v>1300.3</v>
      </c>
      <c r="AQ71" s="164">
        <v>0</v>
      </c>
      <c r="AR71" s="164">
        <v>0</v>
      </c>
      <c r="AS71" s="164"/>
      <c r="AT71" s="164">
        <v>0</v>
      </c>
      <c r="AU71" s="164">
        <v>0</v>
      </c>
      <c r="AV71" s="164">
        <f t="shared" si="15"/>
        <v>0</v>
      </c>
      <c r="AW71" s="164">
        <v>71.7</v>
      </c>
      <c r="AX71" s="164">
        <v>9724.77</v>
      </c>
      <c r="AY71" s="164">
        <v>1300.3</v>
      </c>
      <c r="AZ71" s="164">
        <v>0</v>
      </c>
      <c r="BA71" s="164">
        <v>0</v>
      </c>
      <c r="BB71" s="164"/>
      <c r="BC71" s="164">
        <v>0</v>
      </c>
      <c r="BD71" s="164">
        <v>0</v>
      </c>
      <c r="BE71" s="164">
        <f t="shared" si="16"/>
        <v>0</v>
      </c>
      <c r="BF71" s="164">
        <v>102.73</v>
      </c>
      <c r="BG71" s="164">
        <f>VLOOKUP(C71,薪酬明细!A:AC,29,0)</f>
        <v>7955.8</v>
      </c>
      <c r="BH71" s="164">
        <v>1300.3</v>
      </c>
      <c r="BI71" s="164">
        <v>0</v>
      </c>
      <c r="BJ71" s="164">
        <v>0</v>
      </c>
      <c r="BK71" s="164"/>
      <c r="BL71" s="164">
        <v>0</v>
      </c>
      <c r="BM71" s="164">
        <v>0</v>
      </c>
      <c r="BN71" s="164">
        <f t="shared" si="17"/>
        <v>0</v>
      </c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  <c r="CR71" s="164"/>
      <c r="CS71" s="164"/>
      <c r="CT71" s="164"/>
      <c r="CU71" s="164"/>
      <c r="CV71" s="164"/>
      <c r="CW71" s="164"/>
      <c r="CX71" s="164"/>
      <c r="CY71" s="164"/>
      <c r="CZ71" s="164"/>
      <c r="DA71" s="164"/>
      <c r="DB71" s="164"/>
      <c r="DC71" s="164"/>
      <c r="DD71" s="164"/>
      <c r="DE71" s="164"/>
      <c r="DF71" s="164"/>
      <c r="DG71" s="164"/>
      <c r="DH71" s="164"/>
      <c r="DI71" s="164"/>
      <c r="DJ71" s="164"/>
      <c r="DK71" s="164"/>
      <c r="DL71" s="164"/>
      <c r="DM71" s="164"/>
      <c r="DN71" s="164"/>
      <c r="DO71" s="164"/>
      <c r="DP71" s="164"/>
      <c r="DQ71" s="164"/>
      <c r="DR71" s="163"/>
      <c r="DS71" s="164">
        <f t="shared" si="18"/>
        <v>47889.69</v>
      </c>
      <c r="DT71" s="164">
        <f t="shared" si="19"/>
        <v>7801.8</v>
      </c>
      <c r="DU71" s="164">
        <f t="shared" si="20"/>
        <v>0</v>
      </c>
      <c r="DV71" s="164">
        <f t="shared" si="21"/>
        <v>252.97</v>
      </c>
      <c r="DW71" s="166"/>
      <c r="DX71" s="153" t="str">
        <f>VLOOKUP(C71,薪酬明细!A:A,1,0)</f>
        <v>弈工分健康胡金明</v>
      </c>
      <c r="DY71" s="153"/>
    </row>
    <row r="72" s="149" customFormat="1" spans="1:129">
      <c r="A72" s="163" t="s">
        <v>73</v>
      </c>
      <c r="B72" s="163" t="s">
        <v>436</v>
      </c>
      <c r="C72" s="164" t="str">
        <f t="shared" si="11"/>
        <v>弈工分健康贾飞龙</v>
      </c>
      <c r="D72" s="165">
        <v>46023</v>
      </c>
      <c r="E72" s="164">
        <v>8644.85</v>
      </c>
      <c r="F72" s="164">
        <v>1300.3</v>
      </c>
      <c r="G72" s="164"/>
      <c r="H72" s="164">
        <v>0</v>
      </c>
      <c r="I72" s="164"/>
      <c r="J72" s="164">
        <v>0</v>
      </c>
      <c r="K72" s="164"/>
      <c r="L72" s="164">
        <f t="shared" si="12"/>
        <v>0</v>
      </c>
      <c r="M72" s="164">
        <v>70.34</v>
      </c>
      <c r="N72" s="164"/>
      <c r="O72" s="164"/>
      <c r="P72" s="164"/>
      <c r="Q72" s="164"/>
      <c r="R72" s="164"/>
      <c r="S72" s="164"/>
      <c r="T72" s="164"/>
      <c r="U72" s="164"/>
      <c r="V72" s="164"/>
      <c r="W72" s="164">
        <v>6997.55</v>
      </c>
      <c r="X72" s="164">
        <v>1300.3</v>
      </c>
      <c r="Y72" s="164"/>
      <c r="Z72" s="164">
        <v>0</v>
      </c>
      <c r="AA72" s="164"/>
      <c r="AB72" s="164">
        <v>0</v>
      </c>
      <c r="AC72" s="164"/>
      <c r="AD72" s="164">
        <f t="shared" si="13"/>
        <v>0</v>
      </c>
      <c r="AE72" s="164">
        <v>20.91</v>
      </c>
      <c r="AF72" s="164">
        <v>8644.85</v>
      </c>
      <c r="AG72" s="164">
        <v>1300.3</v>
      </c>
      <c r="AH72" s="164"/>
      <c r="AI72" s="164">
        <v>0</v>
      </c>
      <c r="AJ72" s="164"/>
      <c r="AK72" s="164">
        <v>0</v>
      </c>
      <c r="AL72" s="164"/>
      <c r="AM72" s="164">
        <f t="shared" si="14"/>
        <v>0</v>
      </c>
      <c r="AN72" s="164">
        <v>70.34</v>
      </c>
      <c r="AO72" s="164">
        <v>11000.63</v>
      </c>
      <c r="AP72" s="164">
        <v>1300.3</v>
      </c>
      <c r="AQ72" s="164"/>
      <c r="AR72" s="164">
        <v>0</v>
      </c>
      <c r="AS72" s="164"/>
      <c r="AT72" s="164">
        <v>0</v>
      </c>
      <c r="AU72" s="164"/>
      <c r="AV72" s="164">
        <f t="shared" si="15"/>
        <v>0</v>
      </c>
      <c r="AW72" s="164">
        <v>141.01</v>
      </c>
      <c r="AX72" s="164">
        <v>11000.63</v>
      </c>
      <c r="AY72" s="164">
        <v>1300.3</v>
      </c>
      <c r="AZ72" s="164"/>
      <c r="BA72" s="164">
        <v>0</v>
      </c>
      <c r="BB72" s="164"/>
      <c r="BC72" s="164">
        <v>0</v>
      </c>
      <c r="BD72" s="164"/>
      <c r="BE72" s="164">
        <f t="shared" si="16"/>
        <v>0</v>
      </c>
      <c r="BF72" s="164">
        <v>141.01</v>
      </c>
      <c r="BG72" s="164">
        <f>VLOOKUP(C72,薪酬明细!A:AC,29,0)</f>
        <v>10128.21</v>
      </c>
      <c r="BH72" s="164">
        <v>1300.3</v>
      </c>
      <c r="BI72" s="164"/>
      <c r="BJ72" s="164">
        <v>0</v>
      </c>
      <c r="BK72" s="164"/>
      <c r="BL72" s="164">
        <v>0</v>
      </c>
      <c r="BM72" s="164"/>
      <c r="BN72" s="164">
        <f t="shared" si="17"/>
        <v>0</v>
      </c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  <c r="CR72" s="164"/>
      <c r="CS72" s="164"/>
      <c r="CT72" s="164"/>
      <c r="CU72" s="164"/>
      <c r="CV72" s="164"/>
      <c r="CW72" s="164"/>
      <c r="CX72" s="164"/>
      <c r="CY72" s="164"/>
      <c r="CZ72" s="164"/>
      <c r="DA72" s="164"/>
      <c r="DB72" s="164"/>
      <c r="DC72" s="164"/>
      <c r="DD72" s="164"/>
      <c r="DE72" s="164"/>
      <c r="DF72" s="164"/>
      <c r="DG72" s="164"/>
      <c r="DH72" s="164"/>
      <c r="DI72" s="164"/>
      <c r="DJ72" s="164"/>
      <c r="DK72" s="164"/>
      <c r="DL72" s="164"/>
      <c r="DM72" s="164"/>
      <c r="DN72" s="164"/>
      <c r="DO72" s="164"/>
      <c r="DP72" s="164"/>
      <c r="DQ72" s="164"/>
      <c r="DR72" s="163"/>
      <c r="DS72" s="164">
        <f t="shared" si="18"/>
        <v>56416.72</v>
      </c>
      <c r="DT72" s="164">
        <f t="shared" si="19"/>
        <v>7801.8</v>
      </c>
      <c r="DU72" s="164">
        <f t="shared" si="20"/>
        <v>0</v>
      </c>
      <c r="DV72" s="164">
        <f t="shared" si="21"/>
        <v>443.61</v>
      </c>
      <c r="DW72" s="166"/>
      <c r="DX72" s="153" t="str">
        <f>VLOOKUP(C72,薪酬明细!A:A,1,0)</f>
        <v>弈工分健康贾飞龙</v>
      </c>
      <c r="DY72" s="153"/>
    </row>
    <row r="73" s="149" customFormat="1" spans="1:129">
      <c r="A73" s="163" t="s">
        <v>73</v>
      </c>
      <c r="B73" s="163" t="s">
        <v>383</v>
      </c>
      <c r="C73" s="164" t="str">
        <f t="shared" si="11"/>
        <v>弈工分健康汪顺</v>
      </c>
      <c r="D73" s="165">
        <v>46023</v>
      </c>
      <c r="E73" s="164">
        <v>1000</v>
      </c>
      <c r="F73" s="164">
        <v>0</v>
      </c>
      <c r="G73" s="164">
        <v>0</v>
      </c>
      <c r="H73" s="164">
        <v>0</v>
      </c>
      <c r="I73" s="164">
        <v>0</v>
      </c>
      <c r="J73" s="164">
        <v>0</v>
      </c>
      <c r="K73" s="164">
        <v>0</v>
      </c>
      <c r="L73" s="164">
        <f t="shared" si="12"/>
        <v>0</v>
      </c>
      <c r="M73" s="164">
        <v>40</v>
      </c>
      <c r="N73" s="164"/>
      <c r="O73" s="164"/>
      <c r="P73" s="164"/>
      <c r="Q73" s="164"/>
      <c r="R73" s="164"/>
      <c r="S73" s="164"/>
      <c r="T73" s="164"/>
      <c r="U73" s="164"/>
      <c r="V73" s="164"/>
      <c r="W73" s="164">
        <v>1000</v>
      </c>
      <c r="X73" s="164">
        <v>0</v>
      </c>
      <c r="Y73" s="164">
        <v>0</v>
      </c>
      <c r="Z73" s="164">
        <v>0</v>
      </c>
      <c r="AA73" s="164">
        <v>0</v>
      </c>
      <c r="AB73" s="164">
        <v>0</v>
      </c>
      <c r="AC73" s="164">
        <v>0</v>
      </c>
      <c r="AD73" s="164">
        <f t="shared" si="13"/>
        <v>0</v>
      </c>
      <c r="AE73" s="164">
        <v>40</v>
      </c>
      <c r="AF73" s="164">
        <v>1000</v>
      </c>
      <c r="AG73" s="164">
        <v>0</v>
      </c>
      <c r="AH73" s="164">
        <v>0</v>
      </c>
      <c r="AI73" s="164">
        <v>0</v>
      </c>
      <c r="AJ73" s="164">
        <v>0</v>
      </c>
      <c r="AK73" s="164">
        <v>0</v>
      </c>
      <c r="AL73" s="164">
        <v>0</v>
      </c>
      <c r="AM73" s="164">
        <f t="shared" si="14"/>
        <v>0</v>
      </c>
      <c r="AN73" s="164">
        <v>40</v>
      </c>
      <c r="AO73" s="164">
        <v>1000</v>
      </c>
      <c r="AP73" s="164">
        <v>0</v>
      </c>
      <c r="AQ73" s="164">
        <v>0</v>
      </c>
      <c r="AR73" s="164">
        <v>0</v>
      </c>
      <c r="AS73" s="164">
        <v>0</v>
      </c>
      <c r="AT73" s="164">
        <v>0</v>
      </c>
      <c r="AU73" s="164">
        <v>0</v>
      </c>
      <c r="AV73" s="164">
        <f t="shared" si="15"/>
        <v>0</v>
      </c>
      <c r="AW73" s="164">
        <v>40</v>
      </c>
      <c r="AX73" s="164">
        <v>1000</v>
      </c>
      <c r="AY73" s="164">
        <v>0</v>
      </c>
      <c r="AZ73" s="164">
        <v>0</v>
      </c>
      <c r="BA73" s="164">
        <v>0</v>
      </c>
      <c r="BB73" s="164">
        <v>0</v>
      </c>
      <c r="BC73" s="164">
        <v>0</v>
      </c>
      <c r="BD73" s="164">
        <v>0</v>
      </c>
      <c r="BE73" s="164">
        <f t="shared" si="16"/>
        <v>0</v>
      </c>
      <c r="BF73" s="164">
        <v>40</v>
      </c>
      <c r="BG73" s="164">
        <f>VLOOKUP(C73,薪酬明细!A:AC,29,0)</f>
        <v>1000</v>
      </c>
      <c r="BH73" s="164">
        <v>0</v>
      </c>
      <c r="BI73" s="164">
        <v>0</v>
      </c>
      <c r="BJ73" s="164">
        <v>0</v>
      </c>
      <c r="BK73" s="164">
        <v>0</v>
      </c>
      <c r="BL73" s="164">
        <v>0</v>
      </c>
      <c r="BM73" s="164">
        <v>0</v>
      </c>
      <c r="BN73" s="164">
        <f t="shared" si="17"/>
        <v>0</v>
      </c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  <c r="CR73" s="164"/>
      <c r="CS73" s="164"/>
      <c r="CT73" s="164"/>
      <c r="CU73" s="164"/>
      <c r="CV73" s="164"/>
      <c r="CW73" s="164"/>
      <c r="CX73" s="164"/>
      <c r="CY73" s="164"/>
      <c r="CZ73" s="164"/>
      <c r="DA73" s="164"/>
      <c r="DB73" s="164"/>
      <c r="DC73" s="164"/>
      <c r="DD73" s="164"/>
      <c r="DE73" s="164"/>
      <c r="DF73" s="164"/>
      <c r="DG73" s="164"/>
      <c r="DH73" s="164"/>
      <c r="DI73" s="164"/>
      <c r="DJ73" s="164"/>
      <c r="DK73" s="164"/>
      <c r="DL73" s="164"/>
      <c r="DM73" s="164"/>
      <c r="DN73" s="164"/>
      <c r="DO73" s="164"/>
      <c r="DP73" s="164"/>
      <c r="DQ73" s="164"/>
      <c r="DR73" s="163"/>
      <c r="DS73" s="164">
        <f t="shared" si="18"/>
        <v>6000</v>
      </c>
      <c r="DT73" s="164">
        <f t="shared" si="19"/>
        <v>0</v>
      </c>
      <c r="DU73" s="164">
        <f t="shared" si="20"/>
        <v>0</v>
      </c>
      <c r="DV73" s="164">
        <f t="shared" si="21"/>
        <v>200</v>
      </c>
      <c r="DW73" s="166"/>
      <c r="DX73" s="153" t="str">
        <f>VLOOKUP(C73,薪酬明细!A:A,1,0)</f>
        <v>弈工分健康汪顺</v>
      </c>
      <c r="DY73" s="153"/>
    </row>
    <row r="74" s="149" customFormat="1" spans="1:129">
      <c r="A74" s="163" t="s">
        <v>76</v>
      </c>
      <c r="B74" s="163" t="s">
        <v>517</v>
      </c>
      <c r="C74" s="164" t="str">
        <f t="shared" si="11"/>
        <v>弈工分文化季文菊</v>
      </c>
      <c r="D74" s="165">
        <v>46023</v>
      </c>
      <c r="E74" s="164">
        <v>12157.85</v>
      </c>
      <c r="F74" s="164">
        <v>0</v>
      </c>
      <c r="G74" s="164">
        <v>0</v>
      </c>
      <c r="H74" s="164">
        <v>0</v>
      </c>
      <c r="I74" s="164">
        <v>0</v>
      </c>
      <c r="J74" s="164">
        <v>0</v>
      </c>
      <c r="K74" s="164">
        <v>0</v>
      </c>
      <c r="L74" s="164">
        <f t="shared" si="12"/>
        <v>0</v>
      </c>
      <c r="M74" s="164">
        <v>214.74</v>
      </c>
      <c r="N74" s="164"/>
      <c r="O74" s="164"/>
      <c r="P74" s="164"/>
      <c r="Q74" s="164"/>
      <c r="R74" s="164"/>
      <c r="S74" s="164"/>
      <c r="T74" s="164"/>
      <c r="U74" s="164"/>
      <c r="V74" s="164"/>
      <c r="W74" s="164">
        <v>12157.85</v>
      </c>
      <c r="X74" s="164">
        <v>0</v>
      </c>
      <c r="Y74" s="164">
        <v>0</v>
      </c>
      <c r="Z74" s="164">
        <v>0</v>
      </c>
      <c r="AA74" s="164">
        <v>0</v>
      </c>
      <c r="AB74" s="164">
        <v>0</v>
      </c>
      <c r="AC74" s="164">
        <v>0</v>
      </c>
      <c r="AD74" s="164">
        <f t="shared" si="13"/>
        <v>0</v>
      </c>
      <c r="AE74" s="164">
        <v>214.73</v>
      </c>
      <c r="AF74" s="164">
        <v>12157.85</v>
      </c>
      <c r="AG74" s="164">
        <v>0</v>
      </c>
      <c r="AH74" s="164">
        <v>0</v>
      </c>
      <c r="AI74" s="164">
        <v>0</v>
      </c>
      <c r="AJ74" s="164">
        <v>0</v>
      </c>
      <c r="AK74" s="164">
        <v>0</v>
      </c>
      <c r="AL74" s="164">
        <v>0</v>
      </c>
      <c r="AM74" s="164">
        <f t="shared" si="14"/>
        <v>0</v>
      </c>
      <c r="AN74" s="164">
        <v>214.74</v>
      </c>
      <c r="AO74" s="164">
        <v>12172.45</v>
      </c>
      <c r="AP74" s="164">
        <v>0</v>
      </c>
      <c r="AQ74" s="164">
        <v>0</v>
      </c>
      <c r="AR74" s="164">
        <v>0</v>
      </c>
      <c r="AS74" s="164">
        <v>0</v>
      </c>
      <c r="AT74" s="164">
        <v>0</v>
      </c>
      <c r="AU74" s="164">
        <v>0</v>
      </c>
      <c r="AV74" s="164">
        <f t="shared" si="15"/>
        <v>0</v>
      </c>
      <c r="AW74" s="164">
        <v>215.17</v>
      </c>
      <c r="AX74" s="164">
        <v>12172.45</v>
      </c>
      <c r="AY74" s="164">
        <v>0</v>
      </c>
      <c r="AZ74" s="164">
        <v>0</v>
      </c>
      <c r="BA74" s="164">
        <v>0</v>
      </c>
      <c r="BB74" s="164">
        <v>0</v>
      </c>
      <c r="BC74" s="164">
        <v>0</v>
      </c>
      <c r="BD74" s="164">
        <v>0</v>
      </c>
      <c r="BE74" s="164">
        <f t="shared" si="16"/>
        <v>0</v>
      </c>
      <c r="BF74" s="164">
        <v>215.17</v>
      </c>
      <c r="BG74" s="164">
        <f>VLOOKUP(C74,薪酬明细!A:AC,29,0)</f>
        <v>12172.45</v>
      </c>
      <c r="BH74" s="164">
        <v>0</v>
      </c>
      <c r="BI74" s="164">
        <v>0</v>
      </c>
      <c r="BJ74" s="164">
        <v>0</v>
      </c>
      <c r="BK74" s="164">
        <v>0</v>
      </c>
      <c r="BL74" s="164">
        <v>0</v>
      </c>
      <c r="BM74" s="164">
        <v>0</v>
      </c>
      <c r="BN74" s="164">
        <f t="shared" si="17"/>
        <v>0</v>
      </c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  <c r="CR74" s="164"/>
      <c r="CS74" s="164"/>
      <c r="CT74" s="164"/>
      <c r="CU74" s="164"/>
      <c r="CV74" s="164"/>
      <c r="CW74" s="164"/>
      <c r="CX74" s="164"/>
      <c r="CY74" s="164"/>
      <c r="CZ74" s="164"/>
      <c r="DA74" s="164"/>
      <c r="DB74" s="164"/>
      <c r="DC74" s="164"/>
      <c r="DD74" s="164"/>
      <c r="DE74" s="164"/>
      <c r="DF74" s="164"/>
      <c r="DG74" s="164"/>
      <c r="DH74" s="164"/>
      <c r="DI74" s="164"/>
      <c r="DJ74" s="164"/>
      <c r="DK74" s="164"/>
      <c r="DL74" s="164"/>
      <c r="DM74" s="164"/>
      <c r="DN74" s="164"/>
      <c r="DO74" s="164"/>
      <c r="DP74" s="164"/>
      <c r="DQ74" s="164"/>
      <c r="DR74" s="163"/>
      <c r="DS74" s="164">
        <f t="shared" si="18"/>
        <v>72990.9</v>
      </c>
      <c r="DT74" s="164">
        <f t="shared" si="19"/>
        <v>0</v>
      </c>
      <c r="DU74" s="164">
        <f t="shared" si="20"/>
        <v>0</v>
      </c>
      <c r="DV74" s="164">
        <f t="shared" si="21"/>
        <v>1074.55</v>
      </c>
      <c r="DW74" s="166"/>
      <c r="DX74" s="153" t="str">
        <f>VLOOKUP(C74,薪酬明细!A:A,1,0)</f>
        <v>弈工分文化季文菊</v>
      </c>
      <c r="DY74" s="153"/>
    </row>
    <row r="75" s="149" customFormat="1" spans="1:129">
      <c r="A75" s="163" t="s">
        <v>76</v>
      </c>
      <c r="B75" s="163" t="s">
        <v>381</v>
      </c>
      <c r="C75" s="164" t="str">
        <f t="shared" si="11"/>
        <v>弈工分文化王建平</v>
      </c>
      <c r="D75" s="165">
        <v>46023</v>
      </c>
      <c r="E75" s="164">
        <v>3000</v>
      </c>
      <c r="F75" s="164">
        <v>0</v>
      </c>
      <c r="G75" s="164">
        <v>0</v>
      </c>
      <c r="H75" s="164">
        <v>0</v>
      </c>
      <c r="I75" s="164">
        <v>0</v>
      </c>
      <c r="J75" s="164">
        <v>0</v>
      </c>
      <c r="K75" s="164">
        <v>0</v>
      </c>
      <c r="L75" s="164">
        <f t="shared" si="12"/>
        <v>0</v>
      </c>
      <c r="M75" s="164">
        <v>440</v>
      </c>
      <c r="N75" s="164"/>
      <c r="O75" s="164"/>
      <c r="P75" s="164"/>
      <c r="Q75" s="164"/>
      <c r="R75" s="164"/>
      <c r="S75" s="164"/>
      <c r="T75" s="164"/>
      <c r="U75" s="164"/>
      <c r="V75" s="164"/>
      <c r="W75" s="164">
        <v>3000</v>
      </c>
      <c r="X75" s="164">
        <v>0</v>
      </c>
      <c r="Y75" s="164">
        <v>0</v>
      </c>
      <c r="Z75" s="164">
        <v>0</v>
      </c>
      <c r="AA75" s="164">
        <v>0</v>
      </c>
      <c r="AB75" s="164">
        <v>0</v>
      </c>
      <c r="AC75" s="164">
        <v>0</v>
      </c>
      <c r="AD75" s="164">
        <f t="shared" si="13"/>
        <v>0</v>
      </c>
      <c r="AE75" s="164">
        <v>440</v>
      </c>
      <c r="AF75" s="164">
        <v>3000</v>
      </c>
      <c r="AG75" s="164">
        <v>0</v>
      </c>
      <c r="AH75" s="164">
        <v>0</v>
      </c>
      <c r="AI75" s="164">
        <v>0</v>
      </c>
      <c r="AJ75" s="164">
        <v>0</v>
      </c>
      <c r="AK75" s="164">
        <v>0</v>
      </c>
      <c r="AL75" s="164">
        <v>0</v>
      </c>
      <c r="AM75" s="164">
        <f t="shared" si="14"/>
        <v>0</v>
      </c>
      <c r="AN75" s="164">
        <v>440</v>
      </c>
      <c r="AO75" s="164">
        <v>3000</v>
      </c>
      <c r="AP75" s="164">
        <v>0</v>
      </c>
      <c r="AQ75" s="164">
        <v>0</v>
      </c>
      <c r="AR75" s="164">
        <v>0</v>
      </c>
      <c r="AS75" s="164">
        <v>0</v>
      </c>
      <c r="AT75" s="164">
        <v>0</v>
      </c>
      <c r="AU75" s="164">
        <v>0</v>
      </c>
      <c r="AV75" s="164">
        <f t="shared" si="15"/>
        <v>0</v>
      </c>
      <c r="AW75" s="164">
        <v>440</v>
      </c>
      <c r="AX75" s="164">
        <v>3000</v>
      </c>
      <c r="AY75" s="164">
        <v>0</v>
      </c>
      <c r="AZ75" s="164">
        <v>0</v>
      </c>
      <c r="BA75" s="164">
        <v>0</v>
      </c>
      <c r="BB75" s="164">
        <v>0</v>
      </c>
      <c r="BC75" s="164">
        <v>0</v>
      </c>
      <c r="BD75" s="164">
        <v>0</v>
      </c>
      <c r="BE75" s="164">
        <f t="shared" si="16"/>
        <v>0</v>
      </c>
      <c r="BF75" s="164">
        <v>440</v>
      </c>
      <c r="BG75" s="164">
        <f>VLOOKUP(C75,薪酬明细!A:AC,29,0)</f>
        <v>3000</v>
      </c>
      <c r="BH75" s="164">
        <v>0</v>
      </c>
      <c r="BI75" s="164">
        <v>0</v>
      </c>
      <c r="BJ75" s="164">
        <v>0</v>
      </c>
      <c r="BK75" s="164">
        <v>0</v>
      </c>
      <c r="BL75" s="164">
        <v>0</v>
      </c>
      <c r="BM75" s="164">
        <v>0</v>
      </c>
      <c r="BN75" s="164">
        <f t="shared" si="17"/>
        <v>0</v>
      </c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  <c r="CR75" s="164"/>
      <c r="CS75" s="164"/>
      <c r="CT75" s="164"/>
      <c r="CU75" s="164"/>
      <c r="CV75" s="164"/>
      <c r="CW75" s="164"/>
      <c r="CX75" s="164"/>
      <c r="CY75" s="164"/>
      <c r="CZ75" s="164"/>
      <c r="DA75" s="164"/>
      <c r="DB75" s="164"/>
      <c r="DC75" s="164"/>
      <c r="DD75" s="164"/>
      <c r="DE75" s="164"/>
      <c r="DF75" s="164"/>
      <c r="DG75" s="164"/>
      <c r="DH75" s="164"/>
      <c r="DI75" s="164"/>
      <c r="DJ75" s="164"/>
      <c r="DK75" s="164"/>
      <c r="DL75" s="164"/>
      <c r="DM75" s="164"/>
      <c r="DN75" s="164"/>
      <c r="DO75" s="164"/>
      <c r="DP75" s="164"/>
      <c r="DQ75" s="164"/>
      <c r="DR75" s="163"/>
      <c r="DS75" s="164">
        <f t="shared" si="18"/>
        <v>18000</v>
      </c>
      <c r="DT75" s="164">
        <f t="shared" si="19"/>
        <v>0</v>
      </c>
      <c r="DU75" s="164">
        <f t="shared" si="20"/>
        <v>0</v>
      </c>
      <c r="DV75" s="164">
        <f t="shared" si="21"/>
        <v>2200</v>
      </c>
      <c r="DW75" s="166"/>
      <c r="DX75" s="153" t="str">
        <f>VLOOKUP(C75,薪酬明细!A:A,1,0)</f>
        <v>弈工分文化王建平</v>
      </c>
      <c r="DY75" s="153"/>
    </row>
    <row r="76" s="149" customFormat="1" spans="1:129">
      <c r="A76" s="163" t="s">
        <v>71</v>
      </c>
      <c r="B76" s="163" t="s">
        <v>520</v>
      </c>
      <c r="C76" s="164" t="str">
        <f t="shared" si="11"/>
        <v>开弈投资李萍萍</v>
      </c>
      <c r="D76" s="165">
        <v>46023</v>
      </c>
      <c r="E76" s="164">
        <v>22431.88</v>
      </c>
      <c r="F76" s="164">
        <v>2182.3</v>
      </c>
      <c r="G76" s="164">
        <v>0</v>
      </c>
      <c r="H76" s="164">
        <v>0</v>
      </c>
      <c r="I76" s="164">
        <v>0</v>
      </c>
      <c r="J76" s="164">
        <v>0</v>
      </c>
      <c r="K76" s="164">
        <v>0</v>
      </c>
      <c r="L76" s="164">
        <f t="shared" si="12"/>
        <v>0</v>
      </c>
      <c r="M76" s="164">
        <v>457.49</v>
      </c>
      <c r="N76" s="164"/>
      <c r="O76" s="164"/>
      <c r="P76" s="164"/>
      <c r="Q76" s="164"/>
      <c r="R76" s="164"/>
      <c r="S76" s="164"/>
      <c r="T76" s="164"/>
      <c r="U76" s="164"/>
      <c r="V76" s="164"/>
      <c r="W76" s="164">
        <v>15311.35</v>
      </c>
      <c r="X76" s="164">
        <v>2182.3</v>
      </c>
      <c r="Y76" s="164">
        <v>0</v>
      </c>
      <c r="Z76" s="164">
        <v>0</v>
      </c>
      <c r="AA76" s="164">
        <v>0</v>
      </c>
      <c r="AB76" s="164">
        <v>0</v>
      </c>
      <c r="AC76" s="164">
        <v>0</v>
      </c>
      <c r="AD76" s="164">
        <f t="shared" si="13"/>
        <v>0</v>
      </c>
      <c r="AE76" s="164">
        <v>243.87</v>
      </c>
      <c r="AF76" s="164">
        <v>22510.82</v>
      </c>
      <c r="AG76" s="164">
        <v>2182.3</v>
      </c>
      <c r="AH76" s="164">
        <v>0</v>
      </c>
      <c r="AI76" s="164">
        <v>0</v>
      </c>
      <c r="AJ76" s="164">
        <v>0</v>
      </c>
      <c r="AK76" s="164">
        <v>0</v>
      </c>
      <c r="AL76" s="164">
        <v>0</v>
      </c>
      <c r="AM76" s="164">
        <f t="shared" si="14"/>
        <v>0</v>
      </c>
      <c r="AN76" s="164">
        <v>649.36</v>
      </c>
      <c r="AO76" s="164">
        <v>16133.47</v>
      </c>
      <c r="AP76" s="164">
        <v>2182.3</v>
      </c>
      <c r="AQ76" s="164">
        <v>0</v>
      </c>
      <c r="AR76" s="164">
        <v>0</v>
      </c>
      <c r="AS76" s="164">
        <v>0</v>
      </c>
      <c r="AT76" s="164">
        <v>0</v>
      </c>
      <c r="AU76" s="164">
        <v>0</v>
      </c>
      <c r="AV76" s="164">
        <f t="shared" si="15"/>
        <v>0</v>
      </c>
      <c r="AW76" s="164">
        <v>895.11</v>
      </c>
      <c r="AX76" s="164">
        <v>30207.81</v>
      </c>
      <c r="AY76" s="164">
        <v>2182.3</v>
      </c>
      <c r="AZ76" s="164">
        <v>0</v>
      </c>
      <c r="BA76" s="164">
        <v>0</v>
      </c>
      <c r="BB76" s="164">
        <v>0</v>
      </c>
      <c r="BC76" s="164">
        <v>0</v>
      </c>
      <c r="BD76" s="164">
        <v>0</v>
      </c>
      <c r="BE76" s="164">
        <f t="shared" si="16"/>
        <v>0</v>
      </c>
      <c r="BF76" s="164">
        <v>2302.55</v>
      </c>
      <c r="BG76" s="164">
        <f>VLOOKUP(C76,薪酬明细!A:AC,29,0)</f>
        <v>21748.75</v>
      </c>
      <c r="BH76" s="164">
        <v>2182.3</v>
      </c>
      <c r="BI76" s="164">
        <v>0</v>
      </c>
      <c r="BJ76" s="164">
        <v>0</v>
      </c>
      <c r="BK76" s="164">
        <v>0</v>
      </c>
      <c r="BL76" s="164">
        <v>0</v>
      </c>
      <c r="BM76" s="164">
        <v>0</v>
      </c>
      <c r="BN76" s="164">
        <f t="shared" si="17"/>
        <v>0</v>
      </c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  <c r="CR76" s="164"/>
      <c r="CS76" s="164"/>
      <c r="CT76" s="164"/>
      <c r="CU76" s="164"/>
      <c r="CV76" s="164"/>
      <c r="CW76" s="164"/>
      <c r="CX76" s="164"/>
      <c r="CY76" s="164"/>
      <c r="CZ76" s="164"/>
      <c r="DA76" s="164"/>
      <c r="DB76" s="164"/>
      <c r="DC76" s="164"/>
      <c r="DD76" s="164"/>
      <c r="DE76" s="164"/>
      <c r="DF76" s="164"/>
      <c r="DG76" s="164"/>
      <c r="DH76" s="164"/>
      <c r="DI76" s="164"/>
      <c r="DJ76" s="164"/>
      <c r="DK76" s="164"/>
      <c r="DL76" s="164"/>
      <c r="DM76" s="164"/>
      <c r="DN76" s="164"/>
      <c r="DO76" s="164"/>
      <c r="DP76" s="164"/>
      <c r="DQ76" s="164"/>
      <c r="DR76" s="163"/>
      <c r="DS76" s="164">
        <f t="shared" si="18"/>
        <v>128344.08</v>
      </c>
      <c r="DT76" s="164">
        <f t="shared" si="19"/>
        <v>13093.8</v>
      </c>
      <c r="DU76" s="164">
        <f t="shared" si="20"/>
        <v>0</v>
      </c>
      <c r="DV76" s="164">
        <f t="shared" si="21"/>
        <v>4548.38</v>
      </c>
      <c r="DW76" s="166"/>
      <c r="DX76" s="153" t="str">
        <f>VLOOKUP(C76,薪酬明细!A:A,1,0)</f>
        <v>开弈投资李萍萍</v>
      </c>
      <c r="DY76" s="153"/>
    </row>
    <row r="77" s="149" customFormat="1" spans="1:129">
      <c r="A77" s="163" t="s">
        <v>72</v>
      </c>
      <c r="B77" s="163" t="s">
        <v>525</v>
      </c>
      <c r="C77" s="164" t="str">
        <f t="shared" si="11"/>
        <v>弈工分信息武敏辉</v>
      </c>
      <c r="D77" s="165">
        <v>46023</v>
      </c>
      <c r="E77" s="164">
        <v>20435.85</v>
      </c>
      <c r="F77" s="164">
        <v>1687.5</v>
      </c>
      <c r="G77" s="164">
        <v>0</v>
      </c>
      <c r="H77" s="164"/>
      <c r="I77" s="164">
        <v>0</v>
      </c>
      <c r="J77" s="164">
        <v>3000</v>
      </c>
      <c r="K77" s="164">
        <v>0</v>
      </c>
      <c r="L77" s="164">
        <f t="shared" si="12"/>
        <v>3000</v>
      </c>
      <c r="M77" s="164">
        <v>322.45</v>
      </c>
      <c r="N77" s="164"/>
      <c r="O77" s="164"/>
      <c r="P77" s="164"/>
      <c r="Q77" s="164"/>
      <c r="R77" s="164"/>
      <c r="S77" s="164"/>
      <c r="T77" s="164"/>
      <c r="U77" s="164"/>
      <c r="V77" s="164"/>
      <c r="W77" s="164">
        <v>14023.85</v>
      </c>
      <c r="X77" s="164">
        <v>1687.5</v>
      </c>
      <c r="Y77" s="164">
        <v>0</v>
      </c>
      <c r="Z77" s="164"/>
      <c r="AA77" s="164">
        <v>0</v>
      </c>
      <c r="AB77" s="164">
        <v>3000</v>
      </c>
      <c r="AC77" s="164">
        <v>0</v>
      </c>
      <c r="AD77" s="164">
        <f t="shared" si="13"/>
        <v>3000</v>
      </c>
      <c r="AE77" s="164">
        <v>130.09</v>
      </c>
      <c r="AF77" s="164">
        <v>27158.47</v>
      </c>
      <c r="AG77" s="164">
        <v>1687.5</v>
      </c>
      <c r="AH77" s="164">
        <v>0</v>
      </c>
      <c r="AI77" s="164"/>
      <c r="AJ77" s="164">
        <v>0</v>
      </c>
      <c r="AK77" s="164">
        <v>3000</v>
      </c>
      <c r="AL77" s="164">
        <v>0</v>
      </c>
      <c r="AM77" s="164">
        <f t="shared" si="14"/>
        <v>3000</v>
      </c>
      <c r="AN77" s="164">
        <v>524.13</v>
      </c>
      <c r="AO77" s="164">
        <v>15924.18</v>
      </c>
      <c r="AP77" s="164">
        <v>1687.5</v>
      </c>
      <c r="AQ77" s="164">
        <v>0</v>
      </c>
      <c r="AR77" s="164"/>
      <c r="AS77" s="164">
        <v>0</v>
      </c>
      <c r="AT77" s="164">
        <v>3000</v>
      </c>
      <c r="AU77" s="164">
        <v>0</v>
      </c>
      <c r="AV77" s="164">
        <f t="shared" si="15"/>
        <v>3000</v>
      </c>
      <c r="AW77" s="164">
        <v>382.57</v>
      </c>
      <c r="AX77" s="164">
        <v>24899.67</v>
      </c>
      <c r="AY77" s="164">
        <v>1687.5</v>
      </c>
      <c r="AZ77" s="164">
        <v>0</v>
      </c>
      <c r="BA77" s="164"/>
      <c r="BB77" s="164">
        <v>0</v>
      </c>
      <c r="BC77" s="164">
        <v>3000</v>
      </c>
      <c r="BD77" s="164">
        <v>0</v>
      </c>
      <c r="BE77" s="164">
        <f t="shared" si="16"/>
        <v>3000</v>
      </c>
      <c r="BF77" s="164">
        <v>1521.21</v>
      </c>
      <c r="BG77" s="164">
        <f>VLOOKUP(C77,薪酬明细!A:AC,29,0)</f>
        <v>21497.71</v>
      </c>
      <c r="BH77" s="164">
        <v>1687.5</v>
      </c>
      <c r="BI77" s="164">
        <v>0</v>
      </c>
      <c r="BJ77" s="164"/>
      <c r="BK77" s="164">
        <v>0</v>
      </c>
      <c r="BL77" s="164">
        <v>3000</v>
      </c>
      <c r="BM77" s="164">
        <v>0</v>
      </c>
      <c r="BN77" s="164">
        <f t="shared" si="17"/>
        <v>3000</v>
      </c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  <c r="CR77" s="164"/>
      <c r="CS77" s="164"/>
      <c r="CT77" s="164"/>
      <c r="CU77" s="164"/>
      <c r="CV77" s="164"/>
      <c r="CW77" s="164"/>
      <c r="CX77" s="164"/>
      <c r="CY77" s="164"/>
      <c r="CZ77" s="164"/>
      <c r="DA77" s="164"/>
      <c r="DB77" s="164"/>
      <c r="DC77" s="164"/>
      <c r="DD77" s="164"/>
      <c r="DE77" s="164"/>
      <c r="DF77" s="164"/>
      <c r="DG77" s="164"/>
      <c r="DH77" s="164"/>
      <c r="DI77" s="164"/>
      <c r="DJ77" s="164"/>
      <c r="DK77" s="164"/>
      <c r="DL77" s="164"/>
      <c r="DM77" s="164"/>
      <c r="DN77" s="164"/>
      <c r="DO77" s="164"/>
      <c r="DP77" s="164"/>
      <c r="DQ77" s="164"/>
      <c r="DR77" s="163"/>
      <c r="DS77" s="164">
        <f t="shared" si="18"/>
        <v>123939.73</v>
      </c>
      <c r="DT77" s="164">
        <f t="shared" si="19"/>
        <v>10125</v>
      </c>
      <c r="DU77" s="164">
        <f t="shared" si="20"/>
        <v>18000</v>
      </c>
      <c r="DV77" s="164">
        <f t="shared" si="21"/>
        <v>2880.45</v>
      </c>
      <c r="DW77" s="166"/>
      <c r="DX77" s="153" t="str">
        <f>VLOOKUP(C77,薪酬明细!A:A,1,0)</f>
        <v>弈工分信息武敏辉</v>
      </c>
      <c r="DY77" s="153"/>
    </row>
    <row r="78" s="149" customFormat="1" spans="1:129">
      <c r="A78" s="163" t="s">
        <v>72</v>
      </c>
      <c r="B78" s="163" t="s">
        <v>270</v>
      </c>
      <c r="C78" s="164" t="str">
        <f t="shared" si="11"/>
        <v>弈工分信息王倩</v>
      </c>
      <c r="D78" s="165">
        <v>46023</v>
      </c>
      <c r="E78" s="164">
        <v>21311.88</v>
      </c>
      <c r="F78" s="164">
        <v>2625</v>
      </c>
      <c r="G78" s="164">
        <v>0</v>
      </c>
      <c r="H78" s="164">
        <v>0</v>
      </c>
      <c r="I78" s="164">
        <v>0</v>
      </c>
      <c r="J78" s="164">
        <v>0</v>
      </c>
      <c r="K78" s="164">
        <v>0</v>
      </c>
      <c r="L78" s="164">
        <f t="shared" si="12"/>
        <v>0</v>
      </c>
      <c r="M78" s="164">
        <v>410.61</v>
      </c>
      <c r="N78" s="164"/>
      <c r="O78" s="164"/>
      <c r="P78" s="164"/>
      <c r="Q78" s="164"/>
      <c r="R78" s="164"/>
      <c r="S78" s="164"/>
      <c r="T78" s="164"/>
      <c r="U78" s="164"/>
      <c r="V78" s="164"/>
      <c r="W78" s="164">
        <v>21257.28</v>
      </c>
      <c r="X78" s="164">
        <v>2625</v>
      </c>
      <c r="Y78" s="164">
        <v>0</v>
      </c>
      <c r="Z78" s="164">
        <v>0</v>
      </c>
      <c r="AA78" s="164">
        <v>0</v>
      </c>
      <c r="AB78" s="164">
        <v>0</v>
      </c>
      <c r="AC78" s="164">
        <v>0</v>
      </c>
      <c r="AD78" s="164">
        <f t="shared" si="13"/>
        <v>0</v>
      </c>
      <c r="AE78" s="164">
        <v>408.96</v>
      </c>
      <c r="AF78" s="164">
        <v>56017.5</v>
      </c>
      <c r="AG78" s="164">
        <v>2625</v>
      </c>
      <c r="AH78" s="164">
        <v>0</v>
      </c>
      <c r="AI78" s="164">
        <v>0</v>
      </c>
      <c r="AJ78" s="164">
        <v>0</v>
      </c>
      <c r="AK78" s="164">
        <v>0</v>
      </c>
      <c r="AL78" s="164">
        <v>0</v>
      </c>
      <c r="AM78" s="164">
        <f t="shared" si="14"/>
        <v>0</v>
      </c>
      <c r="AN78" s="164">
        <v>4231.6</v>
      </c>
      <c r="AO78" s="164">
        <v>31152.14</v>
      </c>
      <c r="AP78" s="164">
        <v>2625</v>
      </c>
      <c r="AQ78" s="164">
        <v>0</v>
      </c>
      <c r="AR78" s="164">
        <v>0</v>
      </c>
      <c r="AS78" s="164">
        <v>0</v>
      </c>
      <c r="AT78" s="164">
        <v>0</v>
      </c>
      <c r="AU78" s="164">
        <v>0</v>
      </c>
      <c r="AV78" s="164">
        <f t="shared" si="15"/>
        <v>0</v>
      </c>
      <c r="AW78" s="164">
        <v>2352.71</v>
      </c>
      <c r="AX78" s="164">
        <v>32425.68</v>
      </c>
      <c r="AY78" s="164">
        <v>2625</v>
      </c>
      <c r="AZ78" s="164">
        <v>0</v>
      </c>
      <c r="BA78" s="164">
        <v>0</v>
      </c>
      <c r="BB78" s="164">
        <v>0</v>
      </c>
      <c r="BC78" s="164">
        <v>0</v>
      </c>
      <c r="BD78" s="164">
        <v>0</v>
      </c>
      <c r="BE78" s="164">
        <f t="shared" si="16"/>
        <v>0</v>
      </c>
      <c r="BF78" s="164">
        <v>2480.07</v>
      </c>
      <c r="BG78" s="164">
        <f>VLOOKUP(C78,薪酬明细!A:AC,29,0)</f>
        <v>31904.32</v>
      </c>
      <c r="BH78" s="164">
        <v>2625</v>
      </c>
      <c r="BI78" s="164">
        <v>0</v>
      </c>
      <c r="BJ78" s="164">
        <v>0</v>
      </c>
      <c r="BK78" s="164">
        <v>0</v>
      </c>
      <c r="BL78" s="164">
        <v>0</v>
      </c>
      <c r="BM78" s="164">
        <v>0</v>
      </c>
      <c r="BN78" s="164">
        <f t="shared" si="17"/>
        <v>0</v>
      </c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  <c r="CR78" s="164"/>
      <c r="CS78" s="164"/>
      <c r="CT78" s="164"/>
      <c r="CU78" s="164"/>
      <c r="CV78" s="164"/>
      <c r="CW78" s="164"/>
      <c r="CX78" s="164"/>
      <c r="CY78" s="164"/>
      <c r="CZ78" s="164"/>
      <c r="DA78" s="164"/>
      <c r="DB78" s="164"/>
      <c r="DC78" s="164"/>
      <c r="DD78" s="164"/>
      <c r="DE78" s="164"/>
      <c r="DF78" s="164"/>
      <c r="DG78" s="164"/>
      <c r="DH78" s="164"/>
      <c r="DI78" s="164"/>
      <c r="DJ78" s="164"/>
      <c r="DK78" s="164"/>
      <c r="DL78" s="164"/>
      <c r="DM78" s="164"/>
      <c r="DN78" s="164"/>
      <c r="DO78" s="164"/>
      <c r="DP78" s="164"/>
      <c r="DQ78" s="164"/>
      <c r="DR78" s="163"/>
      <c r="DS78" s="164">
        <f t="shared" si="18"/>
        <v>194068.8</v>
      </c>
      <c r="DT78" s="164">
        <f t="shared" si="19"/>
        <v>15750</v>
      </c>
      <c r="DU78" s="164">
        <f t="shared" si="20"/>
        <v>0</v>
      </c>
      <c r="DV78" s="164">
        <f t="shared" si="21"/>
        <v>9883.95</v>
      </c>
      <c r="DW78" s="166"/>
      <c r="DX78" s="153" t="str">
        <f>VLOOKUP(C78,薪酬明细!A:A,1,0)</f>
        <v>弈工分信息王倩</v>
      </c>
      <c r="DY78" s="153"/>
    </row>
    <row r="79" s="149" customFormat="1" spans="1:129">
      <c r="A79" s="163" t="s">
        <v>72</v>
      </c>
      <c r="B79" s="163" t="s">
        <v>531</v>
      </c>
      <c r="C79" s="164" t="str">
        <f t="shared" si="11"/>
        <v>弈工分信息林知峰</v>
      </c>
      <c r="D79" s="165">
        <v>46023</v>
      </c>
      <c r="E79" s="164">
        <v>20144.85</v>
      </c>
      <c r="F79" s="164">
        <v>3500</v>
      </c>
      <c r="G79" s="164">
        <v>2000</v>
      </c>
      <c r="H79" s="164">
        <v>1000</v>
      </c>
      <c r="I79" s="164">
        <v>0</v>
      </c>
      <c r="J79" s="164">
        <v>3000</v>
      </c>
      <c r="K79" s="164">
        <v>0</v>
      </c>
      <c r="L79" s="164">
        <f t="shared" si="12"/>
        <v>6000</v>
      </c>
      <c r="M79" s="164">
        <v>169.35</v>
      </c>
      <c r="N79" s="164"/>
      <c r="O79" s="164"/>
      <c r="P79" s="164"/>
      <c r="Q79" s="164"/>
      <c r="R79" s="164"/>
      <c r="S79" s="164"/>
      <c r="T79" s="164"/>
      <c r="U79" s="164"/>
      <c r="V79" s="164"/>
      <c r="W79" s="164">
        <v>20000.9</v>
      </c>
      <c r="X79" s="164">
        <v>3500</v>
      </c>
      <c r="Y79" s="164">
        <v>2000</v>
      </c>
      <c r="Z79" s="164">
        <v>1000</v>
      </c>
      <c r="AA79" s="164">
        <v>0</v>
      </c>
      <c r="AB79" s="164">
        <v>3000</v>
      </c>
      <c r="AC79" s="164">
        <v>0</v>
      </c>
      <c r="AD79" s="164">
        <f t="shared" si="13"/>
        <v>6000</v>
      </c>
      <c r="AE79" s="164">
        <v>165.02</v>
      </c>
      <c r="AF79" s="164">
        <v>24602.14</v>
      </c>
      <c r="AG79" s="164">
        <v>3500</v>
      </c>
      <c r="AH79" s="164">
        <v>2000</v>
      </c>
      <c r="AI79" s="164">
        <v>1000</v>
      </c>
      <c r="AJ79" s="164">
        <v>0</v>
      </c>
      <c r="AK79" s="164">
        <v>3000</v>
      </c>
      <c r="AL79" s="164">
        <v>0</v>
      </c>
      <c r="AM79" s="164">
        <f t="shared" si="14"/>
        <v>6000</v>
      </c>
      <c r="AN79" s="164">
        <v>303.07</v>
      </c>
      <c r="AO79" s="164">
        <v>18999.32</v>
      </c>
      <c r="AP79" s="164">
        <v>3500</v>
      </c>
      <c r="AQ79" s="164">
        <v>2000</v>
      </c>
      <c r="AR79" s="164">
        <v>1000</v>
      </c>
      <c r="AS79" s="164">
        <v>0</v>
      </c>
      <c r="AT79" s="164">
        <v>3000</v>
      </c>
      <c r="AU79" s="164">
        <v>0</v>
      </c>
      <c r="AV79" s="164">
        <f t="shared" si="15"/>
        <v>6000</v>
      </c>
      <c r="AW79" s="164">
        <v>134.98</v>
      </c>
      <c r="AX79" s="164">
        <v>18336.63</v>
      </c>
      <c r="AY79" s="164">
        <v>3500</v>
      </c>
      <c r="AZ79" s="164">
        <v>2000</v>
      </c>
      <c r="BA79" s="164">
        <v>1000</v>
      </c>
      <c r="BB79" s="164">
        <v>0</v>
      </c>
      <c r="BC79" s="164">
        <v>3000</v>
      </c>
      <c r="BD79" s="164">
        <v>0</v>
      </c>
      <c r="BE79" s="164">
        <f t="shared" si="16"/>
        <v>6000</v>
      </c>
      <c r="BF79" s="164">
        <v>115.1</v>
      </c>
      <c r="BG79" s="164">
        <f>VLOOKUP(C79,薪酬明细!A:AC,29,0)</f>
        <v>19614.2</v>
      </c>
      <c r="BH79" s="164">
        <v>3500</v>
      </c>
      <c r="BI79" s="164">
        <v>2000</v>
      </c>
      <c r="BJ79" s="164">
        <v>1000</v>
      </c>
      <c r="BK79" s="164">
        <v>0</v>
      </c>
      <c r="BL79" s="164">
        <v>3000</v>
      </c>
      <c r="BM79" s="164">
        <v>0</v>
      </c>
      <c r="BN79" s="164">
        <f t="shared" si="17"/>
        <v>6000</v>
      </c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  <c r="CR79" s="164"/>
      <c r="CS79" s="164"/>
      <c r="CT79" s="164"/>
      <c r="CU79" s="164"/>
      <c r="CV79" s="164"/>
      <c r="CW79" s="164"/>
      <c r="CX79" s="164"/>
      <c r="CY79" s="164"/>
      <c r="CZ79" s="164"/>
      <c r="DA79" s="164"/>
      <c r="DB79" s="164"/>
      <c r="DC79" s="164"/>
      <c r="DD79" s="164"/>
      <c r="DE79" s="164"/>
      <c r="DF79" s="164"/>
      <c r="DG79" s="164"/>
      <c r="DH79" s="164"/>
      <c r="DI79" s="164"/>
      <c r="DJ79" s="164"/>
      <c r="DK79" s="164"/>
      <c r="DL79" s="164"/>
      <c r="DM79" s="164"/>
      <c r="DN79" s="164"/>
      <c r="DO79" s="164"/>
      <c r="DP79" s="164"/>
      <c r="DQ79" s="164"/>
      <c r="DR79" s="163"/>
      <c r="DS79" s="164">
        <f t="shared" si="18"/>
        <v>121698.04</v>
      </c>
      <c r="DT79" s="164">
        <f t="shared" si="19"/>
        <v>21000</v>
      </c>
      <c r="DU79" s="164">
        <f t="shared" si="20"/>
        <v>36000</v>
      </c>
      <c r="DV79" s="164">
        <f t="shared" si="21"/>
        <v>887.52</v>
      </c>
      <c r="DW79" s="166"/>
      <c r="DX79" s="153" t="str">
        <f>VLOOKUP(C79,薪酬明细!A:A,1,0)</f>
        <v>弈工分信息林知峰</v>
      </c>
      <c r="DY79" s="153"/>
    </row>
    <row r="80" s="149" customFormat="1" spans="1:129">
      <c r="A80" s="163" t="s">
        <v>72</v>
      </c>
      <c r="B80" s="163" t="s">
        <v>569</v>
      </c>
      <c r="C80" s="164" t="str">
        <f t="shared" si="11"/>
        <v>弈工分信息王力</v>
      </c>
      <c r="D80" s="165">
        <v>46023</v>
      </c>
      <c r="E80" s="164">
        <v>12334.85</v>
      </c>
      <c r="F80" s="164">
        <v>1300.3</v>
      </c>
      <c r="G80" s="164">
        <v>0</v>
      </c>
      <c r="H80" s="164">
        <v>0</v>
      </c>
      <c r="I80" s="164">
        <v>0</v>
      </c>
      <c r="J80" s="164">
        <v>3000</v>
      </c>
      <c r="K80" s="164">
        <v>0</v>
      </c>
      <c r="L80" s="164">
        <f t="shared" si="12"/>
        <v>3000</v>
      </c>
      <c r="M80" s="164">
        <v>91.04</v>
      </c>
      <c r="N80" s="164"/>
      <c r="O80" s="164"/>
      <c r="P80" s="164"/>
      <c r="Q80" s="164"/>
      <c r="R80" s="164"/>
      <c r="S80" s="164"/>
      <c r="T80" s="164"/>
      <c r="U80" s="164"/>
      <c r="V80" s="164"/>
      <c r="W80" s="164">
        <v>9989.87</v>
      </c>
      <c r="X80" s="164">
        <v>1300.3</v>
      </c>
      <c r="Y80" s="164">
        <v>0</v>
      </c>
      <c r="Z80" s="164">
        <v>0</v>
      </c>
      <c r="AA80" s="164">
        <v>0</v>
      </c>
      <c r="AB80" s="164">
        <v>3000</v>
      </c>
      <c r="AC80" s="164">
        <v>0</v>
      </c>
      <c r="AD80" s="164">
        <f t="shared" si="13"/>
        <v>3000</v>
      </c>
      <c r="AE80" s="164">
        <v>20.68</v>
      </c>
      <c r="AF80" s="164">
        <v>27330.17</v>
      </c>
      <c r="AG80" s="164">
        <v>1300.3</v>
      </c>
      <c r="AH80" s="164">
        <v>0</v>
      </c>
      <c r="AI80" s="164">
        <v>0</v>
      </c>
      <c r="AJ80" s="164">
        <v>0</v>
      </c>
      <c r="AK80" s="164">
        <v>3000</v>
      </c>
      <c r="AL80" s="164">
        <v>0</v>
      </c>
      <c r="AM80" s="164">
        <f t="shared" si="14"/>
        <v>3000</v>
      </c>
      <c r="AN80" s="164">
        <v>540.9</v>
      </c>
      <c r="AO80" s="164">
        <v>16315.99</v>
      </c>
      <c r="AP80" s="164">
        <v>1300.3</v>
      </c>
      <c r="AQ80" s="164">
        <v>0</v>
      </c>
      <c r="AR80" s="164">
        <v>0</v>
      </c>
      <c r="AS80" s="164">
        <v>0</v>
      </c>
      <c r="AT80" s="164">
        <v>3000</v>
      </c>
      <c r="AU80" s="164">
        <v>0</v>
      </c>
      <c r="AV80" s="164">
        <f t="shared" si="15"/>
        <v>3000</v>
      </c>
      <c r="AW80" s="164">
        <v>210.47</v>
      </c>
      <c r="AX80" s="164">
        <v>20278.41</v>
      </c>
      <c r="AY80" s="164">
        <v>1300.3</v>
      </c>
      <c r="AZ80" s="164">
        <v>0</v>
      </c>
      <c r="BA80" s="164">
        <v>0</v>
      </c>
      <c r="BB80" s="164">
        <v>0</v>
      </c>
      <c r="BC80" s="164">
        <v>3000</v>
      </c>
      <c r="BD80" s="164">
        <v>0</v>
      </c>
      <c r="BE80" s="164">
        <f t="shared" si="16"/>
        <v>3000</v>
      </c>
      <c r="BF80" s="164">
        <v>591.69</v>
      </c>
      <c r="BG80" s="164">
        <f>VLOOKUP(C80,薪酬明细!A:AC,29,0)</f>
        <v>13946.53</v>
      </c>
      <c r="BH80" s="164">
        <v>1300.3</v>
      </c>
      <c r="BI80" s="164">
        <v>0</v>
      </c>
      <c r="BJ80" s="164">
        <v>0</v>
      </c>
      <c r="BK80" s="164">
        <v>0</v>
      </c>
      <c r="BL80" s="164">
        <v>3000</v>
      </c>
      <c r="BM80" s="164">
        <v>0</v>
      </c>
      <c r="BN80" s="164">
        <f t="shared" si="17"/>
        <v>3000</v>
      </c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  <c r="CR80" s="164"/>
      <c r="CS80" s="164"/>
      <c r="CT80" s="164"/>
      <c r="CU80" s="164"/>
      <c r="CV80" s="164"/>
      <c r="CW80" s="164"/>
      <c r="CX80" s="164"/>
      <c r="CY80" s="164"/>
      <c r="CZ80" s="164"/>
      <c r="DA80" s="164"/>
      <c r="DB80" s="164"/>
      <c r="DC80" s="164"/>
      <c r="DD80" s="164"/>
      <c r="DE80" s="164"/>
      <c r="DF80" s="164"/>
      <c r="DG80" s="164"/>
      <c r="DH80" s="164"/>
      <c r="DI80" s="164"/>
      <c r="DJ80" s="164"/>
      <c r="DK80" s="164"/>
      <c r="DL80" s="164"/>
      <c r="DM80" s="164"/>
      <c r="DN80" s="164"/>
      <c r="DO80" s="164"/>
      <c r="DP80" s="164"/>
      <c r="DQ80" s="164"/>
      <c r="DR80" s="163"/>
      <c r="DS80" s="164">
        <f t="shared" si="18"/>
        <v>100195.82</v>
      </c>
      <c r="DT80" s="164">
        <f t="shared" si="19"/>
        <v>7801.8</v>
      </c>
      <c r="DU80" s="164">
        <f t="shared" si="20"/>
        <v>18000</v>
      </c>
      <c r="DV80" s="164">
        <f t="shared" si="21"/>
        <v>1454.78</v>
      </c>
      <c r="DW80" s="166"/>
      <c r="DX80" s="153" t="str">
        <f>VLOOKUP(C80,薪酬明细!A:A,1,0)</f>
        <v>弈工分信息王力</v>
      </c>
      <c r="DY80" s="153"/>
    </row>
    <row r="81" s="149" customFormat="1" spans="1:129">
      <c r="A81" s="163" t="s">
        <v>72</v>
      </c>
      <c r="B81" s="163" t="s">
        <v>345</v>
      </c>
      <c r="C81" s="164" t="str">
        <f t="shared" si="11"/>
        <v>弈工分信息方有保</v>
      </c>
      <c r="D81" s="165">
        <v>46023</v>
      </c>
      <c r="E81" s="164">
        <v>11644.85</v>
      </c>
      <c r="F81" s="164">
        <v>1627.5</v>
      </c>
      <c r="G81" s="164">
        <v>0</v>
      </c>
      <c r="H81" s="164">
        <v>0</v>
      </c>
      <c r="I81" s="164">
        <v>1500</v>
      </c>
      <c r="J81" s="164">
        <v>1500</v>
      </c>
      <c r="K81" s="164">
        <v>0</v>
      </c>
      <c r="L81" s="164">
        <f t="shared" si="12"/>
        <v>3000</v>
      </c>
      <c r="M81" s="164">
        <v>60.52</v>
      </c>
      <c r="N81" s="164"/>
      <c r="O81" s="164"/>
      <c r="P81" s="164"/>
      <c r="Q81" s="164"/>
      <c r="R81" s="164"/>
      <c r="S81" s="164"/>
      <c r="T81" s="164"/>
      <c r="U81" s="164"/>
      <c r="V81" s="164"/>
      <c r="W81" s="164">
        <v>9416.15</v>
      </c>
      <c r="X81" s="164">
        <v>1627.5</v>
      </c>
      <c r="Y81" s="164">
        <v>0</v>
      </c>
      <c r="Z81" s="164">
        <v>0</v>
      </c>
      <c r="AA81" s="164">
        <v>1500</v>
      </c>
      <c r="AB81" s="164">
        <v>1500</v>
      </c>
      <c r="AC81" s="164">
        <v>0</v>
      </c>
      <c r="AD81" s="164">
        <f t="shared" si="13"/>
        <v>3000</v>
      </c>
      <c r="AE81" s="164"/>
      <c r="AF81" s="164">
        <v>26644.85</v>
      </c>
      <c r="AG81" s="164">
        <v>1627.5</v>
      </c>
      <c r="AH81" s="164">
        <v>0</v>
      </c>
      <c r="AI81" s="164">
        <v>0</v>
      </c>
      <c r="AJ81" s="164">
        <v>1500</v>
      </c>
      <c r="AK81" s="164">
        <v>1500</v>
      </c>
      <c r="AL81" s="164">
        <v>0</v>
      </c>
      <c r="AM81" s="164">
        <f t="shared" si="14"/>
        <v>3000</v>
      </c>
      <c r="AN81" s="164">
        <v>504.18</v>
      </c>
      <c r="AO81" s="164">
        <v>16655.8</v>
      </c>
      <c r="AP81" s="164">
        <v>1627.5</v>
      </c>
      <c r="AQ81" s="164">
        <v>0</v>
      </c>
      <c r="AR81" s="164">
        <v>0</v>
      </c>
      <c r="AS81" s="164">
        <v>1500</v>
      </c>
      <c r="AT81" s="164">
        <v>1500</v>
      </c>
      <c r="AU81" s="164">
        <v>0</v>
      </c>
      <c r="AV81" s="164">
        <f t="shared" si="15"/>
        <v>3000</v>
      </c>
      <c r="AW81" s="164">
        <v>210.85</v>
      </c>
      <c r="AX81" s="164">
        <v>16655.8</v>
      </c>
      <c r="AY81" s="164">
        <v>1627.5</v>
      </c>
      <c r="AZ81" s="164">
        <v>0</v>
      </c>
      <c r="BA81" s="164">
        <v>0</v>
      </c>
      <c r="BB81" s="164">
        <v>1500</v>
      </c>
      <c r="BC81" s="164">
        <v>1500</v>
      </c>
      <c r="BD81" s="164">
        <v>0</v>
      </c>
      <c r="BE81" s="164">
        <f t="shared" si="16"/>
        <v>3000</v>
      </c>
      <c r="BF81" s="164">
        <v>210.85</v>
      </c>
      <c r="BG81" s="164">
        <f>VLOOKUP(C81,薪酬明细!A:AC,29,0)</f>
        <v>16955.8</v>
      </c>
      <c r="BH81" s="164">
        <v>1627.5</v>
      </c>
      <c r="BI81" s="164">
        <v>0</v>
      </c>
      <c r="BJ81" s="164">
        <v>0</v>
      </c>
      <c r="BK81" s="164">
        <v>1500</v>
      </c>
      <c r="BL81" s="164">
        <v>1500</v>
      </c>
      <c r="BM81" s="164">
        <v>0</v>
      </c>
      <c r="BN81" s="164">
        <f t="shared" si="17"/>
        <v>3000</v>
      </c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  <c r="CR81" s="164"/>
      <c r="CS81" s="164"/>
      <c r="CT81" s="164"/>
      <c r="CU81" s="164"/>
      <c r="CV81" s="164"/>
      <c r="CW81" s="164"/>
      <c r="CX81" s="164"/>
      <c r="CY81" s="164"/>
      <c r="CZ81" s="164"/>
      <c r="DA81" s="164"/>
      <c r="DB81" s="164"/>
      <c r="DC81" s="164"/>
      <c r="DD81" s="164"/>
      <c r="DE81" s="164"/>
      <c r="DF81" s="164"/>
      <c r="DG81" s="164"/>
      <c r="DH81" s="164"/>
      <c r="DI81" s="164"/>
      <c r="DJ81" s="164"/>
      <c r="DK81" s="164"/>
      <c r="DL81" s="164"/>
      <c r="DM81" s="164"/>
      <c r="DN81" s="164"/>
      <c r="DO81" s="164"/>
      <c r="DP81" s="164"/>
      <c r="DQ81" s="164"/>
      <c r="DR81" s="163"/>
      <c r="DS81" s="164">
        <f t="shared" si="18"/>
        <v>97973.25</v>
      </c>
      <c r="DT81" s="164">
        <f t="shared" si="19"/>
        <v>9765</v>
      </c>
      <c r="DU81" s="164">
        <f t="shared" si="20"/>
        <v>18000</v>
      </c>
      <c r="DV81" s="164">
        <f t="shared" si="21"/>
        <v>986.4</v>
      </c>
      <c r="DW81" s="166"/>
      <c r="DX81" s="153" t="str">
        <f>VLOOKUP(C81,薪酬明细!A:A,1,0)</f>
        <v>弈工分信息方有保</v>
      </c>
      <c r="DY81" s="153"/>
    </row>
    <row r="82" s="149" customFormat="1" spans="1:129">
      <c r="A82" s="163" t="s">
        <v>72</v>
      </c>
      <c r="B82" s="163" t="s">
        <v>533</v>
      </c>
      <c r="C82" s="164" t="str">
        <f t="shared" si="11"/>
        <v>弈工分信息罗俊尧</v>
      </c>
      <c r="D82" s="165">
        <v>46023</v>
      </c>
      <c r="E82" s="164">
        <v>7655.19</v>
      </c>
      <c r="F82" s="164">
        <v>1300.3</v>
      </c>
      <c r="G82" s="164">
        <v>0</v>
      </c>
      <c r="H82" s="164">
        <v>0</v>
      </c>
      <c r="I82" s="164">
        <v>0</v>
      </c>
      <c r="J82" s="164">
        <v>0</v>
      </c>
      <c r="K82" s="164">
        <v>0</v>
      </c>
      <c r="L82" s="164">
        <f t="shared" si="12"/>
        <v>0</v>
      </c>
      <c r="M82" s="164">
        <v>40.65</v>
      </c>
      <c r="N82" s="164"/>
      <c r="O82" s="164"/>
      <c r="P82" s="164"/>
      <c r="Q82" s="164"/>
      <c r="R82" s="164"/>
      <c r="S82" s="164"/>
      <c r="T82" s="164"/>
      <c r="U82" s="164"/>
      <c r="V82" s="164"/>
      <c r="W82" s="164">
        <v>6120.79</v>
      </c>
      <c r="X82" s="164">
        <v>1300.3</v>
      </c>
      <c r="Y82" s="164">
        <v>0</v>
      </c>
      <c r="Z82" s="164">
        <v>0</v>
      </c>
      <c r="AA82" s="164">
        <v>0</v>
      </c>
      <c r="AB82" s="164">
        <v>0</v>
      </c>
      <c r="AC82" s="164">
        <v>0</v>
      </c>
      <c r="AD82" s="164">
        <f t="shared" si="13"/>
        <v>0</v>
      </c>
      <c r="AE82" s="164"/>
      <c r="AF82" s="164">
        <v>23019.07</v>
      </c>
      <c r="AG82" s="164">
        <v>1300.3</v>
      </c>
      <c r="AH82" s="164">
        <v>0</v>
      </c>
      <c r="AI82" s="164">
        <v>0</v>
      </c>
      <c r="AJ82" s="164">
        <v>0</v>
      </c>
      <c r="AK82" s="164">
        <v>0</v>
      </c>
      <c r="AL82" s="164">
        <v>0</v>
      </c>
      <c r="AM82" s="164">
        <f t="shared" si="14"/>
        <v>0</v>
      </c>
      <c r="AN82" s="164">
        <v>496.17</v>
      </c>
      <c r="AO82" s="164">
        <v>6506.1</v>
      </c>
      <c r="AP82" s="164">
        <v>1300.3</v>
      </c>
      <c r="AQ82" s="164">
        <v>0</v>
      </c>
      <c r="AR82" s="164">
        <v>0</v>
      </c>
      <c r="AS82" s="164">
        <v>0</v>
      </c>
      <c r="AT82" s="164">
        <v>0</v>
      </c>
      <c r="AU82" s="164">
        <v>0</v>
      </c>
      <c r="AV82" s="164">
        <f t="shared" si="15"/>
        <v>0</v>
      </c>
      <c r="AW82" s="164">
        <v>6.18</v>
      </c>
      <c r="AX82" s="164">
        <v>12019.36</v>
      </c>
      <c r="AY82" s="164">
        <v>1300.3</v>
      </c>
      <c r="AZ82" s="164">
        <v>0</v>
      </c>
      <c r="BA82" s="164">
        <v>0</v>
      </c>
      <c r="BB82" s="164">
        <v>0</v>
      </c>
      <c r="BC82" s="164">
        <v>0</v>
      </c>
      <c r="BD82" s="164">
        <v>0</v>
      </c>
      <c r="BE82" s="164">
        <f t="shared" si="16"/>
        <v>0</v>
      </c>
      <c r="BF82" s="164">
        <v>171.57</v>
      </c>
      <c r="BG82" s="164">
        <f>VLOOKUP(C82,薪酬明细!A:AC,29,0)</f>
        <v>7579.03</v>
      </c>
      <c r="BH82" s="164">
        <v>1300.3</v>
      </c>
      <c r="BI82" s="164">
        <v>0</v>
      </c>
      <c r="BJ82" s="164">
        <v>0</v>
      </c>
      <c r="BK82" s="164">
        <v>0</v>
      </c>
      <c r="BL82" s="164">
        <v>0</v>
      </c>
      <c r="BM82" s="164">
        <v>0</v>
      </c>
      <c r="BN82" s="164">
        <f t="shared" si="17"/>
        <v>0</v>
      </c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  <c r="CR82" s="164"/>
      <c r="CS82" s="164"/>
      <c r="CT82" s="164"/>
      <c r="CU82" s="164"/>
      <c r="CV82" s="164"/>
      <c r="CW82" s="164"/>
      <c r="CX82" s="164"/>
      <c r="CY82" s="164"/>
      <c r="CZ82" s="164"/>
      <c r="DA82" s="164"/>
      <c r="DB82" s="164"/>
      <c r="DC82" s="164"/>
      <c r="DD82" s="164"/>
      <c r="DE82" s="164"/>
      <c r="DF82" s="164"/>
      <c r="DG82" s="164"/>
      <c r="DH82" s="164"/>
      <c r="DI82" s="164"/>
      <c r="DJ82" s="164"/>
      <c r="DK82" s="164"/>
      <c r="DL82" s="164"/>
      <c r="DM82" s="164"/>
      <c r="DN82" s="164"/>
      <c r="DO82" s="164"/>
      <c r="DP82" s="164"/>
      <c r="DQ82" s="164"/>
      <c r="DR82" s="163"/>
      <c r="DS82" s="164">
        <f t="shared" si="18"/>
        <v>62899.54</v>
      </c>
      <c r="DT82" s="164">
        <f t="shared" si="19"/>
        <v>7801.8</v>
      </c>
      <c r="DU82" s="164">
        <f t="shared" si="20"/>
        <v>0</v>
      </c>
      <c r="DV82" s="164">
        <f t="shared" si="21"/>
        <v>714.57</v>
      </c>
      <c r="DW82" s="166"/>
      <c r="DX82" s="153" t="str">
        <f>VLOOKUP(C82,薪酬明细!A:A,1,0)</f>
        <v>弈工分信息罗俊尧</v>
      </c>
      <c r="DY82" s="153"/>
    </row>
    <row r="83" s="149" customFormat="1" spans="1:129">
      <c r="A83" s="163" t="s">
        <v>72</v>
      </c>
      <c r="B83" s="163" t="s">
        <v>528</v>
      </c>
      <c r="C83" s="164" t="str">
        <f t="shared" si="11"/>
        <v>弈工分信息党红艳</v>
      </c>
      <c r="D83" s="165">
        <v>46023</v>
      </c>
      <c r="E83" s="164">
        <v>7444.85</v>
      </c>
      <c r="F83" s="164">
        <v>1300.3</v>
      </c>
      <c r="G83" s="164">
        <v>0</v>
      </c>
      <c r="H83" s="164">
        <v>0</v>
      </c>
      <c r="I83" s="164">
        <v>0</v>
      </c>
      <c r="J83" s="164">
        <v>0</v>
      </c>
      <c r="K83" s="164">
        <v>0</v>
      </c>
      <c r="L83" s="164">
        <f t="shared" si="12"/>
        <v>0</v>
      </c>
      <c r="M83" s="164">
        <v>34.34</v>
      </c>
      <c r="N83" s="164"/>
      <c r="O83" s="164"/>
      <c r="P83" s="164"/>
      <c r="Q83" s="164"/>
      <c r="R83" s="164"/>
      <c r="S83" s="164"/>
      <c r="T83" s="164"/>
      <c r="U83" s="164"/>
      <c r="V83" s="164"/>
      <c r="W83" s="164">
        <v>7258.05</v>
      </c>
      <c r="X83" s="164">
        <v>1300.3</v>
      </c>
      <c r="Y83" s="164">
        <v>0</v>
      </c>
      <c r="Z83" s="164">
        <v>0</v>
      </c>
      <c r="AA83" s="164">
        <v>0</v>
      </c>
      <c r="AB83" s="164">
        <v>0</v>
      </c>
      <c r="AC83" s="164">
        <v>0</v>
      </c>
      <c r="AD83" s="164">
        <f t="shared" si="13"/>
        <v>0</v>
      </c>
      <c r="AE83" s="164">
        <v>28.73</v>
      </c>
      <c r="AF83" s="164">
        <v>24384.7</v>
      </c>
      <c r="AG83" s="164">
        <v>1300.3</v>
      </c>
      <c r="AH83" s="164">
        <v>0</v>
      </c>
      <c r="AI83" s="164">
        <v>0</v>
      </c>
      <c r="AJ83" s="164">
        <v>0</v>
      </c>
      <c r="AK83" s="164">
        <v>0</v>
      </c>
      <c r="AL83" s="164">
        <v>0</v>
      </c>
      <c r="AM83" s="164">
        <f t="shared" si="14"/>
        <v>0</v>
      </c>
      <c r="AN83" s="164">
        <v>542.53</v>
      </c>
      <c r="AO83" s="164">
        <v>7512.22</v>
      </c>
      <c r="AP83" s="164">
        <v>1300.3</v>
      </c>
      <c r="AQ83" s="164">
        <v>0</v>
      </c>
      <c r="AR83" s="164">
        <v>0</v>
      </c>
      <c r="AS83" s="164">
        <v>0</v>
      </c>
      <c r="AT83" s="164">
        <v>0</v>
      </c>
      <c r="AU83" s="164">
        <v>0</v>
      </c>
      <c r="AV83" s="164">
        <f t="shared" si="15"/>
        <v>0</v>
      </c>
      <c r="AW83" s="164">
        <v>36.36</v>
      </c>
      <c r="AX83" s="164">
        <v>19016.26</v>
      </c>
      <c r="AY83" s="164">
        <v>1300.3</v>
      </c>
      <c r="AZ83" s="164">
        <v>0</v>
      </c>
      <c r="BA83" s="164">
        <v>0</v>
      </c>
      <c r="BB83" s="164">
        <v>0</v>
      </c>
      <c r="BC83" s="164">
        <v>0</v>
      </c>
      <c r="BD83" s="164">
        <v>0</v>
      </c>
      <c r="BE83" s="164">
        <f t="shared" si="16"/>
        <v>0</v>
      </c>
      <c r="BF83" s="164">
        <v>381.48</v>
      </c>
      <c r="BG83" s="164">
        <f>VLOOKUP(C83,薪酬明细!A:AC,29,0)</f>
        <v>7344.7</v>
      </c>
      <c r="BH83" s="164">
        <v>1300.3</v>
      </c>
      <c r="BI83" s="164">
        <v>0</v>
      </c>
      <c r="BJ83" s="164">
        <v>0</v>
      </c>
      <c r="BK83" s="164">
        <v>0</v>
      </c>
      <c r="BL83" s="164">
        <v>0</v>
      </c>
      <c r="BM83" s="164">
        <v>0</v>
      </c>
      <c r="BN83" s="164">
        <f t="shared" si="17"/>
        <v>0</v>
      </c>
      <c r="BO83" s="164"/>
      <c r="BP83" s="164"/>
      <c r="BQ83" s="164"/>
      <c r="BR83" s="164"/>
      <c r="BS83" s="164"/>
      <c r="BT83" s="164"/>
      <c r="BU83" s="164"/>
      <c r="BV83" s="164"/>
      <c r="BW83" s="164"/>
      <c r="BX83" s="164"/>
      <c r="BY83" s="164"/>
      <c r="BZ83" s="164"/>
      <c r="CA83" s="164"/>
      <c r="CB83" s="164"/>
      <c r="CC83" s="164"/>
      <c r="CD83" s="164"/>
      <c r="CE83" s="164"/>
      <c r="CF83" s="164"/>
      <c r="CG83" s="164"/>
      <c r="CH83" s="164"/>
      <c r="CI83" s="164"/>
      <c r="CJ83" s="164"/>
      <c r="CK83" s="164"/>
      <c r="CL83" s="164"/>
      <c r="CM83" s="164"/>
      <c r="CN83" s="164"/>
      <c r="CO83" s="164"/>
      <c r="CP83" s="164"/>
      <c r="CQ83" s="164"/>
      <c r="CR83" s="164"/>
      <c r="CS83" s="164"/>
      <c r="CT83" s="164"/>
      <c r="CU83" s="164"/>
      <c r="CV83" s="164"/>
      <c r="CW83" s="164"/>
      <c r="CX83" s="164"/>
      <c r="CY83" s="164"/>
      <c r="CZ83" s="164"/>
      <c r="DA83" s="164"/>
      <c r="DB83" s="164"/>
      <c r="DC83" s="164"/>
      <c r="DD83" s="164"/>
      <c r="DE83" s="164"/>
      <c r="DF83" s="164"/>
      <c r="DG83" s="164"/>
      <c r="DH83" s="164"/>
      <c r="DI83" s="164"/>
      <c r="DJ83" s="164"/>
      <c r="DK83" s="164"/>
      <c r="DL83" s="164"/>
      <c r="DM83" s="164"/>
      <c r="DN83" s="164"/>
      <c r="DO83" s="164"/>
      <c r="DP83" s="164"/>
      <c r="DQ83" s="164"/>
      <c r="DR83" s="163"/>
      <c r="DS83" s="164">
        <f t="shared" si="18"/>
        <v>72960.78</v>
      </c>
      <c r="DT83" s="164">
        <f t="shared" si="19"/>
        <v>7801.8</v>
      </c>
      <c r="DU83" s="164">
        <f t="shared" si="20"/>
        <v>0</v>
      </c>
      <c r="DV83" s="164">
        <f t="shared" si="21"/>
        <v>1023.44</v>
      </c>
      <c r="DW83" s="166"/>
      <c r="DX83" s="153" t="str">
        <f>VLOOKUP(C83,薪酬明细!A:A,1,0)</f>
        <v>弈工分信息党红艳</v>
      </c>
      <c r="DY83" s="153"/>
    </row>
    <row r="84" s="149" customFormat="1" spans="1:129">
      <c r="A84" s="163" t="s">
        <v>72</v>
      </c>
      <c r="B84" s="163" t="s">
        <v>547</v>
      </c>
      <c r="C84" s="164" t="str">
        <f t="shared" si="11"/>
        <v>弈工分信息吕相坠</v>
      </c>
      <c r="D84" s="165">
        <v>46023</v>
      </c>
      <c r="E84" s="164">
        <v>9890.83</v>
      </c>
      <c r="F84" s="164">
        <v>1300.3</v>
      </c>
      <c r="G84" s="164">
        <v>0</v>
      </c>
      <c r="H84" s="164">
        <v>0</v>
      </c>
      <c r="I84" s="164">
        <v>0</v>
      </c>
      <c r="J84" s="164">
        <v>1500</v>
      </c>
      <c r="K84" s="164">
        <v>0</v>
      </c>
      <c r="L84" s="164">
        <f t="shared" si="12"/>
        <v>1500</v>
      </c>
      <c r="M84" s="164">
        <v>62.72</v>
      </c>
      <c r="N84" s="164"/>
      <c r="O84" s="164"/>
      <c r="P84" s="164"/>
      <c r="Q84" s="164"/>
      <c r="R84" s="164"/>
      <c r="S84" s="164"/>
      <c r="T84" s="164"/>
      <c r="U84" s="164"/>
      <c r="V84" s="164"/>
      <c r="W84" s="164">
        <v>9033.59</v>
      </c>
      <c r="X84" s="164">
        <v>1300.3</v>
      </c>
      <c r="Y84" s="164">
        <v>0</v>
      </c>
      <c r="Z84" s="164">
        <v>0</v>
      </c>
      <c r="AA84" s="164">
        <v>0</v>
      </c>
      <c r="AB84" s="164">
        <v>1500</v>
      </c>
      <c r="AC84" s="164">
        <v>0</v>
      </c>
      <c r="AD84" s="164">
        <f t="shared" si="13"/>
        <v>1500</v>
      </c>
      <c r="AE84" s="164">
        <v>36.99</v>
      </c>
      <c r="AF84" s="164">
        <v>8872.43</v>
      </c>
      <c r="AG84" s="164">
        <v>1300.3</v>
      </c>
      <c r="AH84" s="164">
        <v>0</v>
      </c>
      <c r="AI84" s="164">
        <v>0</v>
      </c>
      <c r="AJ84" s="164">
        <v>0</v>
      </c>
      <c r="AK84" s="164">
        <v>1500</v>
      </c>
      <c r="AL84" s="164">
        <v>0</v>
      </c>
      <c r="AM84" s="164">
        <f t="shared" si="14"/>
        <v>1500</v>
      </c>
      <c r="AN84" s="164">
        <v>32.17</v>
      </c>
      <c r="AO84" s="164">
        <v>9642.01</v>
      </c>
      <c r="AP84" s="164">
        <v>1300.3</v>
      </c>
      <c r="AQ84" s="164">
        <v>0</v>
      </c>
      <c r="AR84" s="164">
        <v>0</v>
      </c>
      <c r="AS84" s="164">
        <v>0</v>
      </c>
      <c r="AT84" s="164">
        <v>1500</v>
      </c>
      <c r="AU84" s="164">
        <v>0</v>
      </c>
      <c r="AV84" s="164">
        <f t="shared" si="15"/>
        <v>1500</v>
      </c>
      <c r="AW84" s="164">
        <v>55.25</v>
      </c>
      <c r="AX84" s="164">
        <v>10510.97</v>
      </c>
      <c r="AY84" s="164">
        <v>1300.3</v>
      </c>
      <c r="AZ84" s="164">
        <v>0</v>
      </c>
      <c r="BA84" s="164">
        <v>0</v>
      </c>
      <c r="BB84" s="164">
        <v>0</v>
      </c>
      <c r="BC84" s="164">
        <v>1500</v>
      </c>
      <c r="BD84" s="164">
        <v>0</v>
      </c>
      <c r="BE84" s="164">
        <f t="shared" si="16"/>
        <v>1500</v>
      </c>
      <c r="BF84" s="164">
        <v>81.32</v>
      </c>
      <c r="BG84" s="164">
        <f>VLOOKUP(C84,薪酬明细!A:AC,29,0)</f>
        <v>9362.7</v>
      </c>
      <c r="BH84" s="164">
        <v>1300.3</v>
      </c>
      <c r="BI84" s="164">
        <v>0</v>
      </c>
      <c r="BJ84" s="164">
        <v>0</v>
      </c>
      <c r="BK84" s="164">
        <v>0</v>
      </c>
      <c r="BL84" s="164">
        <v>1500</v>
      </c>
      <c r="BM84" s="164">
        <v>0</v>
      </c>
      <c r="BN84" s="164">
        <f t="shared" si="17"/>
        <v>1500</v>
      </c>
      <c r="BO84" s="164"/>
      <c r="BP84" s="164"/>
      <c r="BQ84" s="164"/>
      <c r="BR84" s="164"/>
      <c r="BS84" s="164"/>
      <c r="BT84" s="164"/>
      <c r="BU84" s="164"/>
      <c r="BV84" s="164"/>
      <c r="BW84" s="164"/>
      <c r="BX84" s="164"/>
      <c r="BY84" s="164"/>
      <c r="BZ84" s="164"/>
      <c r="CA84" s="164"/>
      <c r="CB84" s="164"/>
      <c r="CC84" s="164"/>
      <c r="CD84" s="164"/>
      <c r="CE84" s="164"/>
      <c r="CF84" s="164"/>
      <c r="CG84" s="164"/>
      <c r="CH84" s="164"/>
      <c r="CI84" s="164"/>
      <c r="CJ84" s="164"/>
      <c r="CK84" s="164"/>
      <c r="CL84" s="164"/>
      <c r="CM84" s="164"/>
      <c r="CN84" s="164"/>
      <c r="CO84" s="164"/>
      <c r="CP84" s="164"/>
      <c r="CQ84" s="164"/>
      <c r="CR84" s="164"/>
      <c r="CS84" s="164"/>
      <c r="CT84" s="164"/>
      <c r="CU84" s="164"/>
      <c r="CV84" s="164"/>
      <c r="CW84" s="164"/>
      <c r="CX84" s="164"/>
      <c r="CY84" s="164"/>
      <c r="CZ84" s="164"/>
      <c r="DA84" s="164"/>
      <c r="DB84" s="164"/>
      <c r="DC84" s="164"/>
      <c r="DD84" s="164"/>
      <c r="DE84" s="164"/>
      <c r="DF84" s="164"/>
      <c r="DG84" s="164"/>
      <c r="DH84" s="164"/>
      <c r="DI84" s="164"/>
      <c r="DJ84" s="164"/>
      <c r="DK84" s="164"/>
      <c r="DL84" s="164"/>
      <c r="DM84" s="164"/>
      <c r="DN84" s="164"/>
      <c r="DO84" s="164"/>
      <c r="DP84" s="164"/>
      <c r="DQ84" s="164"/>
      <c r="DR84" s="163"/>
      <c r="DS84" s="164">
        <f t="shared" si="18"/>
        <v>57312.53</v>
      </c>
      <c r="DT84" s="164">
        <f t="shared" si="19"/>
        <v>7801.8</v>
      </c>
      <c r="DU84" s="164">
        <f t="shared" si="20"/>
        <v>9000</v>
      </c>
      <c r="DV84" s="164">
        <f t="shared" si="21"/>
        <v>268.45</v>
      </c>
      <c r="DW84" s="166"/>
      <c r="DX84" s="153" t="str">
        <f>VLOOKUP(C84,薪酬明细!A:A,1,0)</f>
        <v>弈工分信息吕相坠</v>
      </c>
      <c r="DY84" s="153"/>
    </row>
    <row r="85" s="149" customFormat="1" spans="1:129">
      <c r="A85" s="163" t="s">
        <v>72</v>
      </c>
      <c r="B85" s="163" t="s">
        <v>549</v>
      </c>
      <c r="C85" s="164" t="str">
        <f t="shared" si="11"/>
        <v>弈工分信息朱鑫沛</v>
      </c>
      <c r="D85" s="165">
        <v>46023</v>
      </c>
      <c r="E85" s="164">
        <v>6600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64">
        <v>0</v>
      </c>
      <c r="L85" s="164">
        <f t="shared" si="12"/>
        <v>0</v>
      </c>
      <c r="M85" s="164">
        <v>1056</v>
      </c>
      <c r="N85" s="164"/>
      <c r="O85" s="164"/>
      <c r="P85" s="164"/>
      <c r="Q85" s="164"/>
      <c r="R85" s="164"/>
      <c r="S85" s="164"/>
      <c r="T85" s="164"/>
      <c r="U85" s="164"/>
      <c r="V85" s="164"/>
      <c r="W85" s="164">
        <v>5320.92</v>
      </c>
      <c r="X85" s="164">
        <v>0</v>
      </c>
      <c r="Y85" s="164">
        <v>0</v>
      </c>
      <c r="Z85" s="164">
        <v>0</v>
      </c>
      <c r="AA85" s="164">
        <v>0</v>
      </c>
      <c r="AB85" s="164">
        <v>0</v>
      </c>
      <c r="AC85" s="164">
        <v>0</v>
      </c>
      <c r="AD85" s="164">
        <f t="shared" si="13"/>
        <v>0</v>
      </c>
      <c r="AE85" s="164">
        <v>851.35</v>
      </c>
      <c r="AF85" s="164">
        <v>6473.08</v>
      </c>
      <c r="AG85" s="164">
        <v>0</v>
      </c>
      <c r="AH85" s="164">
        <v>0</v>
      </c>
      <c r="AI85" s="164">
        <v>0</v>
      </c>
      <c r="AJ85" s="164">
        <v>0</v>
      </c>
      <c r="AK85" s="164">
        <v>0</v>
      </c>
      <c r="AL85" s="164">
        <v>0</v>
      </c>
      <c r="AM85" s="164">
        <f t="shared" si="14"/>
        <v>0</v>
      </c>
      <c r="AN85" s="164">
        <v>1630.37</v>
      </c>
      <c r="AO85" s="164">
        <v>6600</v>
      </c>
      <c r="AP85" s="164">
        <v>0</v>
      </c>
      <c r="AQ85" s="164">
        <v>0</v>
      </c>
      <c r="AR85" s="164">
        <v>0</v>
      </c>
      <c r="AS85" s="164">
        <v>0</v>
      </c>
      <c r="AT85" s="164">
        <v>0</v>
      </c>
      <c r="AU85" s="164">
        <v>0</v>
      </c>
      <c r="AV85" s="164">
        <f t="shared" si="15"/>
        <v>0</v>
      </c>
      <c r="AW85" s="164">
        <v>1056</v>
      </c>
      <c r="AX85" s="164">
        <v>8123.08</v>
      </c>
      <c r="AY85" s="164">
        <v>0</v>
      </c>
      <c r="AZ85" s="164">
        <v>0</v>
      </c>
      <c r="BA85" s="164">
        <v>0</v>
      </c>
      <c r="BB85" s="164">
        <v>0</v>
      </c>
      <c r="BC85" s="164">
        <v>0</v>
      </c>
      <c r="BD85" s="164">
        <v>0</v>
      </c>
      <c r="BE85" s="164">
        <f t="shared" si="16"/>
        <v>0</v>
      </c>
      <c r="BF85" s="164">
        <v>1299.69</v>
      </c>
      <c r="BG85" s="164">
        <f>VLOOKUP(C85,薪酬明细!A:AC,29,0)</f>
        <v>6900</v>
      </c>
      <c r="BH85" s="164">
        <v>0</v>
      </c>
      <c r="BI85" s="164">
        <v>0</v>
      </c>
      <c r="BJ85" s="164">
        <v>0</v>
      </c>
      <c r="BK85" s="164">
        <v>0</v>
      </c>
      <c r="BL85" s="164">
        <v>0</v>
      </c>
      <c r="BM85" s="164">
        <v>0</v>
      </c>
      <c r="BN85" s="164">
        <f t="shared" si="17"/>
        <v>0</v>
      </c>
      <c r="BO85" s="164"/>
      <c r="BP85" s="164"/>
      <c r="BQ85" s="164"/>
      <c r="BR85" s="164"/>
      <c r="BS85" s="164"/>
      <c r="BT85" s="164"/>
      <c r="BU85" s="164"/>
      <c r="BV85" s="164"/>
      <c r="BW85" s="164"/>
      <c r="BX85" s="164"/>
      <c r="BY85" s="164"/>
      <c r="BZ85" s="164"/>
      <c r="CA85" s="164"/>
      <c r="CB85" s="164"/>
      <c r="CC85" s="164"/>
      <c r="CD85" s="164"/>
      <c r="CE85" s="164"/>
      <c r="CF85" s="164"/>
      <c r="CG85" s="164"/>
      <c r="CH85" s="164"/>
      <c r="CI85" s="164"/>
      <c r="CJ85" s="164"/>
      <c r="CK85" s="164"/>
      <c r="CL85" s="164"/>
      <c r="CM85" s="164"/>
      <c r="CN85" s="164"/>
      <c r="CO85" s="164"/>
      <c r="CP85" s="164"/>
      <c r="CQ85" s="164"/>
      <c r="CR85" s="164"/>
      <c r="CS85" s="164"/>
      <c r="CT85" s="164"/>
      <c r="CU85" s="164"/>
      <c r="CV85" s="164"/>
      <c r="CW85" s="164"/>
      <c r="CX85" s="164"/>
      <c r="CY85" s="164"/>
      <c r="CZ85" s="164"/>
      <c r="DA85" s="164"/>
      <c r="DB85" s="164"/>
      <c r="DC85" s="164"/>
      <c r="DD85" s="164"/>
      <c r="DE85" s="164"/>
      <c r="DF85" s="164"/>
      <c r="DG85" s="164"/>
      <c r="DH85" s="164"/>
      <c r="DI85" s="164"/>
      <c r="DJ85" s="164"/>
      <c r="DK85" s="164"/>
      <c r="DL85" s="164"/>
      <c r="DM85" s="164"/>
      <c r="DN85" s="164"/>
      <c r="DO85" s="164"/>
      <c r="DP85" s="164"/>
      <c r="DQ85" s="164"/>
      <c r="DR85" s="163"/>
      <c r="DS85" s="164">
        <f t="shared" si="18"/>
        <v>40017.08</v>
      </c>
      <c r="DT85" s="164">
        <f t="shared" si="19"/>
        <v>0</v>
      </c>
      <c r="DU85" s="164">
        <f t="shared" si="20"/>
        <v>0</v>
      </c>
      <c r="DV85" s="164">
        <f t="shared" si="21"/>
        <v>5893.41</v>
      </c>
      <c r="DW85" s="166"/>
      <c r="DX85" s="153" t="str">
        <f>VLOOKUP(C85,薪酬明细!A:A,1,0)</f>
        <v>弈工分信息朱鑫沛</v>
      </c>
      <c r="DY85" s="153"/>
    </row>
    <row r="86" s="149" customFormat="1" spans="1:129">
      <c r="A86" s="163" t="s">
        <v>72</v>
      </c>
      <c r="B86" s="163" t="s">
        <v>557</v>
      </c>
      <c r="C86" s="164" t="str">
        <f t="shared" si="11"/>
        <v>弈工分信息苏坤</v>
      </c>
      <c r="D86" s="165">
        <v>46023</v>
      </c>
      <c r="E86" s="164">
        <v>12244.85</v>
      </c>
      <c r="F86" s="164">
        <v>1540</v>
      </c>
      <c r="G86" s="164">
        <v>2000</v>
      </c>
      <c r="H86" s="164">
        <v>0</v>
      </c>
      <c r="I86" s="164">
        <v>1500</v>
      </c>
      <c r="J86" s="164">
        <v>1500</v>
      </c>
      <c r="K86" s="164"/>
      <c r="L86" s="164">
        <f t="shared" si="12"/>
        <v>5000</v>
      </c>
      <c r="M86" s="164">
        <v>21.15</v>
      </c>
      <c r="N86" s="164"/>
      <c r="O86" s="164"/>
      <c r="P86" s="164"/>
      <c r="Q86" s="164"/>
      <c r="R86" s="164"/>
      <c r="S86" s="164"/>
      <c r="T86" s="164"/>
      <c r="U86" s="164"/>
      <c r="V86" s="164"/>
      <c r="W86" s="164">
        <v>12441.99</v>
      </c>
      <c r="X86" s="164">
        <v>1540</v>
      </c>
      <c r="Y86" s="164">
        <v>2000</v>
      </c>
      <c r="Z86" s="164">
        <v>0</v>
      </c>
      <c r="AA86" s="164">
        <v>1500</v>
      </c>
      <c r="AB86" s="164">
        <v>1500</v>
      </c>
      <c r="AC86" s="164"/>
      <c r="AD86" s="164">
        <f t="shared" si="13"/>
        <v>5000</v>
      </c>
      <c r="AE86" s="164">
        <v>27.06</v>
      </c>
      <c r="AF86" s="164">
        <v>42962.08</v>
      </c>
      <c r="AG86" s="164">
        <v>1540</v>
      </c>
      <c r="AH86" s="164">
        <v>2000</v>
      </c>
      <c r="AI86" s="164">
        <v>0</v>
      </c>
      <c r="AJ86" s="164">
        <v>1500</v>
      </c>
      <c r="AK86" s="164">
        <v>1500</v>
      </c>
      <c r="AL86" s="164"/>
      <c r="AM86" s="164">
        <f t="shared" si="14"/>
        <v>5000</v>
      </c>
      <c r="AN86" s="164">
        <v>942.66</v>
      </c>
      <c r="AO86" s="164">
        <v>18629.35</v>
      </c>
      <c r="AP86" s="164">
        <v>1540</v>
      </c>
      <c r="AQ86" s="164">
        <v>2000</v>
      </c>
      <c r="AR86" s="164">
        <v>0</v>
      </c>
      <c r="AS86" s="164">
        <v>1500</v>
      </c>
      <c r="AT86" s="164">
        <v>1500</v>
      </c>
      <c r="AU86" s="164"/>
      <c r="AV86" s="164">
        <f t="shared" si="15"/>
        <v>5000</v>
      </c>
      <c r="AW86" s="164">
        <v>500.96</v>
      </c>
      <c r="AX86" s="164">
        <v>26746.88</v>
      </c>
      <c r="AY86" s="164">
        <v>1540</v>
      </c>
      <c r="AZ86" s="164">
        <v>2000</v>
      </c>
      <c r="BA86" s="164">
        <v>0</v>
      </c>
      <c r="BB86" s="164">
        <v>1500</v>
      </c>
      <c r="BC86" s="164">
        <v>1500</v>
      </c>
      <c r="BD86" s="164"/>
      <c r="BE86" s="164">
        <f t="shared" si="16"/>
        <v>5000</v>
      </c>
      <c r="BF86" s="164">
        <v>1520.69</v>
      </c>
      <c r="BG86" s="164">
        <f>VLOOKUP(C86,薪酬明细!A:AC,29,0)</f>
        <v>25642.78</v>
      </c>
      <c r="BH86" s="164">
        <v>1540</v>
      </c>
      <c r="BI86" s="164">
        <v>2000</v>
      </c>
      <c r="BJ86" s="164">
        <v>0</v>
      </c>
      <c r="BK86" s="164">
        <v>1500</v>
      </c>
      <c r="BL86" s="164">
        <v>1500</v>
      </c>
      <c r="BM86" s="164"/>
      <c r="BN86" s="164">
        <f t="shared" si="17"/>
        <v>5000</v>
      </c>
      <c r="BO86" s="164"/>
      <c r="BP86" s="164"/>
      <c r="BQ86" s="164"/>
      <c r="BR86" s="164"/>
      <c r="BS86" s="164"/>
      <c r="BT86" s="164"/>
      <c r="BU86" s="164"/>
      <c r="BV86" s="164"/>
      <c r="BW86" s="164"/>
      <c r="BX86" s="164"/>
      <c r="BY86" s="164"/>
      <c r="BZ86" s="164"/>
      <c r="CA86" s="164"/>
      <c r="CB86" s="164"/>
      <c r="CC86" s="164"/>
      <c r="CD86" s="164"/>
      <c r="CE86" s="164"/>
      <c r="CF86" s="164"/>
      <c r="CG86" s="164"/>
      <c r="CH86" s="164"/>
      <c r="CI86" s="164"/>
      <c r="CJ86" s="164"/>
      <c r="CK86" s="164"/>
      <c r="CL86" s="164"/>
      <c r="CM86" s="164"/>
      <c r="CN86" s="164"/>
      <c r="CO86" s="164"/>
      <c r="CP86" s="164"/>
      <c r="CQ86" s="164"/>
      <c r="CR86" s="164"/>
      <c r="CS86" s="164"/>
      <c r="CT86" s="164"/>
      <c r="CU86" s="164"/>
      <c r="CV86" s="164"/>
      <c r="CW86" s="164"/>
      <c r="CX86" s="164"/>
      <c r="CY86" s="164"/>
      <c r="CZ86" s="164"/>
      <c r="DA86" s="164"/>
      <c r="DB86" s="164"/>
      <c r="DC86" s="164"/>
      <c r="DD86" s="164"/>
      <c r="DE86" s="164"/>
      <c r="DF86" s="164"/>
      <c r="DG86" s="164"/>
      <c r="DH86" s="164"/>
      <c r="DI86" s="164"/>
      <c r="DJ86" s="164"/>
      <c r="DK86" s="164"/>
      <c r="DL86" s="164"/>
      <c r="DM86" s="164"/>
      <c r="DN86" s="164"/>
      <c r="DO86" s="164"/>
      <c r="DP86" s="164"/>
      <c r="DQ86" s="164"/>
      <c r="DR86" s="163"/>
      <c r="DS86" s="164">
        <f t="shared" si="18"/>
        <v>138667.93</v>
      </c>
      <c r="DT86" s="164">
        <f t="shared" si="19"/>
        <v>9240</v>
      </c>
      <c r="DU86" s="164">
        <f t="shared" si="20"/>
        <v>30000</v>
      </c>
      <c r="DV86" s="164">
        <f t="shared" si="21"/>
        <v>3012.52</v>
      </c>
      <c r="DW86" s="166"/>
      <c r="DX86" s="153" t="str">
        <f>VLOOKUP(C86,薪酬明细!A:A,1,0)</f>
        <v>弈工分信息苏坤</v>
      </c>
      <c r="DY86" s="153"/>
    </row>
    <row r="87" s="149" customFormat="1" spans="1:129">
      <c r="A87" s="163" t="s">
        <v>72</v>
      </c>
      <c r="B87" s="163" t="s">
        <v>380</v>
      </c>
      <c r="C87" s="164" t="str">
        <f t="shared" si="11"/>
        <v>弈工分信息宣国英</v>
      </c>
      <c r="D87" s="165">
        <v>46023</v>
      </c>
      <c r="E87" s="164">
        <v>7344.85</v>
      </c>
      <c r="F87" s="164">
        <v>0</v>
      </c>
      <c r="G87" s="164">
        <v>0</v>
      </c>
      <c r="H87" s="164">
        <v>0</v>
      </c>
      <c r="I87" s="164">
        <v>0</v>
      </c>
      <c r="J87" s="164">
        <v>0</v>
      </c>
      <c r="K87" s="164">
        <v>0</v>
      </c>
      <c r="L87" s="164">
        <f t="shared" si="12"/>
        <v>0</v>
      </c>
      <c r="M87" s="164">
        <v>70.35</v>
      </c>
      <c r="N87" s="164"/>
      <c r="O87" s="164"/>
      <c r="P87" s="164"/>
      <c r="Q87" s="164"/>
      <c r="R87" s="164"/>
      <c r="S87" s="164"/>
      <c r="T87" s="164"/>
      <c r="U87" s="164"/>
      <c r="V87" s="164"/>
      <c r="W87" s="164">
        <v>5949.49</v>
      </c>
      <c r="X87" s="164">
        <v>0</v>
      </c>
      <c r="Y87" s="164">
        <v>0</v>
      </c>
      <c r="Z87" s="164">
        <v>0</v>
      </c>
      <c r="AA87" s="164">
        <v>0</v>
      </c>
      <c r="AB87" s="164">
        <v>0</v>
      </c>
      <c r="AC87" s="164">
        <v>0</v>
      </c>
      <c r="AD87" s="164">
        <f t="shared" si="13"/>
        <v>0</v>
      </c>
      <c r="AE87" s="164">
        <v>28.48</v>
      </c>
      <c r="AF87" s="164">
        <v>7344.85</v>
      </c>
      <c r="AG87" s="164">
        <v>0</v>
      </c>
      <c r="AH87" s="164">
        <v>0</v>
      </c>
      <c r="AI87" s="164">
        <v>0</v>
      </c>
      <c r="AJ87" s="164">
        <v>0</v>
      </c>
      <c r="AK87" s="164">
        <v>0</v>
      </c>
      <c r="AL87" s="164">
        <v>0</v>
      </c>
      <c r="AM87" s="164">
        <f t="shared" si="14"/>
        <v>0</v>
      </c>
      <c r="AN87" s="164">
        <v>70.35</v>
      </c>
      <c r="AO87" s="164">
        <v>7355.8</v>
      </c>
      <c r="AP87" s="164">
        <v>0</v>
      </c>
      <c r="AQ87" s="164">
        <v>0</v>
      </c>
      <c r="AR87" s="164">
        <v>0</v>
      </c>
      <c r="AS87" s="164">
        <v>0</v>
      </c>
      <c r="AT87" s="164">
        <v>0</v>
      </c>
      <c r="AU87" s="164">
        <v>0</v>
      </c>
      <c r="AV87" s="164">
        <f t="shared" si="15"/>
        <v>0</v>
      </c>
      <c r="AW87" s="164">
        <v>70.67</v>
      </c>
      <c r="AX87" s="164">
        <v>7355.8</v>
      </c>
      <c r="AY87" s="164">
        <v>0</v>
      </c>
      <c r="AZ87" s="164">
        <v>0</v>
      </c>
      <c r="BA87" s="164">
        <v>0</v>
      </c>
      <c r="BB87" s="164">
        <v>0</v>
      </c>
      <c r="BC87" s="164">
        <v>0</v>
      </c>
      <c r="BD87" s="164">
        <v>0</v>
      </c>
      <c r="BE87" s="164">
        <f t="shared" si="16"/>
        <v>0</v>
      </c>
      <c r="BF87" s="164">
        <v>70.67</v>
      </c>
      <c r="BG87" s="164">
        <f>VLOOKUP(C87,薪酬明细!A:AC,29,0)</f>
        <v>7655.8</v>
      </c>
      <c r="BH87" s="164">
        <v>0</v>
      </c>
      <c r="BI87" s="164">
        <v>0</v>
      </c>
      <c r="BJ87" s="164">
        <v>0</v>
      </c>
      <c r="BK87" s="164">
        <v>0</v>
      </c>
      <c r="BL87" s="164">
        <v>0</v>
      </c>
      <c r="BM87" s="164">
        <v>0</v>
      </c>
      <c r="BN87" s="164">
        <f t="shared" si="17"/>
        <v>0</v>
      </c>
      <c r="BO87" s="164"/>
      <c r="BP87" s="164"/>
      <c r="BQ87" s="164"/>
      <c r="BR87" s="164"/>
      <c r="BS87" s="164"/>
      <c r="BT87" s="164"/>
      <c r="BU87" s="164"/>
      <c r="BV87" s="164"/>
      <c r="BW87" s="164"/>
      <c r="BX87" s="164"/>
      <c r="BY87" s="164"/>
      <c r="BZ87" s="164"/>
      <c r="CA87" s="164"/>
      <c r="CB87" s="164"/>
      <c r="CC87" s="164"/>
      <c r="CD87" s="164"/>
      <c r="CE87" s="164"/>
      <c r="CF87" s="164"/>
      <c r="CG87" s="164"/>
      <c r="CH87" s="164"/>
      <c r="CI87" s="164"/>
      <c r="CJ87" s="164"/>
      <c r="CK87" s="164"/>
      <c r="CL87" s="164"/>
      <c r="CM87" s="164"/>
      <c r="CN87" s="164"/>
      <c r="CO87" s="164"/>
      <c r="CP87" s="164"/>
      <c r="CQ87" s="164"/>
      <c r="CR87" s="164"/>
      <c r="CS87" s="164"/>
      <c r="CT87" s="164"/>
      <c r="CU87" s="164"/>
      <c r="CV87" s="164"/>
      <c r="CW87" s="164"/>
      <c r="CX87" s="164"/>
      <c r="CY87" s="164"/>
      <c r="CZ87" s="164"/>
      <c r="DA87" s="164"/>
      <c r="DB87" s="164"/>
      <c r="DC87" s="164"/>
      <c r="DD87" s="164"/>
      <c r="DE87" s="164"/>
      <c r="DF87" s="164"/>
      <c r="DG87" s="164"/>
      <c r="DH87" s="164"/>
      <c r="DI87" s="164"/>
      <c r="DJ87" s="164"/>
      <c r="DK87" s="164"/>
      <c r="DL87" s="164"/>
      <c r="DM87" s="164"/>
      <c r="DN87" s="164"/>
      <c r="DO87" s="164"/>
      <c r="DP87" s="164"/>
      <c r="DQ87" s="164"/>
      <c r="DR87" s="163"/>
      <c r="DS87" s="164">
        <f t="shared" si="18"/>
        <v>43006.59</v>
      </c>
      <c r="DT87" s="164">
        <f t="shared" si="19"/>
        <v>0</v>
      </c>
      <c r="DU87" s="164">
        <f t="shared" si="20"/>
        <v>0</v>
      </c>
      <c r="DV87" s="164">
        <f t="shared" si="21"/>
        <v>310.52</v>
      </c>
      <c r="DW87" s="166"/>
      <c r="DX87" s="153" t="str">
        <f>VLOOKUP(C87,薪酬明细!A:A,1,0)</f>
        <v>弈工分信息宣国英</v>
      </c>
      <c r="DY87" s="153"/>
    </row>
    <row r="88" s="149" customFormat="1" spans="1:129">
      <c r="A88" s="163" t="s">
        <v>72</v>
      </c>
      <c r="B88" s="163" t="s">
        <v>383</v>
      </c>
      <c r="C88" s="164" t="str">
        <f t="shared" si="11"/>
        <v>弈工分信息汪顺</v>
      </c>
      <c r="D88" s="165">
        <v>46023</v>
      </c>
      <c r="E88" s="164">
        <v>14144.85</v>
      </c>
      <c r="F88" s="164">
        <v>1300.3</v>
      </c>
      <c r="G88" s="164">
        <v>0</v>
      </c>
      <c r="H88" s="164">
        <v>0</v>
      </c>
      <c r="I88" s="164">
        <v>0</v>
      </c>
      <c r="J88" s="164">
        <v>3000</v>
      </c>
      <c r="K88" s="164">
        <v>0</v>
      </c>
      <c r="L88" s="164">
        <f t="shared" si="12"/>
        <v>3000</v>
      </c>
      <c r="M88" s="164">
        <v>145.34</v>
      </c>
      <c r="N88" s="164"/>
      <c r="O88" s="164"/>
      <c r="P88" s="164"/>
      <c r="Q88" s="164"/>
      <c r="R88" s="164"/>
      <c r="S88" s="164"/>
      <c r="T88" s="164"/>
      <c r="U88" s="164"/>
      <c r="V88" s="164"/>
      <c r="W88" s="164">
        <v>11431.65</v>
      </c>
      <c r="X88" s="164">
        <v>1300.3</v>
      </c>
      <c r="Y88" s="164">
        <v>0</v>
      </c>
      <c r="Z88" s="164">
        <v>0</v>
      </c>
      <c r="AA88" s="164">
        <v>0</v>
      </c>
      <c r="AB88" s="164">
        <v>3000</v>
      </c>
      <c r="AC88" s="164">
        <v>0</v>
      </c>
      <c r="AD88" s="164">
        <f t="shared" si="13"/>
        <v>3000</v>
      </c>
      <c r="AE88" s="164">
        <v>63.94</v>
      </c>
      <c r="AF88" s="164">
        <v>43662.78</v>
      </c>
      <c r="AG88" s="164">
        <v>1300.3</v>
      </c>
      <c r="AH88" s="164">
        <v>0</v>
      </c>
      <c r="AI88" s="164">
        <v>0</v>
      </c>
      <c r="AJ88" s="164">
        <v>0</v>
      </c>
      <c r="AK88" s="164">
        <v>3000</v>
      </c>
      <c r="AL88" s="164">
        <v>0</v>
      </c>
      <c r="AM88" s="164">
        <f t="shared" si="14"/>
        <v>3000</v>
      </c>
      <c r="AN88" s="164">
        <v>1404.56</v>
      </c>
      <c r="AO88" s="164">
        <v>21892.66</v>
      </c>
      <c r="AP88" s="164">
        <v>1300.3</v>
      </c>
      <c r="AQ88" s="164">
        <v>0</v>
      </c>
      <c r="AR88" s="164">
        <v>0</v>
      </c>
      <c r="AS88" s="164">
        <v>0</v>
      </c>
      <c r="AT88" s="164">
        <v>3000</v>
      </c>
      <c r="AU88" s="164">
        <v>0</v>
      </c>
      <c r="AV88" s="164">
        <f t="shared" si="15"/>
        <v>3000</v>
      </c>
      <c r="AW88" s="164">
        <v>1259.23</v>
      </c>
      <c r="AX88" s="164">
        <v>23744.24</v>
      </c>
      <c r="AY88" s="164">
        <v>1300.3</v>
      </c>
      <c r="AZ88" s="164">
        <v>0</v>
      </c>
      <c r="BA88" s="164">
        <v>0</v>
      </c>
      <c r="BB88" s="164">
        <v>0</v>
      </c>
      <c r="BC88" s="164">
        <v>3000</v>
      </c>
      <c r="BD88" s="164">
        <v>0</v>
      </c>
      <c r="BE88" s="164">
        <f t="shared" si="16"/>
        <v>3000</v>
      </c>
      <c r="BF88" s="164">
        <v>1444.4</v>
      </c>
      <c r="BG88" s="164">
        <f>VLOOKUP(C88,薪酬明细!A:AC,29,0)</f>
        <v>25587.98</v>
      </c>
      <c r="BH88" s="164">
        <v>1300.3</v>
      </c>
      <c r="BI88" s="164">
        <v>0</v>
      </c>
      <c r="BJ88" s="164">
        <v>0</v>
      </c>
      <c r="BK88" s="164">
        <v>0</v>
      </c>
      <c r="BL88" s="164">
        <v>3000</v>
      </c>
      <c r="BM88" s="164">
        <v>0</v>
      </c>
      <c r="BN88" s="164">
        <f t="shared" si="17"/>
        <v>3000</v>
      </c>
      <c r="BO88" s="164"/>
      <c r="BP88" s="164"/>
      <c r="BQ88" s="164"/>
      <c r="BR88" s="164"/>
      <c r="BS88" s="164"/>
      <c r="BT88" s="164"/>
      <c r="BU88" s="164"/>
      <c r="BV88" s="164"/>
      <c r="BW88" s="164"/>
      <c r="BX88" s="164"/>
      <c r="BY88" s="164"/>
      <c r="BZ88" s="164"/>
      <c r="CA88" s="164"/>
      <c r="CB88" s="164"/>
      <c r="CC88" s="164"/>
      <c r="CD88" s="164"/>
      <c r="CE88" s="164"/>
      <c r="CF88" s="164"/>
      <c r="CG88" s="164"/>
      <c r="CH88" s="164"/>
      <c r="CI88" s="164"/>
      <c r="CJ88" s="164"/>
      <c r="CK88" s="164"/>
      <c r="CL88" s="164"/>
      <c r="CM88" s="164"/>
      <c r="CN88" s="164"/>
      <c r="CO88" s="164"/>
      <c r="CP88" s="164"/>
      <c r="CQ88" s="164"/>
      <c r="CR88" s="164"/>
      <c r="CS88" s="164"/>
      <c r="CT88" s="164"/>
      <c r="CU88" s="164"/>
      <c r="CV88" s="164"/>
      <c r="CW88" s="164"/>
      <c r="CX88" s="164"/>
      <c r="CY88" s="164"/>
      <c r="CZ88" s="164"/>
      <c r="DA88" s="164"/>
      <c r="DB88" s="164"/>
      <c r="DC88" s="164"/>
      <c r="DD88" s="164"/>
      <c r="DE88" s="164"/>
      <c r="DF88" s="164"/>
      <c r="DG88" s="164"/>
      <c r="DH88" s="164"/>
      <c r="DI88" s="164"/>
      <c r="DJ88" s="164"/>
      <c r="DK88" s="164"/>
      <c r="DL88" s="164"/>
      <c r="DM88" s="164"/>
      <c r="DN88" s="164"/>
      <c r="DO88" s="164"/>
      <c r="DP88" s="164"/>
      <c r="DQ88" s="164"/>
      <c r="DR88" s="163"/>
      <c r="DS88" s="164">
        <f t="shared" si="18"/>
        <v>140464.16</v>
      </c>
      <c r="DT88" s="164">
        <f t="shared" si="19"/>
        <v>7801.8</v>
      </c>
      <c r="DU88" s="164">
        <f t="shared" si="20"/>
        <v>18000</v>
      </c>
      <c r="DV88" s="164">
        <f t="shared" si="21"/>
        <v>4317.47</v>
      </c>
      <c r="DW88" s="166"/>
      <c r="DX88" s="153" t="str">
        <f>VLOOKUP(C88,薪酬明细!A:A,1,0)</f>
        <v>弈工分信息汪顺</v>
      </c>
      <c r="DY88" s="153"/>
    </row>
    <row r="89" s="149" customFormat="1" spans="1:129">
      <c r="A89" s="163" t="s">
        <v>72</v>
      </c>
      <c r="B89" s="163" t="s">
        <v>553</v>
      </c>
      <c r="C89" s="164" t="str">
        <f t="shared" si="11"/>
        <v>弈工分信息贾东升</v>
      </c>
      <c r="D89" s="165">
        <v>46023</v>
      </c>
      <c r="E89" s="164">
        <v>5644.85</v>
      </c>
      <c r="F89" s="164">
        <v>1300.3</v>
      </c>
      <c r="G89" s="164">
        <v>0</v>
      </c>
      <c r="H89" s="164">
        <v>0</v>
      </c>
      <c r="I89" s="164"/>
      <c r="J89" s="164">
        <v>0</v>
      </c>
      <c r="K89" s="164">
        <v>0</v>
      </c>
      <c r="L89" s="164">
        <f t="shared" si="12"/>
        <v>0</v>
      </c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>
        <v>8665.03</v>
      </c>
      <c r="X89" s="164">
        <v>1300.3</v>
      </c>
      <c r="Y89" s="164">
        <v>0</v>
      </c>
      <c r="Z89" s="164">
        <v>0</v>
      </c>
      <c r="AA89" s="164"/>
      <c r="AB89" s="164">
        <v>0</v>
      </c>
      <c r="AC89" s="164">
        <v>0</v>
      </c>
      <c r="AD89" s="164">
        <f t="shared" si="13"/>
        <v>0</v>
      </c>
      <c r="AE89" s="164">
        <v>51.28</v>
      </c>
      <c r="AF89" s="164">
        <v>27219.91</v>
      </c>
      <c r="AG89" s="164">
        <v>1300.3</v>
      </c>
      <c r="AH89" s="164">
        <v>0</v>
      </c>
      <c r="AI89" s="164">
        <v>0</v>
      </c>
      <c r="AJ89" s="164"/>
      <c r="AK89" s="164">
        <v>0</v>
      </c>
      <c r="AL89" s="164">
        <v>0</v>
      </c>
      <c r="AM89" s="164">
        <f t="shared" si="14"/>
        <v>0</v>
      </c>
      <c r="AN89" s="164">
        <v>627.59</v>
      </c>
      <c r="AO89" s="164">
        <v>5530.15</v>
      </c>
      <c r="AP89" s="164">
        <v>1300.3</v>
      </c>
      <c r="AQ89" s="164">
        <v>0</v>
      </c>
      <c r="AR89" s="164">
        <v>0</v>
      </c>
      <c r="AS89" s="164"/>
      <c r="AT89" s="164">
        <v>0</v>
      </c>
      <c r="AU89" s="164">
        <v>0</v>
      </c>
      <c r="AV89" s="164">
        <f t="shared" si="15"/>
        <v>0</v>
      </c>
      <c r="AW89" s="164">
        <v>0</v>
      </c>
      <c r="AX89" s="164">
        <v>11483.13</v>
      </c>
      <c r="AY89" s="164">
        <v>1300.3</v>
      </c>
      <c r="AZ89" s="164">
        <v>0</v>
      </c>
      <c r="BA89" s="164">
        <v>0</v>
      </c>
      <c r="BB89" s="164"/>
      <c r="BC89" s="164">
        <v>0</v>
      </c>
      <c r="BD89" s="164">
        <v>0</v>
      </c>
      <c r="BE89" s="164">
        <f t="shared" si="16"/>
        <v>0</v>
      </c>
      <c r="BF89" s="164">
        <v>132.38</v>
      </c>
      <c r="BG89" s="164">
        <f>VLOOKUP(C89,薪酬明细!A:AC,29,0)</f>
        <v>6511.33</v>
      </c>
      <c r="BH89" s="164">
        <v>1300.3</v>
      </c>
      <c r="BI89" s="164">
        <v>0</v>
      </c>
      <c r="BJ89" s="164">
        <v>0</v>
      </c>
      <c r="BK89" s="164"/>
      <c r="BL89" s="164">
        <v>0</v>
      </c>
      <c r="BM89" s="164">
        <v>0</v>
      </c>
      <c r="BN89" s="164">
        <f t="shared" si="17"/>
        <v>0</v>
      </c>
      <c r="BO89" s="164"/>
      <c r="BP89" s="164"/>
      <c r="BQ89" s="164"/>
      <c r="BR89" s="164"/>
      <c r="BS89" s="164"/>
      <c r="BT89" s="164"/>
      <c r="BU89" s="164"/>
      <c r="BV89" s="164"/>
      <c r="BW89" s="164"/>
      <c r="BX89" s="164"/>
      <c r="BY89" s="164"/>
      <c r="BZ89" s="164"/>
      <c r="CA89" s="164"/>
      <c r="CB89" s="164"/>
      <c r="CC89" s="164"/>
      <c r="CD89" s="164"/>
      <c r="CE89" s="164"/>
      <c r="CF89" s="164"/>
      <c r="CG89" s="164"/>
      <c r="CH89" s="164"/>
      <c r="CI89" s="164"/>
      <c r="CJ89" s="164"/>
      <c r="CK89" s="164"/>
      <c r="CL89" s="164"/>
      <c r="CM89" s="164"/>
      <c r="CN89" s="164"/>
      <c r="CO89" s="164"/>
      <c r="CP89" s="164"/>
      <c r="CQ89" s="164"/>
      <c r="CR89" s="164"/>
      <c r="CS89" s="164"/>
      <c r="CT89" s="164"/>
      <c r="CU89" s="164"/>
      <c r="CV89" s="164"/>
      <c r="CW89" s="164"/>
      <c r="CX89" s="164"/>
      <c r="CY89" s="164"/>
      <c r="CZ89" s="164"/>
      <c r="DA89" s="164"/>
      <c r="DB89" s="164"/>
      <c r="DC89" s="164"/>
      <c r="DD89" s="164"/>
      <c r="DE89" s="164"/>
      <c r="DF89" s="164"/>
      <c r="DG89" s="164"/>
      <c r="DH89" s="164"/>
      <c r="DI89" s="164"/>
      <c r="DJ89" s="164"/>
      <c r="DK89" s="164"/>
      <c r="DL89" s="164"/>
      <c r="DM89" s="164"/>
      <c r="DN89" s="164"/>
      <c r="DO89" s="164"/>
      <c r="DP89" s="164"/>
      <c r="DQ89" s="164"/>
      <c r="DR89" s="163"/>
      <c r="DS89" s="164">
        <f t="shared" si="18"/>
        <v>65054.4</v>
      </c>
      <c r="DT89" s="164">
        <f t="shared" si="19"/>
        <v>7801.8</v>
      </c>
      <c r="DU89" s="164">
        <f t="shared" si="20"/>
        <v>0</v>
      </c>
      <c r="DV89" s="164">
        <f t="shared" si="21"/>
        <v>811.25</v>
      </c>
      <c r="DW89" s="166"/>
      <c r="DX89" s="153" t="str">
        <f>VLOOKUP(C89,薪酬明细!A:A,1,0)</f>
        <v>弈工分信息贾东升</v>
      </c>
      <c r="DY89" s="153"/>
    </row>
    <row r="90" s="149" customFormat="1" spans="1:129">
      <c r="A90" s="163" t="s">
        <v>72</v>
      </c>
      <c r="B90" s="163" t="s">
        <v>536</v>
      </c>
      <c r="C90" s="164" t="str">
        <f t="shared" si="11"/>
        <v>弈工分信息方祥</v>
      </c>
      <c r="D90" s="165">
        <v>46023</v>
      </c>
      <c r="E90" s="164">
        <v>1550</v>
      </c>
      <c r="F90" s="164">
        <v>0</v>
      </c>
      <c r="G90" s="164">
        <v>0</v>
      </c>
      <c r="H90" s="164">
        <v>0</v>
      </c>
      <c r="I90" s="164">
        <v>0</v>
      </c>
      <c r="J90" s="164">
        <v>0</v>
      </c>
      <c r="K90" s="164">
        <v>0</v>
      </c>
      <c r="L90" s="164">
        <f t="shared" si="12"/>
        <v>0</v>
      </c>
      <c r="M90" s="164">
        <v>150</v>
      </c>
      <c r="N90" s="164"/>
      <c r="O90" s="164"/>
      <c r="P90" s="164"/>
      <c r="Q90" s="164"/>
      <c r="R90" s="164"/>
      <c r="S90" s="164"/>
      <c r="T90" s="164"/>
      <c r="U90" s="164"/>
      <c r="V90" s="164"/>
      <c r="W90" s="164">
        <v>1550</v>
      </c>
      <c r="X90" s="164">
        <v>0</v>
      </c>
      <c r="Y90" s="164">
        <v>0</v>
      </c>
      <c r="Z90" s="164">
        <v>0</v>
      </c>
      <c r="AA90" s="164">
        <v>0</v>
      </c>
      <c r="AB90" s="164">
        <v>0</v>
      </c>
      <c r="AC90" s="164">
        <v>0</v>
      </c>
      <c r="AD90" s="164">
        <f t="shared" si="13"/>
        <v>0</v>
      </c>
      <c r="AE90" s="164">
        <v>150</v>
      </c>
      <c r="AF90" s="164">
        <v>1550</v>
      </c>
      <c r="AG90" s="164">
        <v>0</v>
      </c>
      <c r="AH90" s="164">
        <v>0</v>
      </c>
      <c r="AI90" s="164">
        <v>0</v>
      </c>
      <c r="AJ90" s="164">
        <v>0</v>
      </c>
      <c r="AK90" s="164">
        <v>0</v>
      </c>
      <c r="AL90" s="164">
        <v>0</v>
      </c>
      <c r="AM90" s="164">
        <f t="shared" si="14"/>
        <v>0</v>
      </c>
      <c r="AN90" s="164">
        <v>150</v>
      </c>
      <c r="AO90" s="164">
        <v>1550</v>
      </c>
      <c r="AP90" s="164">
        <v>0</v>
      </c>
      <c r="AQ90" s="164">
        <v>0</v>
      </c>
      <c r="AR90" s="164">
        <v>0</v>
      </c>
      <c r="AS90" s="164">
        <v>0</v>
      </c>
      <c r="AT90" s="164">
        <v>0</v>
      </c>
      <c r="AU90" s="164">
        <v>0</v>
      </c>
      <c r="AV90" s="164">
        <f t="shared" si="15"/>
        <v>0</v>
      </c>
      <c r="AW90" s="164">
        <v>150</v>
      </c>
      <c r="AX90" s="164">
        <v>1550</v>
      </c>
      <c r="AY90" s="164">
        <v>0</v>
      </c>
      <c r="AZ90" s="164">
        <v>0</v>
      </c>
      <c r="BA90" s="164">
        <v>0</v>
      </c>
      <c r="BB90" s="164">
        <v>0</v>
      </c>
      <c r="BC90" s="164">
        <v>0</v>
      </c>
      <c r="BD90" s="164">
        <v>0</v>
      </c>
      <c r="BE90" s="164">
        <f t="shared" si="16"/>
        <v>0</v>
      </c>
      <c r="BF90" s="164">
        <v>150</v>
      </c>
      <c r="BG90" s="164">
        <f>VLOOKUP(C90,薪酬明细!A:AC,29,0)</f>
        <v>1550</v>
      </c>
      <c r="BH90" s="164">
        <v>0</v>
      </c>
      <c r="BI90" s="164">
        <v>0</v>
      </c>
      <c r="BJ90" s="164">
        <v>0</v>
      </c>
      <c r="BK90" s="164">
        <v>0</v>
      </c>
      <c r="BL90" s="164">
        <v>0</v>
      </c>
      <c r="BM90" s="164">
        <v>0</v>
      </c>
      <c r="BN90" s="164">
        <f t="shared" si="17"/>
        <v>0</v>
      </c>
      <c r="BO90" s="164"/>
      <c r="BP90" s="164"/>
      <c r="BQ90" s="164"/>
      <c r="BR90" s="164"/>
      <c r="BS90" s="164"/>
      <c r="BT90" s="164"/>
      <c r="BU90" s="164"/>
      <c r="BV90" s="164"/>
      <c r="BW90" s="164"/>
      <c r="BX90" s="164"/>
      <c r="BY90" s="164"/>
      <c r="BZ90" s="164"/>
      <c r="CA90" s="164"/>
      <c r="CB90" s="164"/>
      <c r="CC90" s="164"/>
      <c r="CD90" s="164"/>
      <c r="CE90" s="164"/>
      <c r="CF90" s="164"/>
      <c r="CG90" s="164"/>
      <c r="CH90" s="164"/>
      <c r="CI90" s="164"/>
      <c r="CJ90" s="164"/>
      <c r="CK90" s="164"/>
      <c r="CL90" s="164"/>
      <c r="CM90" s="164"/>
      <c r="CN90" s="164"/>
      <c r="CO90" s="164"/>
      <c r="CP90" s="164"/>
      <c r="CQ90" s="164"/>
      <c r="CR90" s="164"/>
      <c r="CS90" s="164"/>
      <c r="CT90" s="164"/>
      <c r="CU90" s="164"/>
      <c r="CV90" s="164"/>
      <c r="CW90" s="164"/>
      <c r="CX90" s="164"/>
      <c r="CY90" s="164"/>
      <c r="CZ90" s="164"/>
      <c r="DA90" s="164"/>
      <c r="DB90" s="164"/>
      <c r="DC90" s="164"/>
      <c r="DD90" s="164"/>
      <c r="DE90" s="164"/>
      <c r="DF90" s="164"/>
      <c r="DG90" s="164"/>
      <c r="DH90" s="164"/>
      <c r="DI90" s="164"/>
      <c r="DJ90" s="164"/>
      <c r="DK90" s="164"/>
      <c r="DL90" s="164"/>
      <c r="DM90" s="164"/>
      <c r="DN90" s="164"/>
      <c r="DO90" s="164"/>
      <c r="DP90" s="164"/>
      <c r="DQ90" s="164"/>
      <c r="DR90" s="163"/>
      <c r="DS90" s="164">
        <f t="shared" si="18"/>
        <v>9300</v>
      </c>
      <c r="DT90" s="164">
        <f t="shared" si="19"/>
        <v>0</v>
      </c>
      <c r="DU90" s="164">
        <f t="shared" si="20"/>
        <v>0</v>
      </c>
      <c r="DV90" s="164">
        <f t="shared" si="21"/>
        <v>750</v>
      </c>
      <c r="DW90" s="166"/>
      <c r="DX90" s="153" t="str">
        <f>VLOOKUP(C90,薪酬明细!A:A,1,0)</f>
        <v>弈工分信息方祥</v>
      </c>
      <c r="DY90" s="153"/>
    </row>
    <row r="91" s="149" customFormat="1" spans="1:129">
      <c r="A91" s="163" t="s">
        <v>72</v>
      </c>
      <c r="B91" s="163" t="s">
        <v>545</v>
      </c>
      <c r="C91" s="164" t="str">
        <f t="shared" si="11"/>
        <v>弈工分信息董宾宾</v>
      </c>
      <c r="D91" s="165">
        <v>46023</v>
      </c>
      <c r="E91" s="164">
        <v>8110.37</v>
      </c>
      <c r="F91" s="164">
        <v>1300.3</v>
      </c>
      <c r="G91" s="164">
        <v>0</v>
      </c>
      <c r="H91" s="164">
        <v>0</v>
      </c>
      <c r="I91" s="164">
        <v>0</v>
      </c>
      <c r="J91" s="164">
        <v>0</v>
      </c>
      <c r="K91" s="164">
        <v>0</v>
      </c>
      <c r="L91" s="164">
        <f t="shared" si="12"/>
        <v>0</v>
      </c>
      <c r="M91" s="164">
        <v>54.3</v>
      </c>
      <c r="N91" s="164"/>
      <c r="O91" s="164"/>
      <c r="P91" s="164"/>
      <c r="Q91" s="164"/>
      <c r="R91" s="164"/>
      <c r="S91" s="164"/>
      <c r="T91" s="164"/>
      <c r="U91" s="164"/>
      <c r="V91" s="164"/>
      <c r="W91" s="164">
        <v>10666.88</v>
      </c>
      <c r="X91" s="164">
        <v>1300.3</v>
      </c>
      <c r="Y91" s="164">
        <v>0</v>
      </c>
      <c r="Z91" s="164">
        <v>0</v>
      </c>
      <c r="AA91" s="164">
        <v>0</v>
      </c>
      <c r="AB91" s="164">
        <v>0</v>
      </c>
      <c r="AC91" s="164">
        <v>0</v>
      </c>
      <c r="AD91" s="164">
        <f t="shared" si="13"/>
        <v>0</v>
      </c>
      <c r="AE91" s="164">
        <v>131</v>
      </c>
      <c r="AF91" s="164">
        <v>8644.85</v>
      </c>
      <c r="AG91" s="164">
        <v>1300.3</v>
      </c>
      <c r="AH91" s="164">
        <v>0</v>
      </c>
      <c r="AI91" s="164">
        <v>0</v>
      </c>
      <c r="AJ91" s="164">
        <v>0</v>
      </c>
      <c r="AK91" s="164">
        <v>0</v>
      </c>
      <c r="AL91" s="164">
        <v>0</v>
      </c>
      <c r="AM91" s="164">
        <f t="shared" si="14"/>
        <v>0</v>
      </c>
      <c r="AN91" s="164">
        <v>70.34</v>
      </c>
      <c r="AO91" s="164">
        <v>8690.28</v>
      </c>
      <c r="AP91" s="164">
        <v>1300.3</v>
      </c>
      <c r="AQ91" s="164">
        <v>0</v>
      </c>
      <c r="AR91" s="164">
        <v>0</v>
      </c>
      <c r="AS91" s="164">
        <v>0</v>
      </c>
      <c r="AT91" s="164">
        <v>0</v>
      </c>
      <c r="AU91" s="164">
        <v>0</v>
      </c>
      <c r="AV91" s="164">
        <f t="shared" si="15"/>
        <v>0</v>
      </c>
      <c r="AW91" s="164">
        <v>71.7</v>
      </c>
      <c r="AX91" s="164">
        <v>9724.77</v>
      </c>
      <c r="AY91" s="164">
        <v>1300.3</v>
      </c>
      <c r="AZ91" s="164">
        <v>0</v>
      </c>
      <c r="BA91" s="164">
        <v>0</v>
      </c>
      <c r="BB91" s="164">
        <v>0</v>
      </c>
      <c r="BC91" s="164">
        <v>0</v>
      </c>
      <c r="BD91" s="164">
        <v>0</v>
      </c>
      <c r="BE91" s="164">
        <f t="shared" si="16"/>
        <v>0</v>
      </c>
      <c r="BF91" s="164">
        <v>102.73</v>
      </c>
      <c r="BG91" s="164">
        <f>VLOOKUP(C91,薪酬明细!A:AC,29,0)</f>
        <v>8645.45</v>
      </c>
      <c r="BH91" s="164">
        <v>1300.3</v>
      </c>
      <c r="BI91" s="164">
        <v>0</v>
      </c>
      <c r="BJ91" s="164">
        <v>0</v>
      </c>
      <c r="BK91" s="164">
        <v>0</v>
      </c>
      <c r="BL91" s="164">
        <v>0</v>
      </c>
      <c r="BM91" s="164">
        <v>0</v>
      </c>
      <c r="BN91" s="164">
        <f t="shared" si="17"/>
        <v>0</v>
      </c>
      <c r="BO91" s="164"/>
      <c r="BP91" s="164"/>
      <c r="BQ91" s="164"/>
      <c r="BR91" s="164"/>
      <c r="BS91" s="164"/>
      <c r="BT91" s="164"/>
      <c r="BU91" s="164"/>
      <c r="BV91" s="164"/>
      <c r="BW91" s="164"/>
      <c r="BX91" s="164"/>
      <c r="BY91" s="164"/>
      <c r="BZ91" s="164"/>
      <c r="CA91" s="164"/>
      <c r="CB91" s="164"/>
      <c r="CC91" s="164"/>
      <c r="CD91" s="164"/>
      <c r="CE91" s="164"/>
      <c r="CF91" s="164"/>
      <c r="CG91" s="164"/>
      <c r="CH91" s="164"/>
      <c r="CI91" s="164"/>
      <c r="CJ91" s="164"/>
      <c r="CK91" s="164"/>
      <c r="CL91" s="164"/>
      <c r="CM91" s="164"/>
      <c r="CN91" s="164"/>
      <c r="CO91" s="164"/>
      <c r="CP91" s="164"/>
      <c r="CQ91" s="164"/>
      <c r="CR91" s="164"/>
      <c r="CS91" s="164"/>
      <c r="CT91" s="164"/>
      <c r="CU91" s="164"/>
      <c r="CV91" s="164"/>
      <c r="CW91" s="164"/>
      <c r="CX91" s="164"/>
      <c r="CY91" s="164"/>
      <c r="CZ91" s="164"/>
      <c r="DA91" s="164"/>
      <c r="DB91" s="164"/>
      <c r="DC91" s="164"/>
      <c r="DD91" s="164"/>
      <c r="DE91" s="164"/>
      <c r="DF91" s="164"/>
      <c r="DG91" s="164"/>
      <c r="DH91" s="164"/>
      <c r="DI91" s="164"/>
      <c r="DJ91" s="164"/>
      <c r="DK91" s="164"/>
      <c r="DL91" s="164"/>
      <c r="DM91" s="164"/>
      <c r="DN91" s="164"/>
      <c r="DO91" s="164"/>
      <c r="DP91" s="164"/>
      <c r="DQ91" s="164"/>
      <c r="DR91" s="163"/>
      <c r="DS91" s="164">
        <f t="shared" si="18"/>
        <v>54482.6</v>
      </c>
      <c r="DT91" s="164">
        <f t="shared" si="19"/>
        <v>7801.8</v>
      </c>
      <c r="DU91" s="164">
        <f t="shared" si="20"/>
        <v>0</v>
      </c>
      <c r="DV91" s="164">
        <f t="shared" si="21"/>
        <v>430.07</v>
      </c>
      <c r="DW91" s="166"/>
      <c r="DX91" s="153" t="str">
        <f>VLOOKUP(C91,薪酬明细!A:A,1,0)</f>
        <v>弈工分信息董宾宾</v>
      </c>
      <c r="DY91" s="153"/>
    </row>
    <row r="92" s="149" customFormat="1" spans="1:129">
      <c r="A92" s="163" t="s">
        <v>72</v>
      </c>
      <c r="B92" s="163" t="s">
        <v>542</v>
      </c>
      <c r="C92" s="164" t="str">
        <f t="shared" si="11"/>
        <v>弈工分信息吴立军</v>
      </c>
      <c r="D92" s="165">
        <v>46023</v>
      </c>
      <c r="E92" s="164">
        <v>5834.51</v>
      </c>
      <c r="F92" s="164">
        <v>1300.3</v>
      </c>
      <c r="G92" s="164">
        <v>0</v>
      </c>
      <c r="H92" s="164">
        <v>0</v>
      </c>
      <c r="I92" s="164">
        <v>0</v>
      </c>
      <c r="J92" s="164">
        <v>0</v>
      </c>
      <c r="K92" s="164">
        <v>0</v>
      </c>
      <c r="L92" s="164">
        <f t="shared" si="12"/>
        <v>0</v>
      </c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>
        <v>4442.19</v>
      </c>
      <c r="X92" s="164">
        <v>1300.3</v>
      </c>
      <c r="Y92" s="164">
        <v>0</v>
      </c>
      <c r="Z92" s="164">
        <v>0</v>
      </c>
      <c r="AA92" s="164">
        <v>0</v>
      </c>
      <c r="AB92" s="164">
        <v>0</v>
      </c>
      <c r="AC92" s="164">
        <v>0</v>
      </c>
      <c r="AD92" s="164">
        <f t="shared" si="13"/>
        <v>0</v>
      </c>
      <c r="AE92" s="164"/>
      <c r="AF92" s="164">
        <v>26062.33</v>
      </c>
      <c r="AG92" s="164">
        <v>1300.3</v>
      </c>
      <c r="AH92" s="164">
        <v>0</v>
      </c>
      <c r="AI92" s="164">
        <v>0</v>
      </c>
      <c r="AJ92" s="164">
        <v>0</v>
      </c>
      <c r="AK92" s="164">
        <v>0</v>
      </c>
      <c r="AL92" s="164">
        <v>0</v>
      </c>
      <c r="AM92" s="164">
        <f t="shared" si="14"/>
        <v>0</v>
      </c>
      <c r="AN92" s="164">
        <v>523.14</v>
      </c>
      <c r="AO92" s="164">
        <v>6116.69</v>
      </c>
      <c r="AP92" s="164">
        <v>1300.3</v>
      </c>
      <c r="AQ92" s="164">
        <v>0</v>
      </c>
      <c r="AR92" s="164">
        <v>0</v>
      </c>
      <c r="AS92" s="164">
        <v>0</v>
      </c>
      <c r="AT92" s="164">
        <v>0</v>
      </c>
      <c r="AU92" s="164">
        <v>0</v>
      </c>
      <c r="AV92" s="164">
        <f t="shared" si="15"/>
        <v>0</v>
      </c>
      <c r="AW92" s="164">
        <v>0</v>
      </c>
      <c r="AX92" s="164">
        <v>14814.86</v>
      </c>
      <c r="AY92" s="164">
        <v>1300.3</v>
      </c>
      <c r="AZ92" s="164">
        <v>0</v>
      </c>
      <c r="BA92" s="164">
        <v>0</v>
      </c>
      <c r="BB92" s="164">
        <v>0</v>
      </c>
      <c r="BC92" s="164">
        <v>0</v>
      </c>
      <c r="BD92" s="164">
        <v>0</v>
      </c>
      <c r="BE92" s="164">
        <f t="shared" si="16"/>
        <v>0</v>
      </c>
      <c r="BF92" s="164">
        <v>249.93</v>
      </c>
      <c r="BG92" s="164">
        <f>VLOOKUP(C92,薪酬明细!A:AC,29,0)</f>
        <v>5542.91</v>
      </c>
      <c r="BH92" s="164">
        <v>1300.3</v>
      </c>
      <c r="BI92" s="164">
        <v>0</v>
      </c>
      <c r="BJ92" s="164">
        <v>0</v>
      </c>
      <c r="BK92" s="164">
        <v>0</v>
      </c>
      <c r="BL92" s="164">
        <v>0</v>
      </c>
      <c r="BM92" s="164">
        <v>0</v>
      </c>
      <c r="BN92" s="164">
        <f t="shared" si="17"/>
        <v>0</v>
      </c>
      <c r="BO92" s="164"/>
      <c r="BP92" s="164"/>
      <c r="BQ92" s="164"/>
      <c r="BR92" s="164"/>
      <c r="BS92" s="164"/>
      <c r="BT92" s="164"/>
      <c r="BU92" s="164"/>
      <c r="BV92" s="164"/>
      <c r="BW92" s="164"/>
      <c r="BX92" s="164"/>
      <c r="BY92" s="164"/>
      <c r="BZ92" s="164"/>
      <c r="CA92" s="164"/>
      <c r="CB92" s="164"/>
      <c r="CC92" s="164"/>
      <c r="CD92" s="164"/>
      <c r="CE92" s="164"/>
      <c r="CF92" s="164"/>
      <c r="CG92" s="164"/>
      <c r="CH92" s="164"/>
      <c r="CI92" s="164"/>
      <c r="CJ92" s="164"/>
      <c r="CK92" s="164"/>
      <c r="CL92" s="164"/>
      <c r="CM92" s="164"/>
      <c r="CN92" s="164"/>
      <c r="CO92" s="164"/>
      <c r="CP92" s="164"/>
      <c r="CQ92" s="164"/>
      <c r="CR92" s="164"/>
      <c r="CS92" s="164"/>
      <c r="CT92" s="164"/>
      <c r="CU92" s="164"/>
      <c r="CV92" s="164"/>
      <c r="CW92" s="164"/>
      <c r="CX92" s="164"/>
      <c r="CY92" s="164"/>
      <c r="CZ92" s="164"/>
      <c r="DA92" s="164"/>
      <c r="DB92" s="164"/>
      <c r="DC92" s="164"/>
      <c r="DD92" s="164"/>
      <c r="DE92" s="164"/>
      <c r="DF92" s="164"/>
      <c r="DG92" s="164"/>
      <c r="DH92" s="164"/>
      <c r="DI92" s="164"/>
      <c r="DJ92" s="164"/>
      <c r="DK92" s="164"/>
      <c r="DL92" s="164"/>
      <c r="DM92" s="164"/>
      <c r="DN92" s="164"/>
      <c r="DO92" s="164"/>
      <c r="DP92" s="164"/>
      <c r="DQ92" s="164"/>
      <c r="DR92" s="163"/>
      <c r="DS92" s="164">
        <f t="shared" si="18"/>
        <v>62813.49</v>
      </c>
      <c r="DT92" s="164">
        <f t="shared" si="19"/>
        <v>7801.8</v>
      </c>
      <c r="DU92" s="164">
        <f t="shared" si="20"/>
        <v>0</v>
      </c>
      <c r="DV92" s="164">
        <f t="shared" si="21"/>
        <v>773.07</v>
      </c>
      <c r="DW92" s="166"/>
      <c r="DX92" s="153" t="str">
        <f>VLOOKUP(C92,薪酬明细!A:A,1,0)</f>
        <v>弈工分信息吴立军</v>
      </c>
      <c r="DY92" s="153"/>
    </row>
    <row r="93" s="149" customFormat="1" spans="1:129">
      <c r="A93" s="163" t="s">
        <v>71</v>
      </c>
      <c r="B93" s="163" t="s">
        <v>352</v>
      </c>
      <c r="C93" s="164" t="str">
        <f t="shared" si="11"/>
        <v>开弈投资韩喆</v>
      </c>
      <c r="D93" s="165">
        <v>46023</v>
      </c>
      <c r="E93" s="164">
        <v>50000</v>
      </c>
      <c r="F93" s="164">
        <v>0</v>
      </c>
      <c r="G93" s="164">
        <v>0</v>
      </c>
      <c r="H93" s="164">
        <v>0</v>
      </c>
      <c r="I93" s="164">
        <v>0</v>
      </c>
      <c r="J93" s="164">
        <v>0</v>
      </c>
      <c r="K93" s="164">
        <v>0</v>
      </c>
      <c r="L93" s="164">
        <f t="shared" si="12"/>
        <v>0</v>
      </c>
      <c r="M93" s="164">
        <v>10000</v>
      </c>
      <c r="N93" s="164"/>
      <c r="O93" s="164"/>
      <c r="P93" s="164"/>
      <c r="Q93" s="164"/>
      <c r="R93" s="164"/>
      <c r="S93" s="164"/>
      <c r="T93" s="164"/>
      <c r="U93" s="164"/>
      <c r="V93" s="164"/>
      <c r="W93" s="164">
        <v>33970</v>
      </c>
      <c r="X93" s="164">
        <v>0</v>
      </c>
      <c r="Y93" s="164">
        <v>0</v>
      </c>
      <c r="Z93" s="164">
        <v>0</v>
      </c>
      <c r="AA93" s="164">
        <v>0</v>
      </c>
      <c r="AB93" s="164">
        <v>0</v>
      </c>
      <c r="AC93" s="164">
        <v>0</v>
      </c>
      <c r="AD93" s="164">
        <f t="shared" si="13"/>
        <v>0</v>
      </c>
      <c r="AE93" s="164">
        <v>6152.8</v>
      </c>
      <c r="AF93" s="164">
        <v>48039.11</v>
      </c>
      <c r="AG93" s="164">
        <v>0</v>
      </c>
      <c r="AH93" s="164">
        <v>0</v>
      </c>
      <c r="AI93" s="164">
        <v>0</v>
      </c>
      <c r="AJ93" s="164">
        <v>0</v>
      </c>
      <c r="AK93" s="164">
        <v>0</v>
      </c>
      <c r="AL93" s="164">
        <v>0</v>
      </c>
      <c r="AM93" s="164">
        <f t="shared" si="14"/>
        <v>0</v>
      </c>
      <c r="AN93" s="164">
        <v>18695.54</v>
      </c>
      <c r="AO93" s="164">
        <v>45150.45</v>
      </c>
      <c r="AP93" s="164">
        <v>0</v>
      </c>
      <c r="AQ93" s="164">
        <v>0</v>
      </c>
      <c r="AR93" s="164">
        <v>0</v>
      </c>
      <c r="AS93" s="164">
        <v>0</v>
      </c>
      <c r="AT93" s="164">
        <v>0</v>
      </c>
      <c r="AU93" s="164">
        <v>0</v>
      </c>
      <c r="AV93" s="164">
        <f t="shared" si="15"/>
        <v>0</v>
      </c>
      <c r="AW93" s="164">
        <v>8836.11</v>
      </c>
      <c r="AX93" s="164">
        <v>45000.5</v>
      </c>
      <c r="AY93" s="164">
        <v>0</v>
      </c>
      <c r="AZ93" s="164">
        <v>0</v>
      </c>
      <c r="BA93" s="164">
        <v>0</v>
      </c>
      <c r="BB93" s="164">
        <v>0</v>
      </c>
      <c r="BC93" s="164">
        <v>0</v>
      </c>
      <c r="BD93" s="164">
        <v>0</v>
      </c>
      <c r="BE93" s="164">
        <f t="shared" si="16"/>
        <v>0</v>
      </c>
      <c r="BF93" s="164">
        <v>8800.12</v>
      </c>
      <c r="BG93" s="164">
        <f>VLOOKUP(C93,薪酬明细!A:AC,29,0)</f>
        <v>24285.28</v>
      </c>
      <c r="BH93" s="164">
        <v>0</v>
      </c>
      <c r="BI93" s="164">
        <v>0</v>
      </c>
      <c r="BJ93" s="164">
        <v>0</v>
      </c>
      <c r="BK93" s="164">
        <v>0</v>
      </c>
      <c r="BL93" s="164">
        <v>0</v>
      </c>
      <c r="BM93" s="164">
        <v>0</v>
      </c>
      <c r="BN93" s="164">
        <f t="shared" si="17"/>
        <v>0</v>
      </c>
      <c r="BO93" s="164"/>
      <c r="BP93" s="164"/>
      <c r="BQ93" s="164"/>
      <c r="BR93" s="164"/>
      <c r="BS93" s="164"/>
      <c r="BT93" s="164"/>
      <c r="BU93" s="164"/>
      <c r="BV93" s="164"/>
      <c r="BW93" s="164"/>
      <c r="BX93" s="164"/>
      <c r="BY93" s="164"/>
      <c r="BZ93" s="164"/>
      <c r="CA93" s="164"/>
      <c r="CB93" s="164"/>
      <c r="CC93" s="164"/>
      <c r="CD93" s="164"/>
      <c r="CE93" s="164"/>
      <c r="CF93" s="164"/>
      <c r="CG93" s="164"/>
      <c r="CH93" s="164"/>
      <c r="CI93" s="164"/>
      <c r="CJ93" s="164"/>
      <c r="CK93" s="164"/>
      <c r="CL93" s="164"/>
      <c r="CM93" s="164"/>
      <c r="CN93" s="164"/>
      <c r="CO93" s="164"/>
      <c r="CP93" s="164"/>
      <c r="CQ93" s="164"/>
      <c r="CR93" s="164"/>
      <c r="CS93" s="164"/>
      <c r="CT93" s="164"/>
      <c r="CU93" s="164"/>
      <c r="CV93" s="164"/>
      <c r="CW93" s="164"/>
      <c r="CX93" s="164"/>
      <c r="CY93" s="164"/>
      <c r="CZ93" s="164"/>
      <c r="DA93" s="164"/>
      <c r="DB93" s="164"/>
      <c r="DC93" s="164"/>
      <c r="DD93" s="164"/>
      <c r="DE93" s="164"/>
      <c r="DF93" s="164"/>
      <c r="DG93" s="164"/>
      <c r="DH93" s="164"/>
      <c r="DI93" s="164"/>
      <c r="DJ93" s="164"/>
      <c r="DK93" s="164"/>
      <c r="DL93" s="164"/>
      <c r="DM93" s="164"/>
      <c r="DN93" s="164"/>
      <c r="DO93" s="164"/>
      <c r="DP93" s="164"/>
      <c r="DQ93" s="164"/>
      <c r="DR93" s="163"/>
      <c r="DS93" s="164">
        <f t="shared" si="18"/>
        <v>246445.34</v>
      </c>
      <c r="DT93" s="164">
        <f t="shared" si="19"/>
        <v>0</v>
      </c>
      <c r="DU93" s="164">
        <f t="shared" si="20"/>
        <v>0</v>
      </c>
      <c r="DV93" s="164">
        <f t="shared" si="21"/>
        <v>52484.57</v>
      </c>
      <c r="DW93" s="166"/>
      <c r="DX93" s="153" t="str">
        <f>VLOOKUP(C93,薪酬明细!A:A,1,0)</f>
        <v>开弈投资韩喆</v>
      </c>
      <c r="DY93" s="153"/>
    </row>
    <row r="94" s="149" customFormat="1" spans="1:129">
      <c r="A94" s="163" t="s">
        <v>72</v>
      </c>
      <c r="B94" s="163" t="s">
        <v>571</v>
      </c>
      <c r="C94" s="164" t="str">
        <f t="shared" si="11"/>
        <v>弈工分信息翟建设</v>
      </c>
      <c r="D94" s="165">
        <v>46023</v>
      </c>
      <c r="E94" s="164">
        <v>4000</v>
      </c>
      <c r="F94" s="164">
        <v>0</v>
      </c>
      <c r="G94" s="164">
        <v>0</v>
      </c>
      <c r="H94" s="164">
        <v>0</v>
      </c>
      <c r="I94" s="164">
        <v>0</v>
      </c>
      <c r="J94" s="164">
        <v>0</v>
      </c>
      <c r="K94" s="164">
        <v>0</v>
      </c>
      <c r="L94" s="164">
        <f t="shared" si="12"/>
        <v>0</v>
      </c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>
        <v>4553.85</v>
      </c>
      <c r="X94" s="164">
        <v>0</v>
      </c>
      <c r="Y94" s="164">
        <v>0</v>
      </c>
      <c r="Z94" s="164">
        <v>0</v>
      </c>
      <c r="AA94" s="164">
        <v>0</v>
      </c>
      <c r="AB94" s="164">
        <v>0</v>
      </c>
      <c r="AC94" s="164">
        <v>0</v>
      </c>
      <c r="AD94" s="164">
        <f t="shared" si="13"/>
        <v>0</v>
      </c>
      <c r="AE94" s="164"/>
      <c r="AF94" s="164">
        <v>4153.85</v>
      </c>
      <c r="AG94" s="164">
        <v>0</v>
      </c>
      <c r="AH94" s="164">
        <v>0</v>
      </c>
      <c r="AI94" s="164">
        <v>0</v>
      </c>
      <c r="AJ94" s="164">
        <v>0</v>
      </c>
      <c r="AK94" s="164">
        <v>0</v>
      </c>
      <c r="AL94" s="164">
        <v>0</v>
      </c>
      <c r="AM94" s="164">
        <f t="shared" si="14"/>
        <v>0</v>
      </c>
      <c r="AN94" s="164">
        <v>0</v>
      </c>
      <c r="AO94" s="164">
        <v>4500</v>
      </c>
      <c r="AP94" s="164">
        <v>0</v>
      </c>
      <c r="AQ94" s="164">
        <v>0</v>
      </c>
      <c r="AR94" s="164">
        <v>0</v>
      </c>
      <c r="AS94" s="164">
        <v>0</v>
      </c>
      <c r="AT94" s="164">
        <v>0</v>
      </c>
      <c r="AU94" s="164">
        <v>0</v>
      </c>
      <c r="AV94" s="164">
        <f t="shared" si="15"/>
        <v>0</v>
      </c>
      <c r="AW94" s="164">
        <v>0</v>
      </c>
      <c r="AX94" s="164">
        <v>4353.85</v>
      </c>
      <c r="AY94" s="164">
        <v>0</v>
      </c>
      <c r="AZ94" s="164">
        <v>0</v>
      </c>
      <c r="BA94" s="164">
        <v>0</v>
      </c>
      <c r="BB94" s="164">
        <v>0</v>
      </c>
      <c r="BC94" s="164">
        <v>0</v>
      </c>
      <c r="BD94" s="164">
        <v>0</v>
      </c>
      <c r="BE94" s="164">
        <f t="shared" si="16"/>
        <v>0</v>
      </c>
      <c r="BF94" s="164">
        <v>0</v>
      </c>
      <c r="BG94" s="164">
        <f>VLOOKUP(C94,薪酬明细!A:AC,29,0)</f>
        <v>4300</v>
      </c>
      <c r="BH94" s="164">
        <v>0</v>
      </c>
      <c r="BI94" s="164">
        <v>0</v>
      </c>
      <c r="BJ94" s="164">
        <v>0</v>
      </c>
      <c r="BK94" s="164">
        <v>0</v>
      </c>
      <c r="BL94" s="164">
        <v>0</v>
      </c>
      <c r="BM94" s="164">
        <v>0</v>
      </c>
      <c r="BN94" s="164">
        <f t="shared" si="17"/>
        <v>0</v>
      </c>
      <c r="BO94" s="164"/>
      <c r="BP94" s="164"/>
      <c r="BQ94" s="164"/>
      <c r="BR94" s="164"/>
      <c r="BS94" s="164"/>
      <c r="BT94" s="164"/>
      <c r="BU94" s="164"/>
      <c r="BV94" s="164"/>
      <c r="BW94" s="164"/>
      <c r="BX94" s="164"/>
      <c r="BY94" s="164"/>
      <c r="BZ94" s="164"/>
      <c r="CA94" s="164"/>
      <c r="CB94" s="164"/>
      <c r="CC94" s="164"/>
      <c r="CD94" s="164"/>
      <c r="CE94" s="164"/>
      <c r="CF94" s="164"/>
      <c r="CG94" s="164"/>
      <c r="CH94" s="164"/>
      <c r="CI94" s="164"/>
      <c r="CJ94" s="164"/>
      <c r="CK94" s="164"/>
      <c r="CL94" s="164"/>
      <c r="CM94" s="164"/>
      <c r="CN94" s="164"/>
      <c r="CO94" s="164"/>
      <c r="CP94" s="164"/>
      <c r="CQ94" s="164"/>
      <c r="CR94" s="164"/>
      <c r="CS94" s="164"/>
      <c r="CT94" s="164"/>
      <c r="CU94" s="164"/>
      <c r="CV94" s="164"/>
      <c r="CW94" s="164"/>
      <c r="CX94" s="164"/>
      <c r="CY94" s="164"/>
      <c r="CZ94" s="164"/>
      <c r="DA94" s="164"/>
      <c r="DB94" s="164"/>
      <c r="DC94" s="164"/>
      <c r="DD94" s="164"/>
      <c r="DE94" s="164"/>
      <c r="DF94" s="164"/>
      <c r="DG94" s="164"/>
      <c r="DH94" s="164"/>
      <c r="DI94" s="164"/>
      <c r="DJ94" s="164"/>
      <c r="DK94" s="164"/>
      <c r="DL94" s="164"/>
      <c r="DM94" s="164"/>
      <c r="DN94" s="164"/>
      <c r="DO94" s="164"/>
      <c r="DP94" s="164"/>
      <c r="DQ94" s="164"/>
      <c r="DR94" s="163"/>
      <c r="DS94" s="164">
        <f t="shared" si="18"/>
        <v>25861.55</v>
      </c>
      <c r="DT94" s="164">
        <f t="shared" si="19"/>
        <v>0</v>
      </c>
      <c r="DU94" s="164">
        <f t="shared" si="20"/>
        <v>0</v>
      </c>
      <c r="DV94" s="164">
        <f t="shared" si="21"/>
        <v>0</v>
      </c>
      <c r="DW94" s="166"/>
      <c r="DX94" s="153" t="str">
        <f>VLOOKUP(C94,薪酬明细!A:A,1,0)</f>
        <v>弈工分信息翟建设</v>
      </c>
      <c r="DY94" s="153"/>
    </row>
    <row r="95" s="149" customFormat="1" spans="1:129">
      <c r="A95" s="163" t="s">
        <v>72</v>
      </c>
      <c r="B95" s="163" t="s">
        <v>555</v>
      </c>
      <c r="C95" s="164" t="str">
        <f t="shared" si="11"/>
        <v>弈工分信息宋卫东</v>
      </c>
      <c r="D95" s="165">
        <v>46023</v>
      </c>
      <c r="E95" s="164">
        <v>4090</v>
      </c>
      <c r="F95" s="164">
        <v>0</v>
      </c>
      <c r="G95" s="164">
        <v>0</v>
      </c>
      <c r="H95" s="164">
        <v>0</v>
      </c>
      <c r="I95" s="164">
        <v>0</v>
      </c>
      <c r="J95" s="164">
        <v>0</v>
      </c>
      <c r="K95" s="164">
        <v>0</v>
      </c>
      <c r="L95" s="164">
        <f t="shared" si="12"/>
        <v>0</v>
      </c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>
        <v>5193.85</v>
      </c>
      <c r="X95" s="164">
        <v>0</v>
      </c>
      <c r="Y95" s="164">
        <v>0</v>
      </c>
      <c r="Z95" s="164">
        <v>0</v>
      </c>
      <c r="AA95" s="164">
        <v>0</v>
      </c>
      <c r="AB95" s="164">
        <v>0</v>
      </c>
      <c r="AC95" s="164">
        <v>0</v>
      </c>
      <c r="AD95" s="164">
        <f t="shared" si="13"/>
        <v>0</v>
      </c>
      <c r="AE95" s="164"/>
      <c r="AF95" s="164">
        <v>4273.85</v>
      </c>
      <c r="AG95" s="164">
        <v>0</v>
      </c>
      <c r="AH95" s="164">
        <v>0</v>
      </c>
      <c r="AI95" s="164">
        <v>0</v>
      </c>
      <c r="AJ95" s="164">
        <v>0</v>
      </c>
      <c r="AK95" s="164">
        <v>0</v>
      </c>
      <c r="AL95" s="164">
        <v>0</v>
      </c>
      <c r="AM95" s="164">
        <f t="shared" si="14"/>
        <v>0</v>
      </c>
      <c r="AN95" s="164">
        <v>0</v>
      </c>
      <c r="AO95" s="164">
        <v>4090</v>
      </c>
      <c r="AP95" s="164">
        <v>0</v>
      </c>
      <c r="AQ95" s="164">
        <v>0</v>
      </c>
      <c r="AR95" s="164">
        <v>0</v>
      </c>
      <c r="AS95" s="164">
        <v>0</v>
      </c>
      <c r="AT95" s="164">
        <v>0</v>
      </c>
      <c r="AU95" s="164">
        <v>0</v>
      </c>
      <c r="AV95" s="164">
        <f t="shared" si="15"/>
        <v>0</v>
      </c>
      <c r="AW95" s="164">
        <v>0</v>
      </c>
      <c r="AX95" s="164">
        <v>4545</v>
      </c>
      <c r="AY95" s="164">
        <v>0</v>
      </c>
      <c r="AZ95" s="164">
        <v>0</v>
      </c>
      <c r="BA95" s="164">
        <v>0</v>
      </c>
      <c r="BB95" s="164">
        <v>0</v>
      </c>
      <c r="BC95" s="164">
        <v>0</v>
      </c>
      <c r="BD95" s="164">
        <v>0</v>
      </c>
      <c r="BE95" s="164">
        <f t="shared" si="16"/>
        <v>0</v>
      </c>
      <c r="BF95" s="164">
        <v>0</v>
      </c>
      <c r="BG95" s="164">
        <f>VLOOKUP(C95,薪酬明细!A:AC,29,0)</f>
        <v>273.85</v>
      </c>
      <c r="BH95" s="164">
        <v>0</v>
      </c>
      <c r="BI95" s="164">
        <v>0</v>
      </c>
      <c r="BJ95" s="164">
        <v>0</v>
      </c>
      <c r="BK95" s="164">
        <v>0</v>
      </c>
      <c r="BL95" s="164">
        <v>0</v>
      </c>
      <c r="BM95" s="164">
        <v>0</v>
      </c>
      <c r="BN95" s="164">
        <f t="shared" si="17"/>
        <v>0</v>
      </c>
      <c r="BO95" s="164"/>
      <c r="BP95" s="164"/>
      <c r="BQ95" s="164"/>
      <c r="BR95" s="164"/>
      <c r="BS95" s="164"/>
      <c r="BT95" s="164"/>
      <c r="BU95" s="164"/>
      <c r="BV95" s="164"/>
      <c r="BW95" s="164"/>
      <c r="BX95" s="164"/>
      <c r="BY95" s="164"/>
      <c r="BZ95" s="164"/>
      <c r="CA95" s="164"/>
      <c r="CB95" s="164"/>
      <c r="CC95" s="164"/>
      <c r="CD95" s="164"/>
      <c r="CE95" s="164"/>
      <c r="CF95" s="164"/>
      <c r="CG95" s="164"/>
      <c r="CH95" s="164"/>
      <c r="CI95" s="164"/>
      <c r="CJ95" s="164"/>
      <c r="CK95" s="164"/>
      <c r="CL95" s="164"/>
      <c r="CM95" s="164"/>
      <c r="CN95" s="164"/>
      <c r="CO95" s="164"/>
      <c r="CP95" s="164"/>
      <c r="CQ95" s="164"/>
      <c r="CR95" s="164"/>
      <c r="CS95" s="164"/>
      <c r="CT95" s="164"/>
      <c r="CU95" s="164"/>
      <c r="CV95" s="164"/>
      <c r="CW95" s="164"/>
      <c r="CX95" s="164"/>
      <c r="CY95" s="164"/>
      <c r="CZ95" s="164"/>
      <c r="DA95" s="164"/>
      <c r="DB95" s="164"/>
      <c r="DC95" s="164"/>
      <c r="DD95" s="164"/>
      <c r="DE95" s="164"/>
      <c r="DF95" s="164"/>
      <c r="DG95" s="164"/>
      <c r="DH95" s="164"/>
      <c r="DI95" s="164"/>
      <c r="DJ95" s="164"/>
      <c r="DK95" s="164"/>
      <c r="DL95" s="164"/>
      <c r="DM95" s="164"/>
      <c r="DN95" s="164"/>
      <c r="DO95" s="164"/>
      <c r="DP95" s="164"/>
      <c r="DQ95" s="164"/>
      <c r="DR95" s="163"/>
      <c r="DS95" s="164">
        <f t="shared" si="18"/>
        <v>22466.55</v>
      </c>
      <c r="DT95" s="164">
        <f t="shared" si="19"/>
        <v>0</v>
      </c>
      <c r="DU95" s="164">
        <f t="shared" si="20"/>
        <v>0</v>
      </c>
      <c r="DV95" s="164">
        <f t="shared" si="21"/>
        <v>0</v>
      </c>
      <c r="DW95" s="166"/>
      <c r="DX95" s="153" t="str">
        <f>VLOOKUP(C95,薪酬明细!A:A,1,0)</f>
        <v>弈工分信息宋卫东</v>
      </c>
      <c r="DY95" s="153"/>
    </row>
    <row r="96" s="149" customFormat="1" spans="1:129">
      <c r="A96" s="163" t="s">
        <v>72</v>
      </c>
      <c r="B96" s="163" t="s">
        <v>573</v>
      </c>
      <c r="C96" s="164" t="str">
        <f t="shared" si="11"/>
        <v>弈工分信息徐培珍</v>
      </c>
      <c r="D96" s="165">
        <v>46023</v>
      </c>
      <c r="E96" s="164">
        <v>4000</v>
      </c>
      <c r="F96" s="164">
        <v>0</v>
      </c>
      <c r="G96" s="164">
        <v>0</v>
      </c>
      <c r="H96" s="164">
        <v>0</v>
      </c>
      <c r="I96" s="164">
        <v>0</v>
      </c>
      <c r="J96" s="164">
        <v>0</v>
      </c>
      <c r="K96" s="164">
        <v>0</v>
      </c>
      <c r="L96" s="164">
        <f t="shared" si="12"/>
        <v>0</v>
      </c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>
        <v>4200</v>
      </c>
      <c r="X96" s="164">
        <v>0</v>
      </c>
      <c r="Y96" s="164">
        <v>0</v>
      </c>
      <c r="Z96" s="164">
        <v>0</v>
      </c>
      <c r="AA96" s="164">
        <v>0</v>
      </c>
      <c r="AB96" s="164">
        <v>0</v>
      </c>
      <c r="AC96" s="164">
        <v>0</v>
      </c>
      <c r="AD96" s="164">
        <f t="shared" si="13"/>
        <v>0</v>
      </c>
      <c r="AE96" s="164"/>
      <c r="AF96" s="164">
        <v>4000</v>
      </c>
      <c r="AG96" s="164">
        <v>0</v>
      </c>
      <c r="AH96" s="164">
        <v>0</v>
      </c>
      <c r="AI96" s="164">
        <v>0</v>
      </c>
      <c r="AJ96" s="164">
        <v>0</v>
      </c>
      <c r="AK96" s="164">
        <v>0</v>
      </c>
      <c r="AL96" s="164">
        <v>0</v>
      </c>
      <c r="AM96" s="164">
        <f t="shared" si="14"/>
        <v>0</v>
      </c>
      <c r="AN96" s="164">
        <v>0</v>
      </c>
      <c r="AO96" s="164">
        <v>4400</v>
      </c>
      <c r="AP96" s="164">
        <v>0</v>
      </c>
      <c r="AQ96" s="164">
        <v>0</v>
      </c>
      <c r="AR96" s="164">
        <v>0</v>
      </c>
      <c r="AS96" s="164">
        <v>0</v>
      </c>
      <c r="AT96" s="164">
        <v>0</v>
      </c>
      <c r="AU96" s="164">
        <v>0</v>
      </c>
      <c r="AV96" s="164">
        <f t="shared" si="15"/>
        <v>0</v>
      </c>
      <c r="AW96" s="164">
        <v>0</v>
      </c>
      <c r="AX96" s="164">
        <v>4000</v>
      </c>
      <c r="AY96" s="164">
        <v>0</v>
      </c>
      <c r="AZ96" s="164">
        <v>0</v>
      </c>
      <c r="BA96" s="164">
        <v>0</v>
      </c>
      <c r="BB96" s="164">
        <v>0</v>
      </c>
      <c r="BC96" s="164">
        <v>0</v>
      </c>
      <c r="BD96" s="164">
        <v>0</v>
      </c>
      <c r="BE96" s="164">
        <f t="shared" si="16"/>
        <v>0</v>
      </c>
      <c r="BF96" s="164">
        <v>0</v>
      </c>
      <c r="BG96" s="164">
        <f>VLOOKUP(C96,薪酬明细!A:AC,29,0)</f>
        <v>4200</v>
      </c>
      <c r="BH96" s="164">
        <v>0</v>
      </c>
      <c r="BI96" s="164">
        <v>0</v>
      </c>
      <c r="BJ96" s="164">
        <v>0</v>
      </c>
      <c r="BK96" s="164">
        <v>0</v>
      </c>
      <c r="BL96" s="164">
        <v>0</v>
      </c>
      <c r="BM96" s="164">
        <v>0</v>
      </c>
      <c r="BN96" s="164">
        <f t="shared" si="17"/>
        <v>0</v>
      </c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4"/>
      <c r="CA96" s="164"/>
      <c r="CB96" s="164"/>
      <c r="CC96" s="164"/>
      <c r="CD96" s="164"/>
      <c r="CE96" s="164"/>
      <c r="CF96" s="164"/>
      <c r="CG96" s="164"/>
      <c r="CH96" s="164"/>
      <c r="CI96" s="164"/>
      <c r="CJ96" s="164"/>
      <c r="CK96" s="164"/>
      <c r="CL96" s="164"/>
      <c r="CM96" s="164"/>
      <c r="CN96" s="164"/>
      <c r="CO96" s="164"/>
      <c r="CP96" s="164"/>
      <c r="CQ96" s="164"/>
      <c r="CR96" s="164"/>
      <c r="CS96" s="164"/>
      <c r="CT96" s="164"/>
      <c r="CU96" s="164"/>
      <c r="CV96" s="164"/>
      <c r="CW96" s="164"/>
      <c r="CX96" s="164"/>
      <c r="CY96" s="164"/>
      <c r="CZ96" s="164"/>
      <c r="DA96" s="164"/>
      <c r="DB96" s="164"/>
      <c r="DC96" s="164"/>
      <c r="DD96" s="164"/>
      <c r="DE96" s="164"/>
      <c r="DF96" s="164"/>
      <c r="DG96" s="164"/>
      <c r="DH96" s="164"/>
      <c r="DI96" s="164"/>
      <c r="DJ96" s="164"/>
      <c r="DK96" s="164"/>
      <c r="DL96" s="164"/>
      <c r="DM96" s="164"/>
      <c r="DN96" s="164"/>
      <c r="DO96" s="164"/>
      <c r="DP96" s="164"/>
      <c r="DQ96" s="164"/>
      <c r="DR96" s="163"/>
      <c r="DS96" s="164">
        <f t="shared" si="18"/>
        <v>24800</v>
      </c>
      <c r="DT96" s="164">
        <f t="shared" si="19"/>
        <v>0</v>
      </c>
      <c r="DU96" s="164">
        <f t="shared" si="20"/>
        <v>0</v>
      </c>
      <c r="DV96" s="164">
        <f t="shared" si="21"/>
        <v>0</v>
      </c>
      <c r="DW96" s="166"/>
      <c r="DX96" s="153" t="str">
        <f>VLOOKUP(C96,薪酬明细!A:A,1,0)</f>
        <v>弈工分信息徐培珍</v>
      </c>
      <c r="DY96" s="153"/>
    </row>
    <row r="97" s="149" customFormat="1" spans="1:129">
      <c r="A97" s="163" t="s">
        <v>72</v>
      </c>
      <c r="B97" s="163" t="s">
        <v>577</v>
      </c>
      <c r="C97" s="164" t="str">
        <f t="shared" si="11"/>
        <v>弈工分信息于爱丽</v>
      </c>
      <c r="D97" s="165">
        <v>46023</v>
      </c>
      <c r="E97" s="164">
        <v>4000</v>
      </c>
      <c r="F97" s="164">
        <v>0</v>
      </c>
      <c r="G97" s="164">
        <v>0</v>
      </c>
      <c r="H97" s="164">
        <v>0</v>
      </c>
      <c r="I97" s="164">
        <v>0</v>
      </c>
      <c r="J97" s="164">
        <v>0</v>
      </c>
      <c r="K97" s="164">
        <v>0</v>
      </c>
      <c r="L97" s="164">
        <f t="shared" si="12"/>
        <v>0</v>
      </c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>
        <v>4953.85</v>
      </c>
      <c r="X97" s="164">
        <v>0</v>
      </c>
      <c r="Y97" s="164">
        <v>0</v>
      </c>
      <c r="Z97" s="164">
        <v>0</v>
      </c>
      <c r="AA97" s="164">
        <v>0</v>
      </c>
      <c r="AB97" s="164">
        <v>0</v>
      </c>
      <c r="AC97" s="164">
        <v>0</v>
      </c>
      <c r="AD97" s="164">
        <f t="shared" si="13"/>
        <v>0</v>
      </c>
      <c r="AE97" s="164"/>
      <c r="AF97" s="164">
        <v>4153.85</v>
      </c>
      <c r="AG97" s="164">
        <v>0</v>
      </c>
      <c r="AH97" s="164">
        <v>0</v>
      </c>
      <c r="AI97" s="164">
        <v>0</v>
      </c>
      <c r="AJ97" s="164">
        <v>0</v>
      </c>
      <c r="AK97" s="164">
        <v>0</v>
      </c>
      <c r="AL97" s="164">
        <v>0</v>
      </c>
      <c r="AM97" s="164">
        <f t="shared" si="14"/>
        <v>0</v>
      </c>
      <c r="AN97" s="164">
        <v>0</v>
      </c>
      <c r="AO97" s="164">
        <v>4000</v>
      </c>
      <c r="AP97" s="164">
        <v>0</v>
      </c>
      <c r="AQ97" s="164">
        <v>0</v>
      </c>
      <c r="AR97" s="164">
        <v>0</v>
      </c>
      <c r="AS97" s="164">
        <v>0</v>
      </c>
      <c r="AT97" s="164">
        <v>0</v>
      </c>
      <c r="AU97" s="164">
        <v>0</v>
      </c>
      <c r="AV97" s="164">
        <f t="shared" si="15"/>
        <v>0</v>
      </c>
      <c r="AW97" s="164">
        <v>0</v>
      </c>
      <c r="AX97" s="164">
        <v>4200</v>
      </c>
      <c r="AY97" s="164">
        <v>0</v>
      </c>
      <c r="AZ97" s="164">
        <v>0</v>
      </c>
      <c r="BA97" s="164">
        <v>0</v>
      </c>
      <c r="BB97" s="164">
        <v>0</v>
      </c>
      <c r="BC97" s="164">
        <v>0</v>
      </c>
      <c r="BD97" s="164">
        <v>0</v>
      </c>
      <c r="BE97" s="164">
        <f t="shared" si="16"/>
        <v>0</v>
      </c>
      <c r="BF97" s="164">
        <v>0</v>
      </c>
      <c r="BG97" s="164">
        <f>VLOOKUP(C97,薪酬明细!A:AC,29,0)</f>
        <v>1538.46</v>
      </c>
      <c r="BH97" s="164">
        <v>0</v>
      </c>
      <c r="BI97" s="164">
        <v>0</v>
      </c>
      <c r="BJ97" s="164">
        <v>0</v>
      </c>
      <c r="BK97" s="164">
        <v>0</v>
      </c>
      <c r="BL97" s="164">
        <v>0</v>
      </c>
      <c r="BM97" s="164">
        <v>0</v>
      </c>
      <c r="BN97" s="164">
        <f t="shared" si="17"/>
        <v>0</v>
      </c>
      <c r="BO97" s="164"/>
      <c r="BP97" s="164"/>
      <c r="BQ97" s="164"/>
      <c r="BR97" s="164"/>
      <c r="BS97" s="164"/>
      <c r="BT97" s="164"/>
      <c r="BU97" s="164"/>
      <c r="BV97" s="164"/>
      <c r="BW97" s="164"/>
      <c r="BX97" s="164"/>
      <c r="BY97" s="164"/>
      <c r="BZ97" s="164"/>
      <c r="CA97" s="164"/>
      <c r="CB97" s="164"/>
      <c r="CC97" s="164"/>
      <c r="CD97" s="164"/>
      <c r="CE97" s="164"/>
      <c r="CF97" s="164"/>
      <c r="CG97" s="164"/>
      <c r="CH97" s="164"/>
      <c r="CI97" s="164"/>
      <c r="CJ97" s="164"/>
      <c r="CK97" s="164"/>
      <c r="CL97" s="164"/>
      <c r="CM97" s="164"/>
      <c r="CN97" s="164"/>
      <c r="CO97" s="164"/>
      <c r="CP97" s="164"/>
      <c r="CQ97" s="164"/>
      <c r="CR97" s="164"/>
      <c r="CS97" s="164"/>
      <c r="CT97" s="164"/>
      <c r="CU97" s="164"/>
      <c r="CV97" s="164"/>
      <c r="CW97" s="164"/>
      <c r="CX97" s="164"/>
      <c r="CY97" s="164"/>
      <c r="CZ97" s="164"/>
      <c r="DA97" s="164"/>
      <c r="DB97" s="164"/>
      <c r="DC97" s="164"/>
      <c r="DD97" s="164"/>
      <c r="DE97" s="164"/>
      <c r="DF97" s="164"/>
      <c r="DG97" s="164"/>
      <c r="DH97" s="164"/>
      <c r="DI97" s="164"/>
      <c r="DJ97" s="164"/>
      <c r="DK97" s="164"/>
      <c r="DL97" s="164"/>
      <c r="DM97" s="164"/>
      <c r="DN97" s="164"/>
      <c r="DO97" s="164"/>
      <c r="DP97" s="164"/>
      <c r="DQ97" s="164"/>
      <c r="DR97" s="163"/>
      <c r="DS97" s="164">
        <f t="shared" si="18"/>
        <v>22846.16</v>
      </c>
      <c r="DT97" s="164">
        <f t="shared" si="19"/>
        <v>0</v>
      </c>
      <c r="DU97" s="164">
        <f t="shared" si="20"/>
        <v>0</v>
      </c>
      <c r="DV97" s="164">
        <f t="shared" si="21"/>
        <v>0</v>
      </c>
      <c r="DW97" s="166"/>
      <c r="DX97" s="153" t="str">
        <f>VLOOKUP(C97,薪酬明细!A:A,1,0)</f>
        <v>弈工分信息于爱丽</v>
      </c>
      <c r="DY97" s="153"/>
    </row>
    <row r="98" s="149" customFormat="1" spans="1:129">
      <c r="A98" s="163" t="s">
        <v>73</v>
      </c>
      <c r="B98" s="163" t="s">
        <v>464</v>
      </c>
      <c r="C98" s="164" t="str">
        <f t="shared" si="11"/>
        <v>弈工分健康殷德昌</v>
      </c>
      <c r="D98" s="165">
        <v>46023</v>
      </c>
      <c r="E98" s="164">
        <v>4200</v>
      </c>
      <c r="F98" s="164">
        <v>0</v>
      </c>
      <c r="G98" s="164">
        <v>0</v>
      </c>
      <c r="H98" s="164">
        <v>0</v>
      </c>
      <c r="I98" s="164">
        <v>0</v>
      </c>
      <c r="J98" s="164">
        <v>0</v>
      </c>
      <c r="K98" s="164">
        <v>0</v>
      </c>
      <c r="L98" s="164">
        <f t="shared" si="12"/>
        <v>0</v>
      </c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>
        <v>4400</v>
      </c>
      <c r="X98" s="164">
        <v>0</v>
      </c>
      <c r="Y98" s="164">
        <v>0</v>
      </c>
      <c r="Z98" s="164">
        <v>0</v>
      </c>
      <c r="AA98" s="164">
        <v>0</v>
      </c>
      <c r="AB98" s="164">
        <v>0</v>
      </c>
      <c r="AC98" s="164">
        <v>0</v>
      </c>
      <c r="AD98" s="164">
        <f t="shared" si="13"/>
        <v>0</v>
      </c>
      <c r="AE98" s="164"/>
      <c r="AF98" s="164">
        <v>4153.85</v>
      </c>
      <c r="AG98" s="164">
        <v>0</v>
      </c>
      <c r="AH98" s="164">
        <v>0</v>
      </c>
      <c r="AI98" s="164">
        <v>0</v>
      </c>
      <c r="AJ98" s="164">
        <v>0</v>
      </c>
      <c r="AK98" s="164">
        <v>0</v>
      </c>
      <c r="AL98" s="164">
        <v>0</v>
      </c>
      <c r="AM98" s="164">
        <f t="shared" si="14"/>
        <v>0</v>
      </c>
      <c r="AN98" s="164">
        <v>0</v>
      </c>
      <c r="AO98" s="164">
        <v>4000</v>
      </c>
      <c r="AP98" s="164">
        <v>0</v>
      </c>
      <c r="AQ98" s="164">
        <v>0</v>
      </c>
      <c r="AR98" s="164">
        <v>0</v>
      </c>
      <c r="AS98" s="164">
        <v>0</v>
      </c>
      <c r="AT98" s="164">
        <v>0</v>
      </c>
      <c r="AU98" s="164">
        <v>0</v>
      </c>
      <c r="AV98" s="164">
        <f t="shared" si="15"/>
        <v>0</v>
      </c>
      <c r="AW98" s="164">
        <v>0</v>
      </c>
      <c r="AX98" s="164">
        <v>4353.85</v>
      </c>
      <c r="AY98" s="164">
        <v>0</v>
      </c>
      <c r="AZ98" s="164">
        <v>0</v>
      </c>
      <c r="BA98" s="164">
        <v>0</v>
      </c>
      <c r="BB98" s="164">
        <v>0</v>
      </c>
      <c r="BC98" s="164">
        <v>0</v>
      </c>
      <c r="BD98" s="164">
        <v>0</v>
      </c>
      <c r="BE98" s="164">
        <f t="shared" si="16"/>
        <v>0</v>
      </c>
      <c r="BF98" s="164">
        <v>0</v>
      </c>
      <c r="BG98" s="164">
        <f>VLOOKUP(C98,薪酬明细!A:AC,29,0)</f>
        <v>4550</v>
      </c>
      <c r="BH98" s="164">
        <v>0</v>
      </c>
      <c r="BI98" s="164">
        <v>0</v>
      </c>
      <c r="BJ98" s="164">
        <v>0</v>
      </c>
      <c r="BK98" s="164">
        <v>0</v>
      </c>
      <c r="BL98" s="164">
        <v>0</v>
      </c>
      <c r="BM98" s="164">
        <v>0</v>
      </c>
      <c r="BN98" s="164">
        <f t="shared" si="17"/>
        <v>0</v>
      </c>
      <c r="BO98" s="164"/>
      <c r="BP98" s="164"/>
      <c r="BQ98" s="164"/>
      <c r="BR98" s="164"/>
      <c r="BS98" s="164"/>
      <c r="BT98" s="164"/>
      <c r="BU98" s="164"/>
      <c r="BV98" s="164"/>
      <c r="BW98" s="164"/>
      <c r="BX98" s="164"/>
      <c r="BY98" s="164"/>
      <c r="BZ98" s="164"/>
      <c r="CA98" s="164"/>
      <c r="CB98" s="164"/>
      <c r="CC98" s="164"/>
      <c r="CD98" s="164"/>
      <c r="CE98" s="164"/>
      <c r="CF98" s="164"/>
      <c r="CG98" s="164"/>
      <c r="CH98" s="164"/>
      <c r="CI98" s="164"/>
      <c r="CJ98" s="164"/>
      <c r="CK98" s="164"/>
      <c r="CL98" s="164"/>
      <c r="CM98" s="164"/>
      <c r="CN98" s="164"/>
      <c r="CO98" s="164"/>
      <c r="CP98" s="164"/>
      <c r="CQ98" s="164"/>
      <c r="CR98" s="164"/>
      <c r="CS98" s="164"/>
      <c r="CT98" s="164"/>
      <c r="CU98" s="164"/>
      <c r="CV98" s="164"/>
      <c r="CW98" s="164"/>
      <c r="CX98" s="164"/>
      <c r="CY98" s="164"/>
      <c r="CZ98" s="164"/>
      <c r="DA98" s="164"/>
      <c r="DB98" s="164"/>
      <c r="DC98" s="164"/>
      <c r="DD98" s="164"/>
      <c r="DE98" s="164"/>
      <c r="DF98" s="164"/>
      <c r="DG98" s="164"/>
      <c r="DH98" s="164"/>
      <c r="DI98" s="164"/>
      <c r="DJ98" s="164"/>
      <c r="DK98" s="164"/>
      <c r="DL98" s="164"/>
      <c r="DM98" s="164"/>
      <c r="DN98" s="164"/>
      <c r="DO98" s="164"/>
      <c r="DP98" s="164"/>
      <c r="DQ98" s="164"/>
      <c r="DR98" s="163"/>
      <c r="DS98" s="164">
        <f t="shared" si="18"/>
        <v>25657.7</v>
      </c>
      <c r="DT98" s="164">
        <f t="shared" si="19"/>
        <v>0</v>
      </c>
      <c r="DU98" s="164">
        <f t="shared" si="20"/>
        <v>0</v>
      </c>
      <c r="DV98" s="164">
        <f t="shared" si="21"/>
        <v>0</v>
      </c>
      <c r="DW98" s="166"/>
      <c r="DX98" s="153" t="str">
        <f>VLOOKUP(C98,薪酬明细!A:A,1,0)</f>
        <v>弈工分健康殷德昌</v>
      </c>
      <c r="DY98" s="153"/>
    </row>
    <row r="99" s="149" customFormat="1" spans="1:129">
      <c r="A99" s="163" t="s">
        <v>73</v>
      </c>
      <c r="B99" s="163" t="s">
        <v>467</v>
      </c>
      <c r="C99" s="164" t="str">
        <f t="shared" si="11"/>
        <v>弈工分健康高玉玲</v>
      </c>
      <c r="D99" s="165">
        <v>46023</v>
      </c>
      <c r="E99" s="164">
        <v>4300</v>
      </c>
      <c r="F99" s="164">
        <v>0</v>
      </c>
      <c r="G99" s="164">
        <v>0</v>
      </c>
      <c r="H99" s="164">
        <v>0</v>
      </c>
      <c r="I99" s="164">
        <v>0</v>
      </c>
      <c r="J99" s="164">
        <v>0</v>
      </c>
      <c r="K99" s="164">
        <v>0</v>
      </c>
      <c r="L99" s="164">
        <f t="shared" si="12"/>
        <v>0</v>
      </c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>
        <v>3413.85</v>
      </c>
      <c r="X99" s="164">
        <v>0</v>
      </c>
      <c r="Y99" s="164">
        <v>0</v>
      </c>
      <c r="Z99" s="164">
        <v>0</v>
      </c>
      <c r="AA99" s="164">
        <v>0</v>
      </c>
      <c r="AB99" s="164">
        <v>0</v>
      </c>
      <c r="AC99" s="164">
        <v>0</v>
      </c>
      <c r="AD99" s="164">
        <f t="shared" si="13"/>
        <v>0</v>
      </c>
      <c r="AE99" s="164"/>
      <c r="AF99" s="164">
        <v>4080</v>
      </c>
      <c r="AG99" s="164">
        <v>0</v>
      </c>
      <c r="AH99" s="164">
        <v>0</v>
      </c>
      <c r="AI99" s="164">
        <v>0</v>
      </c>
      <c r="AJ99" s="164">
        <v>0</v>
      </c>
      <c r="AK99" s="164">
        <v>0</v>
      </c>
      <c r="AL99" s="164">
        <v>0</v>
      </c>
      <c r="AM99" s="164">
        <f t="shared" si="14"/>
        <v>0</v>
      </c>
      <c r="AN99" s="164">
        <v>0</v>
      </c>
      <c r="AO99" s="164">
        <v>4080</v>
      </c>
      <c r="AP99" s="164">
        <v>0</v>
      </c>
      <c r="AQ99" s="164">
        <v>0</v>
      </c>
      <c r="AR99" s="164">
        <v>0</v>
      </c>
      <c r="AS99" s="164">
        <v>0</v>
      </c>
      <c r="AT99" s="164">
        <v>0</v>
      </c>
      <c r="AU99" s="164">
        <v>0</v>
      </c>
      <c r="AV99" s="164">
        <f t="shared" si="15"/>
        <v>0</v>
      </c>
      <c r="AW99" s="164">
        <v>0</v>
      </c>
      <c r="AX99" s="164">
        <v>4300</v>
      </c>
      <c r="AY99" s="164">
        <v>0</v>
      </c>
      <c r="AZ99" s="164">
        <v>0</v>
      </c>
      <c r="BA99" s="164">
        <v>0</v>
      </c>
      <c r="BB99" s="164">
        <v>0</v>
      </c>
      <c r="BC99" s="164">
        <v>0</v>
      </c>
      <c r="BD99" s="164">
        <v>0</v>
      </c>
      <c r="BE99" s="164">
        <f t="shared" si="16"/>
        <v>0</v>
      </c>
      <c r="BF99" s="164">
        <v>0</v>
      </c>
      <c r="BG99" s="164">
        <f>VLOOKUP(C99,薪酬明细!A:AC,29,0)</f>
        <v>4100</v>
      </c>
      <c r="BH99" s="164">
        <v>0</v>
      </c>
      <c r="BI99" s="164">
        <v>0</v>
      </c>
      <c r="BJ99" s="164">
        <v>0</v>
      </c>
      <c r="BK99" s="164">
        <v>0</v>
      </c>
      <c r="BL99" s="164">
        <v>0</v>
      </c>
      <c r="BM99" s="164">
        <v>0</v>
      </c>
      <c r="BN99" s="164">
        <f t="shared" si="17"/>
        <v>0</v>
      </c>
      <c r="BO99" s="164"/>
      <c r="BP99" s="164"/>
      <c r="BQ99" s="164"/>
      <c r="BR99" s="164"/>
      <c r="BS99" s="164"/>
      <c r="BT99" s="164"/>
      <c r="BU99" s="164"/>
      <c r="BV99" s="164"/>
      <c r="BW99" s="164"/>
      <c r="BX99" s="164"/>
      <c r="BY99" s="164"/>
      <c r="BZ99" s="164"/>
      <c r="CA99" s="164"/>
      <c r="CB99" s="164"/>
      <c r="CC99" s="164"/>
      <c r="CD99" s="164"/>
      <c r="CE99" s="164"/>
      <c r="CF99" s="164"/>
      <c r="CG99" s="164"/>
      <c r="CH99" s="164"/>
      <c r="CI99" s="164"/>
      <c r="CJ99" s="164"/>
      <c r="CK99" s="164"/>
      <c r="CL99" s="164"/>
      <c r="CM99" s="164"/>
      <c r="CN99" s="164"/>
      <c r="CO99" s="164"/>
      <c r="CP99" s="164"/>
      <c r="CQ99" s="164"/>
      <c r="CR99" s="164"/>
      <c r="CS99" s="164"/>
      <c r="CT99" s="164"/>
      <c r="CU99" s="164"/>
      <c r="CV99" s="164"/>
      <c r="CW99" s="164"/>
      <c r="CX99" s="164"/>
      <c r="CY99" s="164"/>
      <c r="CZ99" s="164"/>
      <c r="DA99" s="164"/>
      <c r="DB99" s="164"/>
      <c r="DC99" s="164"/>
      <c r="DD99" s="164"/>
      <c r="DE99" s="164"/>
      <c r="DF99" s="164"/>
      <c r="DG99" s="164"/>
      <c r="DH99" s="164"/>
      <c r="DI99" s="164"/>
      <c r="DJ99" s="164"/>
      <c r="DK99" s="164"/>
      <c r="DL99" s="164"/>
      <c r="DM99" s="164"/>
      <c r="DN99" s="164"/>
      <c r="DO99" s="164"/>
      <c r="DP99" s="164"/>
      <c r="DQ99" s="164"/>
      <c r="DR99" s="163"/>
      <c r="DS99" s="164">
        <f t="shared" si="18"/>
        <v>24273.85</v>
      </c>
      <c r="DT99" s="164">
        <f t="shared" si="19"/>
        <v>0</v>
      </c>
      <c r="DU99" s="164">
        <f t="shared" si="20"/>
        <v>0</v>
      </c>
      <c r="DV99" s="164">
        <f t="shared" si="21"/>
        <v>0</v>
      </c>
      <c r="DW99" s="166"/>
      <c r="DX99" s="153" t="str">
        <f>VLOOKUP(C99,薪酬明细!A:A,1,0)</f>
        <v>弈工分健康高玉玲</v>
      </c>
      <c r="DY99" s="153"/>
    </row>
    <row r="100" s="149" customFormat="1" spans="1:129">
      <c r="A100" s="163" t="s">
        <v>73</v>
      </c>
      <c r="B100" s="163" t="s">
        <v>469</v>
      </c>
      <c r="C100" s="164" t="str">
        <f t="shared" si="11"/>
        <v>弈工分健康丁成英</v>
      </c>
      <c r="D100" s="165">
        <v>46023</v>
      </c>
      <c r="E100" s="164">
        <v>4000</v>
      </c>
      <c r="F100" s="164">
        <v>0</v>
      </c>
      <c r="G100" s="164">
        <v>0</v>
      </c>
      <c r="H100" s="164">
        <v>0</v>
      </c>
      <c r="I100" s="164">
        <v>0</v>
      </c>
      <c r="J100" s="164">
        <v>0</v>
      </c>
      <c r="K100" s="164">
        <v>0</v>
      </c>
      <c r="L100" s="164">
        <f t="shared" si="12"/>
        <v>0</v>
      </c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>
        <v>4400</v>
      </c>
      <c r="X100" s="164">
        <v>0</v>
      </c>
      <c r="Y100" s="164">
        <v>0</v>
      </c>
      <c r="Z100" s="164">
        <v>0</v>
      </c>
      <c r="AA100" s="164">
        <v>0</v>
      </c>
      <c r="AB100" s="164">
        <v>0</v>
      </c>
      <c r="AC100" s="164">
        <v>0</v>
      </c>
      <c r="AD100" s="164">
        <f t="shared" si="13"/>
        <v>0</v>
      </c>
      <c r="AE100" s="164"/>
      <c r="AF100" s="164">
        <v>4000</v>
      </c>
      <c r="AG100" s="164">
        <v>0</v>
      </c>
      <c r="AH100" s="164">
        <v>0</v>
      </c>
      <c r="AI100" s="164">
        <v>0</v>
      </c>
      <c r="AJ100" s="164">
        <v>0</v>
      </c>
      <c r="AK100" s="164">
        <v>0</v>
      </c>
      <c r="AL100" s="164">
        <v>0</v>
      </c>
      <c r="AM100" s="164">
        <f t="shared" si="14"/>
        <v>0</v>
      </c>
      <c r="AN100" s="164">
        <v>0</v>
      </c>
      <c r="AO100" s="164">
        <v>4046.16</v>
      </c>
      <c r="AP100" s="164">
        <v>0</v>
      </c>
      <c r="AQ100" s="164">
        <v>0</v>
      </c>
      <c r="AR100" s="164">
        <v>0</v>
      </c>
      <c r="AS100" s="164">
        <v>0</v>
      </c>
      <c r="AT100" s="164">
        <v>0</v>
      </c>
      <c r="AU100" s="164">
        <v>0</v>
      </c>
      <c r="AV100" s="164">
        <f t="shared" si="15"/>
        <v>0</v>
      </c>
      <c r="AW100" s="164">
        <v>0</v>
      </c>
      <c r="AX100" s="164">
        <v>4200</v>
      </c>
      <c r="AY100" s="164">
        <v>0</v>
      </c>
      <c r="AZ100" s="164">
        <v>0</v>
      </c>
      <c r="BA100" s="164">
        <v>0</v>
      </c>
      <c r="BB100" s="164">
        <v>0</v>
      </c>
      <c r="BC100" s="164">
        <v>0</v>
      </c>
      <c r="BD100" s="164">
        <v>0</v>
      </c>
      <c r="BE100" s="164">
        <f t="shared" si="16"/>
        <v>0</v>
      </c>
      <c r="BF100" s="164">
        <v>0</v>
      </c>
      <c r="BG100" s="164">
        <f>VLOOKUP(C100,薪酬明细!A:AC,29,0)</f>
        <v>4000</v>
      </c>
      <c r="BH100" s="164">
        <v>0</v>
      </c>
      <c r="BI100" s="164">
        <v>0</v>
      </c>
      <c r="BJ100" s="164">
        <v>0</v>
      </c>
      <c r="BK100" s="164">
        <v>0</v>
      </c>
      <c r="BL100" s="164">
        <v>0</v>
      </c>
      <c r="BM100" s="164">
        <v>0</v>
      </c>
      <c r="BN100" s="164">
        <f t="shared" si="17"/>
        <v>0</v>
      </c>
      <c r="BO100" s="164"/>
      <c r="BP100" s="164"/>
      <c r="BQ100" s="164"/>
      <c r="BR100" s="164"/>
      <c r="BS100" s="164"/>
      <c r="BT100" s="164"/>
      <c r="BU100" s="164"/>
      <c r="BV100" s="164"/>
      <c r="BW100" s="164"/>
      <c r="BX100" s="164"/>
      <c r="BY100" s="164"/>
      <c r="BZ100" s="164"/>
      <c r="CA100" s="164"/>
      <c r="CB100" s="164"/>
      <c r="CC100" s="164"/>
      <c r="CD100" s="164"/>
      <c r="CE100" s="164"/>
      <c r="CF100" s="164"/>
      <c r="CG100" s="164"/>
      <c r="CH100" s="164"/>
      <c r="CI100" s="164"/>
      <c r="CJ100" s="164"/>
      <c r="CK100" s="164"/>
      <c r="CL100" s="164"/>
      <c r="CM100" s="164"/>
      <c r="CN100" s="164"/>
      <c r="CO100" s="164"/>
      <c r="CP100" s="164"/>
      <c r="CQ100" s="164"/>
      <c r="CR100" s="164"/>
      <c r="CS100" s="164"/>
      <c r="CT100" s="164"/>
      <c r="CU100" s="164"/>
      <c r="CV100" s="164"/>
      <c r="CW100" s="164"/>
      <c r="CX100" s="164"/>
      <c r="CY100" s="164"/>
      <c r="CZ100" s="164"/>
      <c r="DA100" s="164"/>
      <c r="DB100" s="164"/>
      <c r="DC100" s="164"/>
      <c r="DD100" s="164"/>
      <c r="DE100" s="164"/>
      <c r="DF100" s="164"/>
      <c r="DG100" s="164"/>
      <c r="DH100" s="164"/>
      <c r="DI100" s="164"/>
      <c r="DJ100" s="164"/>
      <c r="DK100" s="164"/>
      <c r="DL100" s="164"/>
      <c r="DM100" s="164"/>
      <c r="DN100" s="164"/>
      <c r="DO100" s="164"/>
      <c r="DP100" s="164"/>
      <c r="DQ100" s="164"/>
      <c r="DR100" s="163"/>
      <c r="DS100" s="164">
        <f t="shared" si="18"/>
        <v>24646.16</v>
      </c>
      <c r="DT100" s="164">
        <f t="shared" si="19"/>
        <v>0</v>
      </c>
      <c r="DU100" s="164">
        <f t="shared" si="20"/>
        <v>0</v>
      </c>
      <c r="DV100" s="164">
        <f t="shared" si="21"/>
        <v>0</v>
      </c>
      <c r="DW100" s="166"/>
      <c r="DX100" s="153" t="str">
        <f>VLOOKUP(C100,薪酬明细!A:A,1,0)</f>
        <v>弈工分健康丁成英</v>
      </c>
      <c r="DY100" s="153"/>
    </row>
    <row r="101" s="149" customFormat="1" spans="1:129">
      <c r="A101" s="163" t="s">
        <v>73</v>
      </c>
      <c r="B101" s="163" t="s">
        <v>471</v>
      </c>
      <c r="C101" s="164" t="str">
        <f t="shared" si="11"/>
        <v>弈工分健康孙建芳</v>
      </c>
      <c r="D101" s="165">
        <v>46023</v>
      </c>
      <c r="E101" s="164">
        <v>4200</v>
      </c>
      <c r="F101" s="164">
        <v>0</v>
      </c>
      <c r="G101" s="164">
        <v>0</v>
      </c>
      <c r="H101" s="164">
        <v>0</v>
      </c>
      <c r="I101" s="164">
        <v>0</v>
      </c>
      <c r="J101" s="164">
        <v>0</v>
      </c>
      <c r="K101" s="164">
        <v>0</v>
      </c>
      <c r="L101" s="164">
        <f t="shared" si="12"/>
        <v>0</v>
      </c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>
        <v>3538.46</v>
      </c>
      <c r="X101" s="164">
        <v>0</v>
      </c>
      <c r="Y101" s="164">
        <v>0</v>
      </c>
      <c r="Z101" s="164">
        <v>0</v>
      </c>
      <c r="AA101" s="164">
        <v>0</v>
      </c>
      <c r="AB101" s="164">
        <v>0</v>
      </c>
      <c r="AC101" s="164">
        <v>0</v>
      </c>
      <c r="AD101" s="164">
        <f t="shared" si="13"/>
        <v>0</v>
      </c>
      <c r="AE101" s="164"/>
      <c r="AF101" s="164">
        <v>3076.92</v>
      </c>
      <c r="AG101" s="164">
        <v>0</v>
      </c>
      <c r="AH101" s="164">
        <v>0</v>
      </c>
      <c r="AI101" s="164">
        <v>0</v>
      </c>
      <c r="AJ101" s="164">
        <v>0</v>
      </c>
      <c r="AK101" s="164">
        <v>0</v>
      </c>
      <c r="AL101" s="164">
        <v>0</v>
      </c>
      <c r="AM101" s="164">
        <f t="shared" si="14"/>
        <v>0</v>
      </c>
      <c r="AN101" s="164">
        <v>0</v>
      </c>
      <c r="AO101" s="164">
        <v>4353.85</v>
      </c>
      <c r="AP101" s="164">
        <v>0</v>
      </c>
      <c r="AQ101" s="164">
        <v>0</v>
      </c>
      <c r="AR101" s="164">
        <v>0</v>
      </c>
      <c r="AS101" s="164">
        <v>0</v>
      </c>
      <c r="AT101" s="164">
        <v>0</v>
      </c>
      <c r="AU101" s="164">
        <v>0</v>
      </c>
      <c r="AV101" s="164">
        <f t="shared" si="15"/>
        <v>0</v>
      </c>
      <c r="AW101" s="164">
        <v>0</v>
      </c>
      <c r="AX101" s="164">
        <v>4200</v>
      </c>
      <c r="AY101" s="164">
        <v>0</v>
      </c>
      <c r="AZ101" s="164">
        <v>0</v>
      </c>
      <c r="BA101" s="164">
        <v>0</v>
      </c>
      <c r="BB101" s="164">
        <v>0</v>
      </c>
      <c r="BC101" s="164">
        <v>0</v>
      </c>
      <c r="BD101" s="164">
        <v>0</v>
      </c>
      <c r="BE101" s="164">
        <f t="shared" si="16"/>
        <v>0</v>
      </c>
      <c r="BF101" s="164">
        <v>0</v>
      </c>
      <c r="BG101" s="164">
        <f>VLOOKUP(C101,薪酬明细!A:AC,29,0)</f>
        <v>4507.69</v>
      </c>
      <c r="BH101" s="164">
        <v>0</v>
      </c>
      <c r="BI101" s="164">
        <v>0</v>
      </c>
      <c r="BJ101" s="164">
        <v>0</v>
      </c>
      <c r="BK101" s="164">
        <v>0</v>
      </c>
      <c r="BL101" s="164">
        <v>0</v>
      </c>
      <c r="BM101" s="164">
        <v>0</v>
      </c>
      <c r="BN101" s="164">
        <f t="shared" si="17"/>
        <v>0</v>
      </c>
      <c r="BO101" s="164"/>
      <c r="BP101" s="164"/>
      <c r="BQ101" s="164"/>
      <c r="BR101" s="164"/>
      <c r="BS101" s="164"/>
      <c r="BT101" s="164"/>
      <c r="BU101" s="164"/>
      <c r="BV101" s="164"/>
      <c r="BW101" s="164"/>
      <c r="BX101" s="164"/>
      <c r="BY101" s="164"/>
      <c r="BZ101" s="164"/>
      <c r="CA101" s="164"/>
      <c r="CB101" s="164"/>
      <c r="CC101" s="164"/>
      <c r="CD101" s="164"/>
      <c r="CE101" s="164"/>
      <c r="CF101" s="164"/>
      <c r="CG101" s="164"/>
      <c r="CH101" s="164"/>
      <c r="CI101" s="164"/>
      <c r="CJ101" s="164"/>
      <c r="CK101" s="164"/>
      <c r="CL101" s="164"/>
      <c r="CM101" s="164"/>
      <c r="CN101" s="164"/>
      <c r="CO101" s="164"/>
      <c r="CP101" s="164"/>
      <c r="CQ101" s="164"/>
      <c r="CR101" s="164"/>
      <c r="CS101" s="164"/>
      <c r="CT101" s="164"/>
      <c r="CU101" s="164"/>
      <c r="CV101" s="164"/>
      <c r="CW101" s="164"/>
      <c r="CX101" s="164"/>
      <c r="CY101" s="164"/>
      <c r="CZ101" s="164"/>
      <c r="DA101" s="164"/>
      <c r="DB101" s="164"/>
      <c r="DC101" s="164"/>
      <c r="DD101" s="164"/>
      <c r="DE101" s="164"/>
      <c r="DF101" s="164"/>
      <c r="DG101" s="164"/>
      <c r="DH101" s="164"/>
      <c r="DI101" s="164"/>
      <c r="DJ101" s="164"/>
      <c r="DK101" s="164"/>
      <c r="DL101" s="164"/>
      <c r="DM101" s="164"/>
      <c r="DN101" s="164"/>
      <c r="DO101" s="164"/>
      <c r="DP101" s="164"/>
      <c r="DQ101" s="164"/>
      <c r="DR101" s="163"/>
      <c r="DS101" s="164">
        <f t="shared" si="18"/>
        <v>23876.92</v>
      </c>
      <c r="DT101" s="164">
        <f t="shared" si="19"/>
        <v>0</v>
      </c>
      <c r="DU101" s="164">
        <f t="shared" si="20"/>
        <v>0</v>
      </c>
      <c r="DV101" s="164">
        <f t="shared" si="21"/>
        <v>0</v>
      </c>
      <c r="DW101" s="166"/>
      <c r="DX101" s="153" t="str">
        <f>VLOOKUP(C101,薪酬明细!A:A,1,0)</f>
        <v>弈工分健康孙建芳</v>
      </c>
      <c r="DY101" s="153"/>
    </row>
    <row r="102" s="149" customFormat="1" spans="1:129">
      <c r="A102" s="163" t="s">
        <v>57</v>
      </c>
      <c r="B102" s="163" t="s">
        <v>341</v>
      </c>
      <c r="C102" s="164" t="str">
        <f t="shared" si="11"/>
        <v>开弈信息蔡心宇</v>
      </c>
      <c r="D102" s="165">
        <v>46023</v>
      </c>
      <c r="E102" s="164">
        <v>20144.85</v>
      </c>
      <c r="F102" s="164">
        <v>3500</v>
      </c>
      <c r="G102" s="164">
        <v>0</v>
      </c>
      <c r="H102" s="164">
        <v>0</v>
      </c>
      <c r="I102" s="164">
        <v>0</v>
      </c>
      <c r="J102" s="164">
        <v>0</v>
      </c>
      <c r="K102" s="164">
        <v>0</v>
      </c>
      <c r="L102" s="164">
        <f t="shared" si="12"/>
        <v>0</v>
      </c>
      <c r="M102" s="164">
        <v>349.35</v>
      </c>
      <c r="N102" s="164"/>
      <c r="O102" s="164"/>
      <c r="P102" s="164"/>
      <c r="Q102" s="164"/>
      <c r="R102" s="164"/>
      <c r="S102" s="164"/>
      <c r="T102" s="164"/>
      <c r="U102" s="164"/>
      <c r="V102" s="164"/>
      <c r="W102" s="164">
        <v>17566.85</v>
      </c>
      <c r="X102" s="164">
        <v>3500</v>
      </c>
      <c r="Y102" s="164">
        <v>0</v>
      </c>
      <c r="Z102" s="164">
        <v>0</v>
      </c>
      <c r="AA102" s="164">
        <v>0</v>
      </c>
      <c r="AB102" s="164">
        <v>0</v>
      </c>
      <c r="AC102" s="164">
        <v>0</v>
      </c>
      <c r="AD102" s="164">
        <f t="shared" si="13"/>
        <v>0</v>
      </c>
      <c r="AE102" s="164">
        <v>272</v>
      </c>
      <c r="AF102" s="164">
        <v>19446.85</v>
      </c>
      <c r="AG102" s="164">
        <v>3500</v>
      </c>
      <c r="AH102" s="164">
        <v>0</v>
      </c>
      <c r="AI102" s="164">
        <v>0</v>
      </c>
      <c r="AJ102" s="164">
        <v>0</v>
      </c>
      <c r="AK102" s="164">
        <v>0</v>
      </c>
      <c r="AL102" s="164">
        <v>0</v>
      </c>
      <c r="AM102" s="164">
        <f t="shared" si="14"/>
        <v>0</v>
      </c>
      <c r="AN102" s="164">
        <v>328.41</v>
      </c>
      <c r="AO102" s="164">
        <v>18183.8</v>
      </c>
      <c r="AP102" s="164">
        <v>3500</v>
      </c>
      <c r="AQ102" s="164">
        <v>0</v>
      </c>
      <c r="AR102" s="164">
        <v>0</v>
      </c>
      <c r="AS102" s="164">
        <v>0</v>
      </c>
      <c r="AT102" s="164">
        <v>0</v>
      </c>
      <c r="AU102" s="164">
        <v>0</v>
      </c>
      <c r="AV102" s="164">
        <f t="shared" si="15"/>
        <v>0</v>
      </c>
      <c r="AW102" s="164">
        <v>664.48</v>
      </c>
      <c r="AX102" s="164">
        <v>15955.8</v>
      </c>
      <c r="AY102" s="164">
        <v>3500</v>
      </c>
      <c r="AZ102" s="164">
        <v>0</v>
      </c>
      <c r="BA102" s="164">
        <v>0</v>
      </c>
      <c r="BB102" s="164">
        <v>0</v>
      </c>
      <c r="BC102" s="164">
        <v>0</v>
      </c>
      <c r="BD102" s="164">
        <v>0</v>
      </c>
      <c r="BE102" s="164">
        <f t="shared" si="16"/>
        <v>0</v>
      </c>
      <c r="BF102" s="164">
        <v>745.58</v>
      </c>
      <c r="BG102" s="164">
        <f>VLOOKUP(C102,薪酬明细!A:AC,29,0)</f>
        <v>19413.8</v>
      </c>
      <c r="BH102" s="164">
        <v>3500</v>
      </c>
      <c r="BI102" s="164">
        <v>0</v>
      </c>
      <c r="BJ102" s="164">
        <v>0</v>
      </c>
      <c r="BK102" s="164">
        <v>0</v>
      </c>
      <c r="BL102" s="164">
        <v>0</v>
      </c>
      <c r="BM102" s="164">
        <v>0</v>
      </c>
      <c r="BN102" s="164">
        <f t="shared" si="17"/>
        <v>0</v>
      </c>
      <c r="BO102" s="164"/>
      <c r="BP102" s="164"/>
      <c r="BQ102" s="164"/>
      <c r="BR102" s="164"/>
      <c r="BS102" s="164"/>
      <c r="BT102" s="164"/>
      <c r="BU102" s="164"/>
      <c r="BV102" s="164"/>
      <c r="BW102" s="164"/>
      <c r="BX102" s="164"/>
      <c r="BY102" s="164"/>
      <c r="BZ102" s="164"/>
      <c r="CA102" s="164"/>
      <c r="CB102" s="164"/>
      <c r="CC102" s="164"/>
      <c r="CD102" s="164"/>
      <c r="CE102" s="164"/>
      <c r="CF102" s="164"/>
      <c r="CG102" s="164"/>
      <c r="CH102" s="164"/>
      <c r="CI102" s="164"/>
      <c r="CJ102" s="164"/>
      <c r="CK102" s="164"/>
      <c r="CL102" s="164"/>
      <c r="CM102" s="164"/>
      <c r="CN102" s="164"/>
      <c r="CO102" s="164"/>
      <c r="CP102" s="164"/>
      <c r="CQ102" s="164"/>
      <c r="CR102" s="164"/>
      <c r="CS102" s="164"/>
      <c r="CT102" s="164"/>
      <c r="CU102" s="164"/>
      <c r="CV102" s="164"/>
      <c r="CW102" s="164"/>
      <c r="CX102" s="164"/>
      <c r="CY102" s="164"/>
      <c r="CZ102" s="164"/>
      <c r="DA102" s="164"/>
      <c r="DB102" s="164"/>
      <c r="DC102" s="164"/>
      <c r="DD102" s="164"/>
      <c r="DE102" s="164"/>
      <c r="DF102" s="164"/>
      <c r="DG102" s="164"/>
      <c r="DH102" s="164"/>
      <c r="DI102" s="164"/>
      <c r="DJ102" s="164"/>
      <c r="DK102" s="164"/>
      <c r="DL102" s="164"/>
      <c r="DM102" s="164"/>
      <c r="DN102" s="164"/>
      <c r="DO102" s="164"/>
      <c r="DP102" s="164"/>
      <c r="DQ102" s="164"/>
      <c r="DR102" s="163"/>
      <c r="DS102" s="164">
        <f t="shared" si="18"/>
        <v>110711.95</v>
      </c>
      <c r="DT102" s="164">
        <f t="shared" si="19"/>
        <v>21000</v>
      </c>
      <c r="DU102" s="164">
        <f t="shared" si="20"/>
        <v>0</v>
      </c>
      <c r="DV102" s="164">
        <f t="shared" si="21"/>
        <v>2359.82</v>
      </c>
      <c r="DW102" s="166"/>
      <c r="DX102" s="153" t="str">
        <f>VLOOKUP(C102,薪酬明细!A:A,1,0)</f>
        <v>开弈信息蔡心宇</v>
      </c>
      <c r="DY102" s="153"/>
    </row>
    <row r="103" s="149" customFormat="1" spans="1:129">
      <c r="A103" s="163" t="s">
        <v>61</v>
      </c>
      <c r="B103" s="163" t="s">
        <v>282</v>
      </c>
      <c r="C103" s="164" t="str">
        <f t="shared" si="11"/>
        <v>开弈人力资源曹保兵</v>
      </c>
      <c r="D103" s="165">
        <v>46023</v>
      </c>
      <c r="E103" s="164">
        <v>3523.3</v>
      </c>
      <c r="F103" s="164">
        <v>783.3</v>
      </c>
      <c r="G103" s="164">
        <v>0</v>
      </c>
      <c r="H103" s="164">
        <v>0</v>
      </c>
      <c r="I103" s="164">
        <v>0</v>
      </c>
      <c r="J103" s="164">
        <v>0</v>
      </c>
      <c r="K103" s="164">
        <v>0</v>
      </c>
      <c r="L103" s="164">
        <f t="shared" si="12"/>
        <v>0</v>
      </c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>
        <v>3523.3</v>
      </c>
      <c r="X103" s="164">
        <v>783.3</v>
      </c>
      <c r="Y103" s="164">
        <v>0</v>
      </c>
      <c r="Z103" s="164">
        <v>0</v>
      </c>
      <c r="AA103" s="164">
        <v>0</v>
      </c>
      <c r="AB103" s="164">
        <v>0</v>
      </c>
      <c r="AC103" s="164">
        <v>0</v>
      </c>
      <c r="AD103" s="164">
        <f t="shared" si="13"/>
        <v>0</v>
      </c>
      <c r="AE103" s="164"/>
      <c r="AF103" s="164">
        <v>3523.3</v>
      </c>
      <c r="AG103" s="164">
        <v>783.3</v>
      </c>
      <c r="AH103" s="164">
        <v>0</v>
      </c>
      <c r="AI103" s="164">
        <v>0</v>
      </c>
      <c r="AJ103" s="164">
        <v>0</v>
      </c>
      <c r="AK103" s="164">
        <v>0</v>
      </c>
      <c r="AL103" s="164">
        <v>0</v>
      </c>
      <c r="AM103" s="164">
        <f t="shared" si="14"/>
        <v>0</v>
      </c>
      <c r="AN103" s="164">
        <v>0</v>
      </c>
      <c r="AO103" s="164">
        <v>3523.3</v>
      </c>
      <c r="AP103" s="164">
        <v>783.3</v>
      </c>
      <c r="AQ103" s="164">
        <v>0</v>
      </c>
      <c r="AR103" s="164">
        <v>0</v>
      </c>
      <c r="AS103" s="164">
        <v>0</v>
      </c>
      <c r="AT103" s="164">
        <v>0</v>
      </c>
      <c r="AU103" s="164">
        <v>0</v>
      </c>
      <c r="AV103" s="164">
        <f t="shared" si="15"/>
        <v>0</v>
      </c>
      <c r="AW103" s="164">
        <v>0</v>
      </c>
      <c r="AX103" s="164">
        <v>3523.3</v>
      </c>
      <c r="AY103" s="164">
        <v>783.3</v>
      </c>
      <c r="AZ103" s="164">
        <v>0</v>
      </c>
      <c r="BA103" s="164">
        <v>0</v>
      </c>
      <c r="BB103" s="164">
        <v>0</v>
      </c>
      <c r="BC103" s="164">
        <v>0</v>
      </c>
      <c r="BD103" s="164">
        <v>0</v>
      </c>
      <c r="BE103" s="164">
        <f t="shared" si="16"/>
        <v>0</v>
      </c>
      <c r="BF103" s="164">
        <v>0</v>
      </c>
      <c r="BG103" s="164">
        <f>VLOOKUP(C103,薪酬明细!A:AC,29,0)</f>
        <v>3523.3</v>
      </c>
      <c r="BH103" s="164">
        <v>783.3</v>
      </c>
      <c r="BI103" s="164">
        <v>0</v>
      </c>
      <c r="BJ103" s="164">
        <v>0</v>
      </c>
      <c r="BK103" s="164">
        <v>0</v>
      </c>
      <c r="BL103" s="164">
        <v>0</v>
      </c>
      <c r="BM103" s="164">
        <v>0</v>
      </c>
      <c r="BN103" s="164">
        <f t="shared" si="17"/>
        <v>0</v>
      </c>
      <c r="BO103" s="164"/>
      <c r="BP103" s="164"/>
      <c r="BQ103" s="164"/>
      <c r="BR103" s="164"/>
      <c r="BS103" s="164"/>
      <c r="BT103" s="164"/>
      <c r="BU103" s="164"/>
      <c r="BV103" s="164"/>
      <c r="BW103" s="164"/>
      <c r="BX103" s="164"/>
      <c r="BY103" s="164"/>
      <c r="BZ103" s="164"/>
      <c r="CA103" s="164"/>
      <c r="CB103" s="164"/>
      <c r="CC103" s="164"/>
      <c r="CD103" s="164"/>
      <c r="CE103" s="164"/>
      <c r="CF103" s="164"/>
      <c r="CG103" s="164"/>
      <c r="CH103" s="164"/>
      <c r="CI103" s="164"/>
      <c r="CJ103" s="164"/>
      <c r="CK103" s="164"/>
      <c r="CL103" s="164"/>
      <c r="CM103" s="164"/>
      <c r="CN103" s="164"/>
      <c r="CO103" s="164"/>
      <c r="CP103" s="164"/>
      <c r="CQ103" s="164"/>
      <c r="CR103" s="164"/>
      <c r="CS103" s="164"/>
      <c r="CT103" s="164"/>
      <c r="CU103" s="164"/>
      <c r="CV103" s="164"/>
      <c r="CW103" s="164"/>
      <c r="CX103" s="164"/>
      <c r="CY103" s="164"/>
      <c r="CZ103" s="164"/>
      <c r="DA103" s="164"/>
      <c r="DB103" s="164"/>
      <c r="DC103" s="164"/>
      <c r="DD103" s="164"/>
      <c r="DE103" s="164"/>
      <c r="DF103" s="164"/>
      <c r="DG103" s="164"/>
      <c r="DH103" s="164"/>
      <c r="DI103" s="164"/>
      <c r="DJ103" s="164"/>
      <c r="DK103" s="164"/>
      <c r="DL103" s="164"/>
      <c r="DM103" s="164"/>
      <c r="DN103" s="164"/>
      <c r="DO103" s="164"/>
      <c r="DP103" s="164"/>
      <c r="DQ103" s="164"/>
      <c r="DR103" s="163"/>
      <c r="DS103" s="164">
        <f t="shared" si="18"/>
        <v>21139.8</v>
      </c>
      <c r="DT103" s="164">
        <f t="shared" si="19"/>
        <v>4699.8</v>
      </c>
      <c r="DU103" s="164">
        <f t="shared" si="20"/>
        <v>0</v>
      </c>
      <c r="DV103" s="164">
        <f t="shared" si="21"/>
        <v>0</v>
      </c>
      <c r="DW103" s="166"/>
      <c r="DX103" s="153" t="str">
        <f>VLOOKUP(C103,薪酬明细!A:A,1,0)</f>
        <v>开弈人力资源曹保兵</v>
      </c>
      <c r="DY103" s="153"/>
    </row>
    <row r="104" s="149" customFormat="1" spans="1:129">
      <c r="A104" s="163" t="s">
        <v>61</v>
      </c>
      <c r="B104" s="163" t="s">
        <v>627</v>
      </c>
      <c r="C104" s="164" t="str">
        <f t="shared" si="11"/>
        <v>开弈人力资源陶洁</v>
      </c>
      <c r="D104" s="165">
        <v>46023</v>
      </c>
      <c r="E104" s="164"/>
      <c r="F104" s="164"/>
      <c r="G104" s="164"/>
      <c r="H104" s="164"/>
      <c r="I104" s="164"/>
      <c r="J104" s="164"/>
      <c r="K104" s="164"/>
      <c r="L104" s="164">
        <f t="shared" si="12"/>
        <v>0</v>
      </c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>
        <f t="shared" si="13"/>
        <v>0</v>
      </c>
      <c r="AE104" s="164"/>
      <c r="AF104" s="164"/>
      <c r="AG104" s="164"/>
      <c r="AH104" s="164"/>
      <c r="AI104" s="164"/>
      <c r="AJ104" s="164"/>
      <c r="AK104" s="164"/>
      <c r="AL104" s="164"/>
      <c r="AM104" s="164">
        <f t="shared" si="14"/>
        <v>0</v>
      </c>
      <c r="AN104" s="164"/>
      <c r="AO104" s="164"/>
      <c r="AP104" s="164"/>
      <c r="AQ104" s="164"/>
      <c r="AR104" s="164"/>
      <c r="AS104" s="164"/>
      <c r="AT104" s="164"/>
      <c r="AU104" s="164"/>
      <c r="AV104" s="164">
        <f t="shared" si="15"/>
        <v>0</v>
      </c>
      <c r="AW104" s="164"/>
      <c r="AX104" s="164">
        <v>24890.75</v>
      </c>
      <c r="AY104" s="164"/>
      <c r="AZ104" s="164"/>
      <c r="BA104" s="164"/>
      <c r="BB104" s="164"/>
      <c r="BC104" s="164"/>
      <c r="BD104" s="164"/>
      <c r="BE104" s="164">
        <f t="shared" si="16"/>
        <v>0</v>
      </c>
      <c r="BF104" s="164">
        <v>746.72</v>
      </c>
      <c r="BG104" s="164"/>
      <c r="BH104" s="164"/>
      <c r="BI104" s="164"/>
      <c r="BJ104" s="164"/>
      <c r="BK104" s="164"/>
      <c r="BL104" s="164"/>
      <c r="BM104" s="164"/>
      <c r="BN104" s="164">
        <f t="shared" si="17"/>
        <v>0</v>
      </c>
      <c r="BO104" s="164"/>
      <c r="BP104" s="164"/>
      <c r="BQ104" s="164"/>
      <c r="BR104" s="164"/>
      <c r="BS104" s="164"/>
      <c r="BT104" s="164"/>
      <c r="BU104" s="164"/>
      <c r="BV104" s="164"/>
      <c r="BW104" s="164"/>
      <c r="BX104" s="164"/>
      <c r="BY104" s="164"/>
      <c r="BZ104" s="164"/>
      <c r="CA104" s="164"/>
      <c r="CB104" s="164"/>
      <c r="CC104" s="164"/>
      <c r="CD104" s="164"/>
      <c r="CE104" s="164"/>
      <c r="CF104" s="164"/>
      <c r="CG104" s="164"/>
      <c r="CH104" s="164"/>
      <c r="CI104" s="164"/>
      <c r="CJ104" s="164"/>
      <c r="CK104" s="164"/>
      <c r="CL104" s="164"/>
      <c r="CM104" s="164"/>
      <c r="CN104" s="164"/>
      <c r="CO104" s="164"/>
      <c r="CP104" s="164"/>
      <c r="CQ104" s="164"/>
      <c r="CR104" s="164"/>
      <c r="CS104" s="164"/>
      <c r="CT104" s="164"/>
      <c r="CU104" s="164"/>
      <c r="CV104" s="164"/>
      <c r="CW104" s="164"/>
      <c r="CX104" s="164"/>
      <c r="CY104" s="164"/>
      <c r="CZ104" s="164"/>
      <c r="DA104" s="164"/>
      <c r="DB104" s="164"/>
      <c r="DC104" s="164"/>
      <c r="DD104" s="164"/>
      <c r="DE104" s="164"/>
      <c r="DF104" s="164"/>
      <c r="DG104" s="164"/>
      <c r="DH104" s="164"/>
      <c r="DI104" s="164"/>
      <c r="DJ104" s="164"/>
      <c r="DK104" s="164"/>
      <c r="DL104" s="164"/>
      <c r="DM104" s="164"/>
      <c r="DN104" s="164"/>
      <c r="DO104" s="164"/>
      <c r="DP104" s="164"/>
      <c r="DQ104" s="164"/>
      <c r="DR104" s="163"/>
      <c r="DS104" s="164">
        <f t="shared" si="18"/>
        <v>24890.75</v>
      </c>
      <c r="DT104" s="164">
        <f t="shared" si="19"/>
        <v>0</v>
      </c>
      <c r="DU104" s="164">
        <f t="shared" si="20"/>
        <v>0</v>
      </c>
      <c r="DV104" s="164">
        <f t="shared" si="21"/>
        <v>746.72</v>
      </c>
      <c r="DW104" s="166"/>
      <c r="DX104" s="153" t="e">
        <f>VLOOKUP(C104,薪酬明细!A:A,1,0)</f>
        <v>#N/A</v>
      </c>
      <c r="DY104" s="153"/>
    </row>
    <row r="105" s="149" customFormat="1" spans="1:129">
      <c r="A105" s="163" t="s">
        <v>65</v>
      </c>
      <c r="B105" s="163" t="s">
        <v>392</v>
      </c>
      <c r="C105" s="164" t="str">
        <f t="shared" si="11"/>
        <v>弈享天津杜宪</v>
      </c>
      <c r="D105" s="165">
        <v>46023</v>
      </c>
      <c r="E105" s="164">
        <v>1000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0</v>
      </c>
      <c r="L105" s="164">
        <f t="shared" si="12"/>
        <v>0</v>
      </c>
      <c r="M105" s="164">
        <v>40</v>
      </c>
      <c r="N105" s="164"/>
      <c r="O105" s="164"/>
      <c r="P105" s="164"/>
      <c r="Q105" s="164"/>
      <c r="R105" s="164"/>
      <c r="S105" s="164"/>
      <c r="T105" s="164"/>
      <c r="U105" s="164"/>
      <c r="V105" s="164"/>
      <c r="W105" s="164">
        <v>1000</v>
      </c>
      <c r="X105" s="164">
        <v>0</v>
      </c>
      <c r="Y105" s="164">
        <v>0</v>
      </c>
      <c r="Z105" s="164">
        <v>0</v>
      </c>
      <c r="AA105" s="164">
        <v>0</v>
      </c>
      <c r="AB105" s="164">
        <v>0</v>
      </c>
      <c r="AC105" s="164">
        <v>0</v>
      </c>
      <c r="AD105" s="164">
        <f t="shared" si="13"/>
        <v>0</v>
      </c>
      <c r="AE105" s="164">
        <v>40</v>
      </c>
      <c r="AF105" s="164">
        <v>1000</v>
      </c>
      <c r="AG105" s="164">
        <v>0</v>
      </c>
      <c r="AH105" s="164">
        <v>0</v>
      </c>
      <c r="AI105" s="164">
        <v>0</v>
      </c>
      <c r="AJ105" s="164">
        <v>0</v>
      </c>
      <c r="AK105" s="164">
        <v>0</v>
      </c>
      <c r="AL105" s="164">
        <v>0</v>
      </c>
      <c r="AM105" s="164">
        <f t="shared" si="14"/>
        <v>0</v>
      </c>
      <c r="AN105" s="164">
        <v>40</v>
      </c>
      <c r="AO105" s="164">
        <v>1000</v>
      </c>
      <c r="AP105" s="164">
        <v>0</v>
      </c>
      <c r="AQ105" s="164">
        <v>0</v>
      </c>
      <c r="AR105" s="164">
        <v>0</v>
      </c>
      <c r="AS105" s="164">
        <v>0</v>
      </c>
      <c r="AT105" s="164">
        <v>0</v>
      </c>
      <c r="AU105" s="164">
        <v>0</v>
      </c>
      <c r="AV105" s="164">
        <f t="shared" si="15"/>
        <v>0</v>
      </c>
      <c r="AW105" s="164">
        <v>40</v>
      </c>
      <c r="AX105" s="164">
        <v>1000</v>
      </c>
      <c r="AY105" s="164">
        <v>0</v>
      </c>
      <c r="AZ105" s="164">
        <v>0</v>
      </c>
      <c r="BA105" s="164">
        <v>0</v>
      </c>
      <c r="BB105" s="164">
        <v>0</v>
      </c>
      <c r="BC105" s="164">
        <v>0</v>
      </c>
      <c r="BD105" s="164">
        <v>0</v>
      </c>
      <c r="BE105" s="164">
        <f t="shared" si="16"/>
        <v>0</v>
      </c>
      <c r="BF105" s="164">
        <v>40</v>
      </c>
      <c r="BG105" s="164">
        <f>VLOOKUP(C105,薪酬明细!A:AC,29,0)</f>
        <v>1000</v>
      </c>
      <c r="BH105" s="164">
        <v>0</v>
      </c>
      <c r="BI105" s="164">
        <v>0</v>
      </c>
      <c r="BJ105" s="164">
        <v>0</v>
      </c>
      <c r="BK105" s="164">
        <v>0</v>
      </c>
      <c r="BL105" s="164">
        <v>0</v>
      </c>
      <c r="BM105" s="164">
        <v>0</v>
      </c>
      <c r="BN105" s="164">
        <f t="shared" si="17"/>
        <v>0</v>
      </c>
      <c r="BO105" s="164"/>
      <c r="BP105" s="164"/>
      <c r="BQ105" s="164"/>
      <c r="BR105" s="164"/>
      <c r="BS105" s="164"/>
      <c r="BT105" s="164"/>
      <c r="BU105" s="164"/>
      <c r="BV105" s="164"/>
      <c r="BW105" s="164"/>
      <c r="BX105" s="164"/>
      <c r="BY105" s="164"/>
      <c r="BZ105" s="164"/>
      <c r="CA105" s="164"/>
      <c r="CB105" s="164"/>
      <c r="CC105" s="164"/>
      <c r="CD105" s="164"/>
      <c r="CE105" s="164"/>
      <c r="CF105" s="164"/>
      <c r="CG105" s="164"/>
      <c r="CH105" s="164"/>
      <c r="CI105" s="164"/>
      <c r="CJ105" s="164"/>
      <c r="CK105" s="164"/>
      <c r="CL105" s="164"/>
      <c r="CM105" s="164"/>
      <c r="CN105" s="164"/>
      <c r="CO105" s="164"/>
      <c r="CP105" s="164"/>
      <c r="CQ105" s="164"/>
      <c r="CR105" s="164"/>
      <c r="CS105" s="164"/>
      <c r="CT105" s="164"/>
      <c r="CU105" s="164"/>
      <c r="CV105" s="164"/>
      <c r="CW105" s="164"/>
      <c r="CX105" s="164"/>
      <c r="CY105" s="164"/>
      <c r="CZ105" s="164"/>
      <c r="DA105" s="164"/>
      <c r="DB105" s="164"/>
      <c r="DC105" s="164"/>
      <c r="DD105" s="164"/>
      <c r="DE105" s="164"/>
      <c r="DF105" s="164"/>
      <c r="DG105" s="164"/>
      <c r="DH105" s="164"/>
      <c r="DI105" s="164"/>
      <c r="DJ105" s="164"/>
      <c r="DK105" s="164"/>
      <c r="DL105" s="164"/>
      <c r="DM105" s="164"/>
      <c r="DN105" s="164"/>
      <c r="DO105" s="164"/>
      <c r="DP105" s="164"/>
      <c r="DQ105" s="164"/>
      <c r="DR105" s="163"/>
      <c r="DS105" s="164">
        <f t="shared" si="18"/>
        <v>6000</v>
      </c>
      <c r="DT105" s="164">
        <f t="shared" si="19"/>
        <v>0</v>
      </c>
      <c r="DU105" s="164">
        <f t="shared" si="20"/>
        <v>0</v>
      </c>
      <c r="DV105" s="164">
        <f t="shared" si="21"/>
        <v>200</v>
      </c>
      <c r="DW105" s="166"/>
      <c r="DX105" s="153" t="str">
        <f>VLOOKUP(C105,薪酬明细!A:A,1,0)</f>
        <v>弈享天津杜宪</v>
      </c>
      <c r="DY105" s="153"/>
    </row>
    <row r="106" s="149" customFormat="1" spans="1:129">
      <c r="A106" s="163" t="s">
        <v>65</v>
      </c>
      <c r="B106" s="163" t="s">
        <v>453</v>
      </c>
      <c r="C106" s="164" t="str">
        <f t="shared" si="11"/>
        <v>弈享天津周梓荣</v>
      </c>
      <c r="D106" s="165">
        <v>46023</v>
      </c>
      <c r="E106" s="164">
        <v>1000</v>
      </c>
      <c r="F106" s="164">
        <v>0</v>
      </c>
      <c r="G106" s="164">
        <v>0</v>
      </c>
      <c r="H106" s="164">
        <v>0</v>
      </c>
      <c r="I106" s="164">
        <v>0</v>
      </c>
      <c r="J106" s="164">
        <v>0</v>
      </c>
      <c r="K106" s="164">
        <v>0</v>
      </c>
      <c r="L106" s="164">
        <f t="shared" si="12"/>
        <v>0</v>
      </c>
      <c r="M106" s="164">
        <v>40</v>
      </c>
      <c r="N106" s="164"/>
      <c r="O106" s="164"/>
      <c r="P106" s="164"/>
      <c r="Q106" s="164"/>
      <c r="R106" s="164"/>
      <c r="S106" s="164"/>
      <c r="T106" s="164"/>
      <c r="U106" s="164"/>
      <c r="V106" s="164"/>
      <c r="W106" s="164">
        <v>917.8</v>
      </c>
      <c r="X106" s="164">
        <v>0</v>
      </c>
      <c r="Y106" s="164">
        <v>0</v>
      </c>
      <c r="Z106" s="164">
        <v>0</v>
      </c>
      <c r="AA106" s="164">
        <v>0</v>
      </c>
      <c r="AB106" s="164">
        <v>0</v>
      </c>
      <c r="AC106" s="164">
        <v>0</v>
      </c>
      <c r="AD106" s="164">
        <f t="shared" si="13"/>
        <v>0</v>
      </c>
      <c r="AE106" s="164">
        <v>23.56</v>
      </c>
      <c r="AF106" s="164">
        <v>1000</v>
      </c>
      <c r="AG106" s="164">
        <v>0</v>
      </c>
      <c r="AH106" s="164">
        <v>0</v>
      </c>
      <c r="AI106" s="164">
        <v>0</v>
      </c>
      <c r="AJ106" s="164">
        <v>0</v>
      </c>
      <c r="AK106" s="164">
        <v>0</v>
      </c>
      <c r="AL106" s="164">
        <v>0</v>
      </c>
      <c r="AM106" s="164">
        <f t="shared" si="14"/>
        <v>0</v>
      </c>
      <c r="AN106" s="164">
        <v>40</v>
      </c>
      <c r="AO106" s="164">
        <v>1000</v>
      </c>
      <c r="AP106" s="164">
        <v>0</v>
      </c>
      <c r="AQ106" s="164">
        <v>0</v>
      </c>
      <c r="AR106" s="164">
        <v>0</v>
      </c>
      <c r="AS106" s="164">
        <v>0</v>
      </c>
      <c r="AT106" s="164">
        <v>0</v>
      </c>
      <c r="AU106" s="164">
        <v>0</v>
      </c>
      <c r="AV106" s="164">
        <f t="shared" si="15"/>
        <v>0</v>
      </c>
      <c r="AW106" s="164">
        <v>40</v>
      </c>
      <c r="AX106" s="164">
        <v>1000</v>
      </c>
      <c r="AY106" s="164">
        <v>0</v>
      </c>
      <c r="AZ106" s="164">
        <v>0</v>
      </c>
      <c r="BA106" s="164">
        <v>0</v>
      </c>
      <c r="BB106" s="164">
        <v>0</v>
      </c>
      <c r="BC106" s="164">
        <v>0</v>
      </c>
      <c r="BD106" s="164">
        <v>0</v>
      </c>
      <c r="BE106" s="164">
        <f t="shared" si="16"/>
        <v>0</v>
      </c>
      <c r="BF106" s="164">
        <v>40</v>
      </c>
      <c r="BG106" s="164">
        <f>VLOOKUP(C106,薪酬明细!A:AC,29,0)</f>
        <v>1000</v>
      </c>
      <c r="BH106" s="164">
        <v>0</v>
      </c>
      <c r="BI106" s="164">
        <v>0</v>
      </c>
      <c r="BJ106" s="164">
        <v>0</v>
      </c>
      <c r="BK106" s="164">
        <v>0</v>
      </c>
      <c r="BL106" s="164">
        <v>0</v>
      </c>
      <c r="BM106" s="164">
        <v>0</v>
      </c>
      <c r="BN106" s="164">
        <f t="shared" si="17"/>
        <v>0</v>
      </c>
      <c r="BO106" s="164"/>
      <c r="BP106" s="164"/>
      <c r="BQ106" s="164"/>
      <c r="BR106" s="164"/>
      <c r="BS106" s="164"/>
      <c r="BT106" s="164"/>
      <c r="BU106" s="164"/>
      <c r="BV106" s="164"/>
      <c r="BW106" s="164"/>
      <c r="BX106" s="164"/>
      <c r="BY106" s="164"/>
      <c r="BZ106" s="164"/>
      <c r="CA106" s="164"/>
      <c r="CB106" s="164"/>
      <c r="CC106" s="164"/>
      <c r="CD106" s="164"/>
      <c r="CE106" s="164"/>
      <c r="CF106" s="164"/>
      <c r="CG106" s="164"/>
      <c r="CH106" s="164"/>
      <c r="CI106" s="164"/>
      <c r="CJ106" s="164"/>
      <c r="CK106" s="164"/>
      <c r="CL106" s="164"/>
      <c r="CM106" s="164"/>
      <c r="CN106" s="164"/>
      <c r="CO106" s="164"/>
      <c r="CP106" s="164"/>
      <c r="CQ106" s="164"/>
      <c r="CR106" s="164"/>
      <c r="CS106" s="164"/>
      <c r="CT106" s="164"/>
      <c r="CU106" s="164"/>
      <c r="CV106" s="164"/>
      <c r="CW106" s="164"/>
      <c r="CX106" s="164"/>
      <c r="CY106" s="164"/>
      <c r="CZ106" s="164"/>
      <c r="DA106" s="164"/>
      <c r="DB106" s="164"/>
      <c r="DC106" s="164"/>
      <c r="DD106" s="164"/>
      <c r="DE106" s="164"/>
      <c r="DF106" s="164"/>
      <c r="DG106" s="164"/>
      <c r="DH106" s="164"/>
      <c r="DI106" s="164"/>
      <c r="DJ106" s="164"/>
      <c r="DK106" s="164"/>
      <c r="DL106" s="164"/>
      <c r="DM106" s="164"/>
      <c r="DN106" s="164"/>
      <c r="DO106" s="164"/>
      <c r="DP106" s="164"/>
      <c r="DQ106" s="164"/>
      <c r="DR106" s="163"/>
      <c r="DS106" s="164">
        <f t="shared" si="18"/>
        <v>5917.8</v>
      </c>
      <c r="DT106" s="164">
        <f t="shared" si="19"/>
        <v>0</v>
      </c>
      <c r="DU106" s="164">
        <f t="shared" si="20"/>
        <v>0</v>
      </c>
      <c r="DV106" s="164">
        <f t="shared" si="21"/>
        <v>183.56</v>
      </c>
      <c r="DW106" s="166"/>
      <c r="DX106" s="153" t="str">
        <f>VLOOKUP(C106,薪酬明细!A:A,1,0)</f>
        <v>弈享天津周梓荣</v>
      </c>
      <c r="DY106" s="153"/>
    </row>
    <row r="107" s="149" customFormat="1" spans="1:129">
      <c r="A107" s="163" t="s">
        <v>71</v>
      </c>
      <c r="B107" s="163" t="s">
        <v>361</v>
      </c>
      <c r="C107" s="164" t="str">
        <f t="shared" si="11"/>
        <v>开弈投资周凯楠</v>
      </c>
      <c r="D107" s="165">
        <v>46023</v>
      </c>
      <c r="E107" s="164">
        <v>6644.85</v>
      </c>
      <c r="F107" s="164">
        <v>1300.3</v>
      </c>
      <c r="G107" s="164">
        <v>0</v>
      </c>
      <c r="H107" s="164">
        <v>0</v>
      </c>
      <c r="I107" s="164">
        <v>0</v>
      </c>
      <c r="J107" s="164">
        <v>0</v>
      </c>
      <c r="K107" s="164">
        <v>0</v>
      </c>
      <c r="L107" s="164">
        <f t="shared" si="12"/>
        <v>0</v>
      </c>
      <c r="M107" s="164">
        <v>10.34</v>
      </c>
      <c r="N107" s="164"/>
      <c r="O107" s="164"/>
      <c r="P107" s="164"/>
      <c r="Q107" s="164"/>
      <c r="R107" s="164"/>
      <c r="S107" s="164"/>
      <c r="T107" s="164"/>
      <c r="U107" s="164"/>
      <c r="V107" s="164"/>
      <c r="W107" s="164">
        <v>5567.92</v>
      </c>
      <c r="X107" s="164">
        <v>1300.3</v>
      </c>
      <c r="Y107" s="164">
        <v>0</v>
      </c>
      <c r="Z107" s="164">
        <v>0</v>
      </c>
      <c r="AA107" s="164">
        <v>0</v>
      </c>
      <c r="AB107" s="164">
        <v>0</v>
      </c>
      <c r="AC107" s="164">
        <v>0</v>
      </c>
      <c r="AD107" s="164">
        <f t="shared" si="13"/>
        <v>0</v>
      </c>
      <c r="AE107" s="164"/>
      <c r="AF107" s="164">
        <v>6418</v>
      </c>
      <c r="AG107" s="164">
        <v>1300.3</v>
      </c>
      <c r="AH107" s="164">
        <v>0</v>
      </c>
      <c r="AI107" s="164">
        <v>0</v>
      </c>
      <c r="AJ107" s="164">
        <v>0</v>
      </c>
      <c r="AK107" s="164">
        <v>0</v>
      </c>
      <c r="AL107" s="164">
        <v>0</v>
      </c>
      <c r="AM107" s="164">
        <f t="shared" si="14"/>
        <v>0</v>
      </c>
      <c r="AN107" s="164">
        <v>0</v>
      </c>
      <c r="AO107" s="164">
        <v>6014.9</v>
      </c>
      <c r="AP107" s="164">
        <v>1300.3</v>
      </c>
      <c r="AQ107" s="164">
        <v>0</v>
      </c>
      <c r="AR107" s="164">
        <v>0</v>
      </c>
      <c r="AS107" s="164">
        <v>0</v>
      </c>
      <c r="AT107" s="164">
        <v>0</v>
      </c>
      <c r="AU107" s="164">
        <v>0</v>
      </c>
      <c r="AV107" s="164">
        <f t="shared" si="15"/>
        <v>0</v>
      </c>
      <c r="AW107" s="164">
        <v>0</v>
      </c>
      <c r="AX107" s="164">
        <v>5290.8</v>
      </c>
      <c r="AY107" s="164">
        <v>1300.3</v>
      </c>
      <c r="AZ107" s="164">
        <v>0</v>
      </c>
      <c r="BA107" s="164">
        <v>0</v>
      </c>
      <c r="BB107" s="164">
        <v>0</v>
      </c>
      <c r="BC107" s="164">
        <v>0</v>
      </c>
      <c r="BD107" s="164">
        <v>0</v>
      </c>
      <c r="BE107" s="164">
        <f t="shared" si="16"/>
        <v>0</v>
      </c>
      <c r="BF107" s="164">
        <v>0</v>
      </c>
      <c r="BG107" s="164">
        <f>VLOOKUP(C107,薪酬明细!A:AC,29,0)</f>
        <v>6414.65</v>
      </c>
      <c r="BH107" s="164">
        <v>1300.3</v>
      </c>
      <c r="BI107" s="164">
        <v>0</v>
      </c>
      <c r="BJ107" s="164">
        <v>0</v>
      </c>
      <c r="BK107" s="164">
        <v>0</v>
      </c>
      <c r="BL107" s="164">
        <v>0</v>
      </c>
      <c r="BM107" s="164">
        <v>0</v>
      </c>
      <c r="BN107" s="164">
        <f t="shared" si="17"/>
        <v>0</v>
      </c>
      <c r="BO107" s="164"/>
      <c r="BP107" s="164"/>
      <c r="BQ107" s="164"/>
      <c r="BR107" s="164"/>
      <c r="BS107" s="164"/>
      <c r="BT107" s="164"/>
      <c r="BU107" s="164"/>
      <c r="BV107" s="164"/>
      <c r="BW107" s="164"/>
      <c r="BX107" s="164"/>
      <c r="BY107" s="164"/>
      <c r="BZ107" s="164"/>
      <c r="CA107" s="164"/>
      <c r="CB107" s="164"/>
      <c r="CC107" s="164"/>
      <c r="CD107" s="164"/>
      <c r="CE107" s="164"/>
      <c r="CF107" s="164"/>
      <c r="CG107" s="164"/>
      <c r="CH107" s="164"/>
      <c r="CI107" s="164"/>
      <c r="CJ107" s="164"/>
      <c r="CK107" s="164"/>
      <c r="CL107" s="164"/>
      <c r="CM107" s="164"/>
      <c r="CN107" s="164"/>
      <c r="CO107" s="164"/>
      <c r="CP107" s="164"/>
      <c r="CQ107" s="164"/>
      <c r="CR107" s="164"/>
      <c r="CS107" s="164"/>
      <c r="CT107" s="164"/>
      <c r="CU107" s="164"/>
      <c r="CV107" s="164"/>
      <c r="CW107" s="164"/>
      <c r="CX107" s="164"/>
      <c r="CY107" s="164"/>
      <c r="CZ107" s="164"/>
      <c r="DA107" s="164"/>
      <c r="DB107" s="164"/>
      <c r="DC107" s="164"/>
      <c r="DD107" s="164"/>
      <c r="DE107" s="164"/>
      <c r="DF107" s="164"/>
      <c r="DG107" s="164"/>
      <c r="DH107" s="164"/>
      <c r="DI107" s="164"/>
      <c r="DJ107" s="164"/>
      <c r="DK107" s="164"/>
      <c r="DL107" s="164"/>
      <c r="DM107" s="164"/>
      <c r="DN107" s="164"/>
      <c r="DO107" s="164"/>
      <c r="DP107" s="164"/>
      <c r="DQ107" s="164"/>
      <c r="DR107" s="163"/>
      <c r="DS107" s="164">
        <f t="shared" si="18"/>
        <v>36351.12</v>
      </c>
      <c r="DT107" s="164">
        <f t="shared" si="19"/>
        <v>7801.8</v>
      </c>
      <c r="DU107" s="164">
        <f t="shared" si="20"/>
        <v>0</v>
      </c>
      <c r="DV107" s="164">
        <f t="shared" si="21"/>
        <v>10.34</v>
      </c>
      <c r="DW107" s="166"/>
      <c r="DX107" s="153" t="str">
        <f>VLOOKUP(C107,薪酬明细!A:A,1,0)</f>
        <v>开弈投资周凯楠</v>
      </c>
      <c r="DY107" s="153"/>
    </row>
    <row r="108" s="149" customFormat="1" spans="1:129">
      <c r="A108" s="163" t="s">
        <v>72</v>
      </c>
      <c r="B108" s="163" t="s">
        <v>560</v>
      </c>
      <c r="C108" s="164" t="str">
        <f t="shared" si="11"/>
        <v>弈工分信息陈圆</v>
      </c>
      <c r="D108" s="165">
        <v>46023</v>
      </c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64"/>
      <c r="AS108" s="164"/>
      <c r="AT108" s="164"/>
      <c r="AU108" s="164"/>
      <c r="AV108" s="164"/>
      <c r="AW108" s="164"/>
      <c r="AX108" s="164">
        <v>2942.53</v>
      </c>
      <c r="AY108" s="164"/>
      <c r="AZ108" s="164"/>
      <c r="BA108" s="164"/>
      <c r="BB108" s="164"/>
      <c r="BC108" s="164"/>
      <c r="BD108" s="164"/>
      <c r="BE108" s="164"/>
      <c r="BF108" s="164">
        <v>0</v>
      </c>
      <c r="BG108" s="164">
        <f>VLOOKUP(C108,薪酬明细!A:AC,29,0)</f>
        <v>12200</v>
      </c>
      <c r="BH108" s="164"/>
      <c r="BI108" s="164"/>
      <c r="BJ108" s="164"/>
      <c r="BK108" s="164"/>
      <c r="BL108" s="164"/>
      <c r="BM108" s="164"/>
      <c r="BN108" s="164"/>
      <c r="BO108" s="164"/>
      <c r="BP108" s="164"/>
      <c r="BQ108" s="164"/>
      <c r="BR108" s="164"/>
      <c r="BS108" s="164"/>
      <c r="BT108" s="164"/>
      <c r="BU108" s="164"/>
      <c r="BV108" s="164"/>
      <c r="BW108" s="164"/>
      <c r="BX108" s="164"/>
      <c r="BY108" s="164"/>
      <c r="BZ108" s="164"/>
      <c r="CA108" s="164"/>
      <c r="CB108" s="164"/>
      <c r="CC108" s="164"/>
      <c r="CD108" s="164"/>
      <c r="CE108" s="164"/>
      <c r="CF108" s="164"/>
      <c r="CG108" s="164"/>
      <c r="CH108" s="164"/>
      <c r="CI108" s="164"/>
      <c r="CJ108" s="164"/>
      <c r="CK108" s="164"/>
      <c r="CL108" s="164"/>
      <c r="CM108" s="164"/>
      <c r="CN108" s="164"/>
      <c r="CO108" s="164"/>
      <c r="CP108" s="164"/>
      <c r="CQ108" s="164"/>
      <c r="CR108" s="164"/>
      <c r="CS108" s="164"/>
      <c r="CT108" s="164"/>
      <c r="CU108" s="164"/>
      <c r="CV108" s="164"/>
      <c r="CW108" s="164"/>
      <c r="CX108" s="164"/>
      <c r="CY108" s="164"/>
      <c r="CZ108" s="164"/>
      <c r="DA108" s="164"/>
      <c r="DB108" s="164"/>
      <c r="DC108" s="164"/>
      <c r="DD108" s="164"/>
      <c r="DE108" s="164"/>
      <c r="DF108" s="164"/>
      <c r="DG108" s="164"/>
      <c r="DH108" s="164"/>
      <c r="DI108" s="164"/>
      <c r="DJ108" s="164"/>
      <c r="DK108" s="164"/>
      <c r="DL108" s="164"/>
      <c r="DM108" s="164"/>
      <c r="DN108" s="164"/>
      <c r="DO108" s="164"/>
      <c r="DP108" s="164"/>
      <c r="DQ108" s="164"/>
      <c r="DR108" s="163"/>
      <c r="DS108" s="164">
        <f t="shared" si="18"/>
        <v>15142.53</v>
      </c>
      <c r="DT108" s="164">
        <f t="shared" si="19"/>
        <v>0</v>
      </c>
      <c r="DU108" s="164">
        <f t="shared" si="20"/>
        <v>0</v>
      </c>
      <c r="DV108" s="164">
        <f t="shared" si="21"/>
        <v>0</v>
      </c>
      <c r="DW108" s="166"/>
      <c r="DX108" s="153" t="str">
        <f>VLOOKUP(C108,薪酬明细!A:A,1,0)</f>
        <v>弈工分信息陈圆</v>
      </c>
      <c r="DY108" s="153"/>
    </row>
    <row r="109" s="149" customFormat="1" spans="1:129">
      <c r="A109" s="163" t="s">
        <v>72</v>
      </c>
      <c r="B109" s="163" t="s">
        <v>562</v>
      </c>
      <c r="C109" s="164" t="str">
        <f t="shared" si="11"/>
        <v>弈工分信息安子玥</v>
      </c>
      <c r="D109" s="165">
        <v>46023</v>
      </c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  <c r="AO109" s="164"/>
      <c r="AP109" s="164"/>
      <c r="AQ109" s="164"/>
      <c r="AR109" s="164"/>
      <c r="AS109" s="164"/>
      <c r="AT109" s="164"/>
      <c r="AU109" s="164"/>
      <c r="AV109" s="164"/>
      <c r="AW109" s="164"/>
      <c r="AX109" s="164"/>
      <c r="AY109" s="164"/>
      <c r="AZ109" s="164"/>
      <c r="BA109" s="164"/>
      <c r="BB109" s="164"/>
      <c r="BC109" s="164"/>
      <c r="BD109" s="164"/>
      <c r="BE109" s="164"/>
      <c r="BF109" s="164"/>
      <c r="BG109" s="164">
        <f>VLOOKUP(C109,薪酬明细!A:AC,29,0)</f>
        <v>7632.18</v>
      </c>
      <c r="BH109" s="164"/>
      <c r="BI109" s="164"/>
      <c r="BJ109" s="164"/>
      <c r="BK109" s="164"/>
      <c r="BL109" s="164"/>
      <c r="BM109" s="164"/>
      <c r="BN109" s="164"/>
      <c r="BO109" s="164"/>
      <c r="BP109" s="164"/>
      <c r="BQ109" s="164"/>
      <c r="BR109" s="164"/>
      <c r="BS109" s="164"/>
      <c r="BT109" s="164"/>
      <c r="BU109" s="164"/>
      <c r="BV109" s="164"/>
      <c r="BW109" s="164"/>
      <c r="BX109" s="164"/>
      <c r="BY109" s="164"/>
      <c r="BZ109" s="164"/>
      <c r="CA109" s="164"/>
      <c r="CB109" s="164"/>
      <c r="CC109" s="164"/>
      <c r="CD109" s="164"/>
      <c r="CE109" s="164"/>
      <c r="CF109" s="164"/>
      <c r="CG109" s="164"/>
      <c r="CH109" s="164"/>
      <c r="CI109" s="164"/>
      <c r="CJ109" s="164"/>
      <c r="CK109" s="164"/>
      <c r="CL109" s="164"/>
      <c r="CM109" s="164"/>
      <c r="CN109" s="164"/>
      <c r="CO109" s="164"/>
      <c r="CP109" s="164"/>
      <c r="CQ109" s="164"/>
      <c r="CR109" s="164"/>
      <c r="CS109" s="164"/>
      <c r="CT109" s="164"/>
      <c r="CU109" s="164"/>
      <c r="CV109" s="164"/>
      <c r="CW109" s="164"/>
      <c r="CX109" s="164"/>
      <c r="CY109" s="164"/>
      <c r="CZ109" s="164"/>
      <c r="DA109" s="164"/>
      <c r="DB109" s="164"/>
      <c r="DC109" s="164"/>
      <c r="DD109" s="164"/>
      <c r="DE109" s="164"/>
      <c r="DF109" s="164"/>
      <c r="DG109" s="164"/>
      <c r="DH109" s="164"/>
      <c r="DI109" s="164"/>
      <c r="DJ109" s="164"/>
      <c r="DK109" s="164"/>
      <c r="DL109" s="164"/>
      <c r="DM109" s="164"/>
      <c r="DN109" s="164"/>
      <c r="DO109" s="164"/>
      <c r="DP109" s="164"/>
      <c r="DQ109" s="164"/>
      <c r="DR109" s="163"/>
      <c r="DS109" s="164">
        <f t="shared" ref="DS109:DS123" si="22">E109+N109+W109+AF109+AO109+AX109+BG109+BP109+BY109+CH109+CQ109+CZ109+DI109</f>
        <v>7632.18</v>
      </c>
      <c r="DT109" s="164">
        <f t="shared" ref="DT109:DT123" si="23">F109+O109+X109+AG109+AP109+AY109+BH109+BQ109+BZ109+CI109+CR109+DA109+DJ109</f>
        <v>0</v>
      </c>
      <c r="DU109" s="164">
        <f t="shared" ref="DU109:DU123" si="24">L109+U109+AD109+AM109+AV109+BE109+BN109+BW109+CF109+CO109+CX109+DG109+DP109</f>
        <v>0</v>
      </c>
      <c r="DV109" s="164">
        <f t="shared" ref="DV109:DV123" si="25">M109+V109+AE109+AN109+AW109+BF109+BO109+BX109+CG109+CP109+CY109+DH109+DQ109</f>
        <v>0</v>
      </c>
      <c r="DW109" s="166"/>
      <c r="DX109" s="153"/>
      <c r="DY109" s="153"/>
    </row>
    <row r="110" s="149" customFormat="1" spans="1:129">
      <c r="A110" s="163" t="s">
        <v>72</v>
      </c>
      <c r="B110" s="163" t="s">
        <v>563</v>
      </c>
      <c r="C110" s="164" t="str">
        <f t="shared" si="11"/>
        <v>弈工分信息陈双杰</v>
      </c>
      <c r="D110" s="165">
        <v>46023</v>
      </c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  <c r="AO110" s="164"/>
      <c r="AP110" s="164"/>
      <c r="AQ110" s="164"/>
      <c r="AR110" s="164"/>
      <c r="AS110" s="164"/>
      <c r="AT110" s="164"/>
      <c r="AU110" s="164"/>
      <c r="AV110" s="164"/>
      <c r="AW110" s="164"/>
      <c r="AX110" s="164"/>
      <c r="AY110" s="164"/>
      <c r="AZ110" s="164"/>
      <c r="BA110" s="164"/>
      <c r="BB110" s="164"/>
      <c r="BC110" s="164"/>
      <c r="BD110" s="164"/>
      <c r="BE110" s="164"/>
      <c r="BF110" s="164"/>
      <c r="BG110" s="164">
        <f>VLOOKUP(C110,薪酬明细!A:AC,29,0)</f>
        <v>7632.18</v>
      </c>
      <c r="BH110" s="164"/>
      <c r="BI110" s="164"/>
      <c r="BJ110" s="164"/>
      <c r="BK110" s="164"/>
      <c r="BL110" s="164"/>
      <c r="BM110" s="164"/>
      <c r="BN110" s="164"/>
      <c r="BO110" s="164"/>
      <c r="BP110" s="164"/>
      <c r="BQ110" s="164"/>
      <c r="BR110" s="164"/>
      <c r="BS110" s="164"/>
      <c r="BT110" s="164"/>
      <c r="BU110" s="164"/>
      <c r="BV110" s="164"/>
      <c r="BW110" s="164"/>
      <c r="BX110" s="164"/>
      <c r="BY110" s="164"/>
      <c r="BZ110" s="164"/>
      <c r="CA110" s="164"/>
      <c r="CB110" s="164"/>
      <c r="CC110" s="164"/>
      <c r="CD110" s="164"/>
      <c r="CE110" s="164"/>
      <c r="CF110" s="164"/>
      <c r="CG110" s="164"/>
      <c r="CH110" s="164"/>
      <c r="CI110" s="164"/>
      <c r="CJ110" s="164"/>
      <c r="CK110" s="164"/>
      <c r="CL110" s="164"/>
      <c r="CM110" s="164"/>
      <c r="CN110" s="164"/>
      <c r="CO110" s="164"/>
      <c r="CP110" s="164"/>
      <c r="CQ110" s="164"/>
      <c r="CR110" s="164"/>
      <c r="CS110" s="164"/>
      <c r="CT110" s="164"/>
      <c r="CU110" s="164"/>
      <c r="CV110" s="164"/>
      <c r="CW110" s="164"/>
      <c r="CX110" s="164"/>
      <c r="CY110" s="164"/>
      <c r="CZ110" s="164"/>
      <c r="DA110" s="164"/>
      <c r="DB110" s="164"/>
      <c r="DC110" s="164"/>
      <c r="DD110" s="164"/>
      <c r="DE110" s="164"/>
      <c r="DF110" s="164"/>
      <c r="DG110" s="164"/>
      <c r="DH110" s="164"/>
      <c r="DI110" s="164"/>
      <c r="DJ110" s="164"/>
      <c r="DK110" s="164"/>
      <c r="DL110" s="164"/>
      <c r="DM110" s="164"/>
      <c r="DN110" s="164"/>
      <c r="DO110" s="164"/>
      <c r="DP110" s="164"/>
      <c r="DQ110" s="164"/>
      <c r="DR110" s="163"/>
      <c r="DS110" s="164">
        <f t="shared" si="22"/>
        <v>7632.18</v>
      </c>
      <c r="DT110" s="164">
        <f t="shared" si="23"/>
        <v>0</v>
      </c>
      <c r="DU110" s="164">
        <f t="shared" si="24"/>
        <v>0</v>
      </c>
      <c r="DV110" s="164">
        <f t="shared" si="25"/>
        <v>0</v>
      </c>
      <c r="DW110" s="166"/>
      <c r="DX110" s="153"/>
      <c r="DY110" s="153"/>
    </row>
    <row r="111" s="149" customFormat="1" spans="1:129">
      <c r="A111" s="163" t="s">
        <v>72</v>
      </c>
      <c r="B111" s="163" t="s">
        <v>564</v>
      </c>
      <c r="C111" s="164" t="str">
        <f t="shared" si="11"/>
        <v>弈工分信息陈锦</v>
      </c>
      <c r="D111" s="165">
        <v>46023</v>
      </c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  <c r="AO111" s="164"/>
      <c r="AP111" s="164"/>
      <c r="AQ111" s="164"/>
      <c r="AR111" s="164"/>
      <c r="AS111" s="164"/>
      <c r="AT111" s="164"/>
      <c r="AU111" s="164"/>
      <c r="AV111" s="164"/>
      <c r="AW111" s="164"/>
      <c r="AX111" s="164"/>
      <c r="AY111" s="164"/>
      <c r="AZ111" s="164"/>
      <c r="BA111" s="164"/>
      <c r="BB111" s="164"/>
      <c r="BC111" s="164"/>
      <c r="BD111" s="164"/>
      <c r="BE111" s="164"/>
      <c r="BF111" s="164"/>
      <c r="BG111" s="164">
        <f>VLOOKUP(C111,薪酬明细!A:AC,29,0)</f>
        <v>7264.37</v>
      </c>
      <c r="BH111" s="164"/>
      <c r="BI111" s="164"/>
      <c r="BJ111" s="164"/>
      <c r="BK111" s="164"/>
      <c r="BL111" s="164"/>
      <c r="BM111" s="164"/>
      <c r="BN111" s="164"/>
      <c r="BO111" s="164"/>
      <c r="BP111" s="164"/>
      <c r="BQ111" s="164"/>
      <c r="BR111" s="164"/>
      <c r="BS111" s="164"/>
      <c r="BT111" s="164"/>
      <c r="BU111" s="164"/>
      <c r="BV111" s="164"/>
      <c r="BW111" s="164"/>
      <c r="BX111" s="164"/>
      <c r="BY111" s="164"/>
      <c r="BZ111" s="164"/>
      <c r="CA111" s="164"/>
      <c r="CB111" s="164"/>
      <c r="CC111" s="164"/>
      <c r="CD111" s="164"/>
      <c r="CE111" s="164"/>
      <c r="CF111" s="164"/>
      <c r="CG111" s="164"/>
      <c r="CH111" s="164"/>
      <c r="CI111" s="164"/>
      <c r="CJ111" s="164"/>
      <c r="CK111" s="164"/>
      <c r="CL111" s="164"/>
      <c r="CM111" s="164"/>
      <c r="CN111" s="164"/>
      <c r="CO111" s="164"/>
      <c r="CP111" s="164"/>
      <c r="CQ111" s="164"/>
      <c r="CR111" s="164"/>
      <c r="CS111" s="164"/>
      <c r="CT111" s="164"/>
      <c r="CU111" s="164"/>
      <c r="CV111" s="164"/>
      <c r="CW111" s="164"/>
      <c r="CX111" s="164"/>
      <c r="CY111" s="164"/>
      <c r="CZ111" s="164"/>
      <c r="DA111" s="164"/>
      <c r="DB111" s="164"/>
      <c r="DC111" s="164"/>
      <c r="DD111" s="164"/>
      <c r="DE111" s="164"/>
      <c r="DF111" s="164"/>
      <c r="DG111" s="164"/>
      <c r="DH111" s="164"/>
      <c r="DI111" s="164"/>
      <c r="DJ111" s="164"/>
      <c r="DK111" s="164"/>
      <c r="DL111" s="164"/>
      <c r="DM111" s="164"/>
      <c r="DN111" s="164"/>
      <c r="DO111" s="164"/>
      <c r="DP111" s="164"/>
      <c r="DQ111" s="164"/>
      <c r="DR111" s="163"/>
      <c r="DS111" s="164">
        <f t="shared" si="22"/>
        <v>7264.37</v>
      </c>
      <c r="DT111" s="164">
        <f t="shared" si="23"/>
        <v>0</v>
      </c>
      <c r="DU111" s="164">
        <f t="shared" si="24"/>
        <v>0</v>
      </c>
      <c r="DV111" s="164">
        <f t="shared" si="25"/>
        <v>0</v>
      </c>
      <c r="DW111" s="166"/>
      <c r="DX111" s="153"/>
      <c r="DY111" s="153"/>
    </row>
    <row r="112" s="149" customFormat="1" spans="1:129">
      <c r="A112" s="163" t="s">
        <v>59</v>
      </c>
      <c r="B112" s="163" t="s">
        <v>565</v>
      </c>
      <c r="C112" s="164" t="str">
        <f t="shared" si="11"/>
        <v>开弈中国-美元任梦超</v>
      </c>
      <c r="D112" s="165">
        <v>46023</v>
      </c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  <c r="AO112" s="164"/>
      <c r="AP112" s="164"/>
      <c r="AQ112" s="164"/>
      <c r="AR112" s="164"/>
      <c r="AS112" s="164"/>
      <c r="AT112" s="164"/>
      <c r="AU112" s="164"/>
      <c r="AV112" s="164"/>
      <c r="AW112" s="164"/>
      <c r="AX112" s="164"/>
      <c r="AY112" s="164"/>
      <c r="AZ112" s="164"/>
      <c r="BA112" s="164"/>
      <c r="BB112" s="164"/>
      <c r="BC112" s="164"/>
      <c r="BD112" s="164"/>
      <c r="BE112" s="164"/>
      <c r="BF112" s="164"/>
      <c r="BG112" s="164">
        <f>VLOOKUP(C112,薪酬明细!A:AC,29,0)</f>
        <v>2200</v>
      </c>
      <c r="BH112" s="164"/>
      <c r="BI112" s="164"/>
      <c r="BJ112" s="164"/>
      <c r="BK112" s="164"/>
      <c r="BL112" s="164"/>
      <c r="BM112" s="164"/>
      <c r="BN112" s="164"/>
      <c r="BO112" s="164"/>
      <c r="BP112" s="164"/>
      <c r="BQ112" s="164"/>
      <c r="BR112" s="164"/>
      <c r="BS112" s="164"/>
      <c r="BT112" s="164"/>
      <c r="BU112" s="164"/>
      <c r="BV112" s="164"/>
      <c r="BW112" s="164"/>
      <c r="BX112" s="164"/>
      <c r="BY112" s="164"/>
      <c r="BZ112" s="164"/>
      <c r="CA112" s="164"/>
      <c r="CB112" s="164"/>
      <c r="CC112" s="164"/>
      <c r="CD112" s="164"/>
      <c r="CE112" s="164"/>
      <c r="CF112" s="164"/>
      <c r="CG112" s="164"/>
      <c r="CH112" s="164"/>
      <c r="CI112" s="164"/>
      <c r="CJ112" s="164"/>
      <c r="CK112" s="164"/>
      <c r="CL112" s="164"/>
      <c r="CM112" s="164"/>
      <c r="CN112" s="164"/>
      <c r="CO112" s="164"/>
      <c r="CP112" s="164"/>
      <c r="CQ112" s="164"/>
      <c r="CR112" s="164"/>
      <c r="CS112" s="164"/>
      <c r="CT112" s="164"/>
      <c r="CU112" s="164"/>
      <c r="CV112" s="164"/>
      <c r="CW112" s="164"/>
      <c r="CX112" s="164"/>
      <c r="CY112" s="164"/>
      <c r="CZ112" s="164"/>
      <c r="DA112" s="164"/>
      <c r="DB112" s="164"/>
      <c r="DC112" s="164"/>
      <c r="DD112" s="164"/>
      <c r="DE112" s="164"/>
      <c r="DF112" s="164"/>
      <c r="DG112" s="164"/>
      <c r="DH112" s="164"/>
      <c r="DI112" s="164"/>
      <c r="DJ112" s="164"/>
      <c r="DK112" s="164"/>
      <c r="DL112" s="164"/>
      <c r="DM112" s="164"/>
      <c r="DN112" s="164"/>
      <c r="DO112" s="164"/>
      <c r="DP112" s="164"/>
      <c r="DQ112" s="164"/>
      <c r="DR112" s="163"/>
      <c r="DS112" s="164">
        <f t="shared" si="22"/>
        <v>2200</v>
      </c>
      <c r="DT112" s="164">
        <f t="shared" si="23"/>
        <v>0</v>
      </c>
      <c r="DU112" s="164">
        <f t="shared" si="24"/>
        <v>0</v>
      </c>
      <c r="DV112" s="164">
        <f t="shared" si="25"/>
        <v>0</v>
      </c>
      <c r="DW112" s="166"/>
      <c r="DX112" s="153"/>
      <c r="DY112" s="153"/>
    </row>
    <row r="113" s="149" customFormat="1" spans="1:129">
      <c r="A113" s="163" t="s">
        <v>73</v>
      </c>
      <c r="B113" s="163" t="s">
        <v>566</v>
      </c>
      <c r="C113" s="164" t="str">
        <f t="shared" si="11"/>
        <v>弈工分健康高光付</v>
      </c>
      <c r="D113" s="165">
        <v>46023</v>
      </c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  <c r="AO113" s="164"/>
      <c r="AP113" s="164"/>
      <c r="AQ113" s="164"/>
      <c r="AR113" s="164"/>
      <c r="AS113" s="164"/>
      <c r="AT113" s="164"/>
      <c r="AU113" s="164"/>
      <c r="AV113" s="164"/>
      <c r="AW113" s="164"/>
      <c r="AX113" s="164"/>
      <c r="AY113" s="164"/>
      <c r="AZ113" s="164"/>
      <c r="BA113" s="164"/>
      <c r="BB113" s="164"/>
      <c r="BC113" s="164"/>
      <c r="BD113" s="164"/>
      <c r="BE113" s="164"/>
      <c r="BF113" s="164"/>
      <c r="BG113" s="164">
        <f>VLOOKUP(C113,薪酬明细!A:AC,29,0)</f>
        <v>2615.38</v>
      </c>
      <c r="BH113" s="164"/>
      <c r="BI113" s="164"/>
      <c r="BJ113" s="164"/>
      <c r="BK113" s="164"/>
      <c r="BL113" s="164"/>
      <c r="BM113" s="164"/>
      <c r="BN113" s="164"/>
      <c r="BO113" s="164"/>
      <c r="BP113" s="164"/>
      <c r="BQ113" s="164"/>
      <c r="BR113" s="164"/>
      <c r="BS113" s="164"/>
      <c r="BT113" s="164"/>
      <c r="BU113" s="164"/>
      <c r="BV113" s="164"/>
      <c r="BW113" s="164"/>
      <c r="BX113" s="164"/>
      <c r="BY113" s="164"/>
      <c r="BZ113" s="164"/>
      <c r="CA113" s="164"/>
      <c r="CB113" s="164"/>
      <c r="CC113" s="164"/>
      <c r="CD113" s="164"/>
      <c r="CE113" s="164"/>
      <c r="CF113" s="164"/>
      <c r="CG113" s="164"/>
      <c r="CH113" s="164"/>
      <c r="CI113" s="164"/>
      <c r="CJ113" s="164"/>
      <c r="CK113" s="164"/>
      <c r="CL113" s="164"/>
      <c r="CM113" s="164"/>
      <c r="CN113" s="164"/>
      <c r="CO113" s="164"/>
      <c r="CP113" s="164"/>
      <c r="CQ113" s="164"/>
      <c r="CR113" s="164"/>
      <c r="CS113" s="164"/>
      <c r="CT113" s="164"/>
      <c r="CU113" s="164"/>
      <c r="CV113" s="164"/>
      <c r="CW113" s="164"/>
      <c r="CX113" s="164"/>
      <c r="CY113" s="164"/>
      <c r="CZ113" s="164"/>
      <c r="DA113" s="164"/>
      <c r="DB113" s="164"/>
      <c r="DC113" s="164"/>
      <c r="DD113" s="164"/>
      <c r="DE113" s="164"/>
      <c r="DF113" s="164"/>
      <c r="DG113" s="164"/>
      <c r="DH113" s="164"/>
      <c r="DI113" s="164"/>
      <c r="DJ113" s="164"/>
      <c r="DK113" s="164"/>
      <c r="DL113" s="164"/>
      <c r="DM113" s="164"/>
      <c r="DN113" s="164"/>
      <c r="DO113" s="164"/>
      <c r="DP113" s="164"/>
      <c r="DQ113" s="164"/>
      <c r="DR113" s="163"/>
      <c r="DS113" s="164">
        <f t="shared" si="22"/>
        <v>2615.38</v>
      </c>
      <c r="DT113" s="164">
        <f t="shared" si="23"/>
        <v>0</v>
      </c>
      <c r="DU113" s="164">
        <f t="shared" si="24"/>
        <v>0</v>
      </c>
      <c r="DV113" s="164">
        <f t="shared" si="25"/>
        <v>0</v>
      </c>
      <c r="DW113" s="166"/>
      <c r="DX113" s="153"/>
      <c r="DY113" s="153"/>
    </row>
    <row r="114" s="149" customFormat="1" spans="1:129">
      <c r="A114" s="163" t="s">
        <v>73</v>
      </c>
      <c r="B114" s="163" t="s">
        <v>567</v>
      </c>
      <c r="C114" s="164" t="str">
        <f t="shared" si="11"/>
        <v>弈工分健康肖德云</v>
      </c>
      <c r="D114" s="165">
        <v>46023</v>
      </c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  <c r="AO114" s="164"/>
      <c r="AP114" s="164"/>
      <c r="AQ114" s="164"/>
      <c r="AR114" s="164"/>
      <c r="AS114" s="164"/>
      <c r="AT114" s="164"/>
      <c r="AU114" s="164"/>
      <c r="AV114" s="164"/>
      <c r="AW114" s="164"/>
      <c r="AX114" s="164"/>
      <c r="AY114" s="164"/>
      <c r="AZ114" s="164"/>
      <c r="BA114" s="164"/>
      <c r="BB114" s="164"/>
      <c r="BC114" s="164"/>
      <c r="BD114" s="164"/>
      <c r="BE114" s="164"/>
      <c r="BF114" s="164"/>
      <c r="BG114" s="164">
        <f>VLOOKUP(C114,薪酬明细!A:AC,29,0)</f>
        <v>1384.62</v>
      </c>
      <c r="BH114" s="164"/>
      <c r="BI114" s="164"/>
      <c r="BJ114" s="164"/>
      <c r="BK114" s="164"/>
      <c r="BL114" s="164"/>
      <c r="BM114" s="164"/>
      <c r="BN114" s="164"/>
      <c r="BO114" s="164"/>
      <c r="BP114" s="164"/>
      <c r="BQ114" s="164"/>
      <c r="BR114" s="164"/>
      <c r="BS114" s="164"/>
      <c r="BT114" s="164"/>
      <c r="BU114" s="164"/>
      <c r="BV114" s="164"/>
      <c r="BW114" s="164"/>
      <c r="BX114" s="164"/>
      <c r="BY114" s="164"/>
      <c r="BZ114" s="164"/>
      <c r="CA114" s="164"/>
      <c r="CB114" s="164"/>
      <c r="CC114" s="164"/>
      <c r="CD114" s="164"/>
      <c r="CE114" s="164"/>
      <c r="CF114" s="164"/>
      <c r="CG114" s="164"/>
      <c r="CH114" s="164"/>
      <c r="CI114" s="164"/>
      <c r="CJ114" s="164"/>
      <c r="CK114" s="164"/>
      <c r="CL114" s="164"/>
      <c r="CM114" s="164"/>
      <c r="CN114" s="164"/>
      <c r="CO114" s="164"/>
      <c r="CP114" s="164"/>
      <c r="CQ114" s="164"/>
      <c r="CR114" s="164"/>
      <c r="CS114" s="164"/>
      <c r="CT114" s="164"/>
      <c r="CU114" s="164"/>
      <c r="CV114" s="164"/>
      <c r="CW114" s="164"/>
      <c r="CX114" s="164"/>
      <c r="CY114" s="164"/>
      <c r="CZ114" s="164"/>
      <c r="DA114" s="164"/>
      <c r="DB114" s="164"/>
      <c r="DC114" s="164"/>
      <c r="DD114" s="164"/>
      <c r="DE114" s="164"/>
      <c r="DF114" s="164"/>
      <c r="DG114" s="164"/>
      <c r="DH114" s="164"/>
      <c r="DI114" s="164"/>
      <c r="DJ114" s="164"/>
      <c r="DK114" s="164"/>
      <c r="DL114" s="164"/>
      <c r="DM114" s="164"/>
      <c r="DN114" s="164"/>
      <c r="DO114" s="164"/>
      <c r="DP114" s="164"/>
      <c r="DQ114" s="164"/>
      <c r="DR114" s="163"/>
      <c r="DS114" s="164">
        <f t="shared" si="22"/>
        <v>1384.62</v>
      </c>
      <c r="DT114" s="164">
        <f t="shared" si="23"/>
        <v>0</v>
      </c>
      <c r="DU114" s="164">
        <f t="shared" si="24"/>
        <v>0</v>
      </c>
      <c r="DV114" s="164">
        <f t="shared" si="25"/>
        <v>0</v>
      </c>
      <c r="DW114" s="166"/>
      <c r="DX114" s="153"/>
      <c r="DY114" s="153"/>
    </row>
    <row r="115" s="149" customFormat="1" spans="1:129">
      <c r="A115" s="163" t="s">
        <v>73</v>
      </c>
      <c r="B115" s="163" t="s">
        <v>568</v>
      </c>
      <c r="C115" s="164" t="str">
        <f t="shared" si="11"/>
        <v>弈工分健康韦兆斌</v>
      </c>
      <c r="D115" s="165">
        <v>46023</v>
      </c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  <c r="AO115" s="164"/>
      <c r="AP115" s="164"/>
      <c r="AQ115" s="164"/>
      <c r="AR115" s="164"/>
      <c r="AS115" s="164"/>
      <c r="AT115" s="164"/>
      <c r="AU115" s="164"/>
      <c r="AV115" s="164"/>
      <c r="AW115" s="164"/>
      <c r="AX115" s="164"/>
      <c r="AY115" s="164"/>
      <c r="AZ115" s="164"/>
      <c r="BA115" s="164"/>
      <c r="BB115" s="164"/>
      <c r="BC115" s="164"/>
      <c r="BD115" s="164"/>
      <c r="BE115" s="164"/>
      <c r="BF115" s="164"/>
      <c r="BG115" s="164">
        <f>VLOOKUP(C115,薪酬明细!A:AC,29,0)</f>
        <v>923.08</v>
      </c>
      <c r="BH115" s="164"/>
      <c r="BI115" s="164"/>
      <c r="BJ115" s="164"/>
      <c r="BK115" s="164"/>
      <c r="BL115" s="164"/>
      <c r="BM115" s="164"/>
      <c r="BN115" s="164"/>
      <c r="BO115" s="164"/>
      <c r="BP115" s="164"/>
      <c r="BQ115" s="164"/>
      <c r="BR115" s="164"/>
      <c r="BS115" s="164"/>
      <c r="BT115" s="164"/>
      <c r="BU115" s="164"/>
      <c r="BV115" s="164"/>
      <c r="BW115" s="164"/>
      <c r="BX115" s="164"/>
      <c r="BY115" s="164"/>
      <c r="BZ115" s="164"/>
      <c r="CA115" s="164"/>
      <c r="CB115" s="164"/>
      <c r="CC115" s="164"/>
      <c r="CD115" s="164"/>
      <c r="CE115" s="164"/>
      <c r="CF115" s="164"/>
      <c r="CG115" s="164"/>
      <c r="CH115" s="164"/>
      <c r="CI115" s="164"/>
      <c r="CJ115" s="164"/>
      <c r="CK115" s="164"/>
      <c r="CL115" s="164"/>
      <c r="CM115" s="164"/>
      <c r="CN115" s="164"/>
      <c r="CO115" s="164"/>
      <c r="CP115" s="164"/>
      <c r="CQ115" s="164"/>
      <c r="CR115" s="164"/>
      <c r="CS115" s="164"/>
      <c r="CT115" s="164"/>
      <c r="CU115" s="164"/>
      <c r="CV115" s="164"/>
      <c r="CW115" s="164"/>
      <c r="CX115" s="164"/>
      <c r="CY115" s="164"/>
      <c r="CZ115" s="164"/>
      <c r="DA115" s="164"/>
      <c r="DB115" s="164"/>
      <c r="DC115" s="164"/>
      <c r="DD115" s="164"/>
      <c r="DE115" s="164"/>
      <c r="DF115" s="164"/>
      <c r="DG115" s="164"/>
      <c r="DH115" s="164"/>
      <c r="DI115" s="164"/>
      <c r="DJ115" s="164"/>
      <c r="DK115" s="164"/>
      <c r="DL115" s="164"/>
      <c r="DM115" s="164"/>
      <c r="DN115" s="164"/>
      <c r="DO115" s="164"/>
      <c r="DP115" s="164"/>
      <c r="DQ115" s="164"/>
      <c r="DR115" s="163"/>
      <c r="DS115" s="164">
        <f t="shared" si="22"/>
        <v>923.08</v>
      </c>
      <c r="DT115" s="164">
        <f t="shared" si="23"/>
        <v>0</v>
      </c>
      <c r="DU115" s="164">
        <f t="shared" si="24"/>
        <v>0</v>
      </c>
      <c r="DV115" s="164">
        <f t="shared" si="25"/>
        <v>0</v>
      </c>
      <c r="DW115" s="166"/>
      <c r="DX115" s="153"/>
      <c r="DY115" s="153"/>
    </row>
    <row r="116" s="149" customFormat="1" spans="1:129">
      <c r="A116" s="163" t="s">
        <v>72</v>
      </c>
      <c r="B116" s="163" t="s">
        <v>461</v>
      </c>
      <c r="C116" s="164" t="str">
        <f t="shared" si="11"/>
        <v>弈工分信息赵柳文</v>
      </c>
      <c r="D116" s="165">
        <v>46023</v>
      </c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  <c r="AO116" s="164">
        <v>5305.23</v>
      </c>
      <c r="AP116" s="164">
        <v>1400</v>
      </c>
      <c r="AQ116" s="164">
        <v>0</v>
      </c>
      <c r="AR116" s="164">
        <v>0</v>
      </c>
      <c r="AS116" s="164">
        <v>0</v>
      </c>
      <c r="AT116" s="164">
        <v>0</v>
      </c>
      <c r="AU116" s="164">
        <v>0</v>
      </c>
      <c r="AV116" s="164">
        <f>SUM(AQ116:AU116)</f>
        <v>0</v>
      </c>
      <c r="AW116" s="164">
        <v>0</v>
      </c>
      <c r="AX116" s="164">
        <v>8155.8</v>
      </c>
      <c r="AY116" s="164">
        <v>1400</v>
      </c>
      <c r="AZ116" s="164">
        <v>0</v>
      </c>
      <c r="BA116" s="164">
        <v>0</v>
      </c>
      <c r="BB116" s="164">
        <v>0</v>
      </c>
      <c r="BC116" s="164">
        <v>0</v>
      </c>
      <c r="BD116" s="164">
        <v>0</v>
      </c>
      <c r="BE116" s="164">
        <f>SUM(AZ116:BD116)</f>
        <v>0</v>
      </c>
      <c r="BF116" s="164">
        <v>19.83</v>
      </c>
      <c r="BG116" s="164">
        <f>VLOOKUP(C116,薪酬明细!A:AC,29,0)</f>
        <v>7859</v>
      </c>
      <c r="BH116" s="164">
        <v>1400</v>
      </c>
      <c r="BI116" s="164">
        <v>0</v>
      </c>
      <c r="BJ116" s="164">
        <v>0</v>
      </c>
      <c r="BK116" s="164">
        <v>0</v>
      </c>
      <c r="BL116" s="164">
        <v>0</v>
      </c>
      <c r="BM116" s="164">
        <v>0</v>
      </c>
      <c r="BN116" s="164">
        <f t="shared" ref="BN116:BN119" si="26">SUM(BI116:BM116)</f>
        <v>0</v>
      </c>
      <c r="BO116" s="164"/>
      <c r="BP116" s="164"/>
      <c r="BQ116" s="164"/>
      <c r="BR116" s="164"/>
      <c r="BS116" s="164"/>
      <c r="BT116" s="164"/>
      <c r="BU116" s="164"/>
      <c r="BV116" s="164"/>
      <c r="BW116" s="164"/>
      <c r="BX116" s="164"/>
      <c r="BY116" s="164"/>
      <c r="BZ116" s="164"/>
      <c r="CA116" s="164"/>
      <c r="CB116" s="164"/>
      <c r="CC116" s="164"/>
      <c r="CD116" s="164"/>
      <c r="CE116" s="164"/>
      <c r="CF116" s="164"/>
      <c r="CG116" s="164"/>
      <c r="CH116" s="164"/>
      <c r="CI116" s="164"/>
      <c r="CJ116" s="164"/>
      <c r="CK116" s="164"/>
      <c r="CL116" s="164"/>
      <c r="CM116" s="164"/>
      <c r="CN116" s="164"/>
      <c r="CO116" s="164"/>
      <c r="CP116" s="164"/>
      <c r="CQ116" s="164"/>
      <c r="CR116" s="164"/>
      <c r="CS116" s="164"/>
      <c r="CT116" s="164"/>
      <c r="CU116" s="164"/>
      <c r="CV116" s="164"/>
      <c r="CW116" s="164"/>
      <c r="CX116" s="164"/>
      <c r="CY116" s="164"/>
      <c r="CZ116" s="164"/>
      <c r="DA116" s="164"/>
      <c r="DB116" s="164"/>
      <c r="DC116" s="164"/>
      <c r="DD116" s="164"/>
      <c r="DE116" s="164"/>
      <c r="DF116" s="164"/>
      <c r="DG116" s="164"/>
      <c r="DH116" s="164"/>
      <c r="DI116" s="164"/>
      <c r="DJ116" s="164"/>
      <c r="DK116" s="164"/>
      <c r="DL116" s="164"/>
      <c r="DM116" s="164"/>
      <c r="DN116" s="164"/>
      <c r="DO116" s="164"/>
      <c r="DP116" s="164"/>
      <c r="DQ116" s="164"/>
      <c r="DR116" s="163"/>
      <c r="DS116" s="164">
        <f t="shared" si="22"/>
        <v>21320.03</v>
      </c>
      <c r="DT116" s="164">
        <f t="shared" si="23"/>
        <v>4200</v>
      </c>
      <c r="DU116" s="164">
        <f t="shared" si="24"/>
        <v>0</v>
      </c>
      <c r="DV116" s="164">
        <f t="shared" si="25"/>
        <v>19.83</v>
      </c>
      <c r="DW116" s="166"/>
      <c r="DX116" s="153" t="str">
        <f>VLOOKUP(C116,薪酬明细!A:A,1,0)</f>
        <v>弈工分信息赵柳文</v>
      </c>
      <c r="DY116" s="153"/>
    </row>
    <row r="117" s="149" customFormat="1" spans="1:129">
      <c r="A117" s="163" t="s">
        <v>73</v>
      </c>
      <c r="B117" s="163" t="s">
        <v>474</v>
      </c>
      <c r="C117" s="164" t="str">
        <f t="shared" si="11"/>
        <v>弈工分健康黄连兵</v>
      </c>
      <c r="D117" s="165">
        <v>46023</v>
      </c>
      <c r="E117" s="164">
        <v>6720</v>
      </c>
      <c r="F117" s="164">
        <v>783.3</v>
      </c>
      <c r="G117" s="164">
        <v>0</v>
      </c>
      <c r="H117" s="164">
        <v>0</v>
      </c>
      <c r="I117" s="164">
        <v>0</v>
      </c>
      <c r="J117" s="164">
        <v>0</v>
      </c>
      <c r="K117" s="164">
        <v>0</v>
      </c>
      <c r="L117" s="164">
        <f>SUM(G117:K117)</f>
        <v>0</v>
      </c>
      <c r="M117" s="164">
        <v>28.1</v>
      </c>
      <c r="N117" s="164"/>
      <c r="O117" s="164"/>
      <c r="P117" s="164"/>
      <c r="Q117" s="164"/>
      <c r="R117" s="164"/>
      <c r="S117" s="164"/>
      <c r="T117" s="164"/>
      <c r="U117" s="164"/>
      <c r="V117" s="164"/>
      <c r="W117" s="164">
        <v>7980</v>
      </c>
      <c r="X117" s="164">
        <v>783.3</v>
      </c>
      <c r="Y117" s="164">
        <v>0</v>
      </c>
      <c r="Z117" s="164">
        <v>0</v>
      </c>
      <c r="AA117" s="164">
        <v>0</v>
      </c>
      <c r="AB117" s="164">
        <v>3000</v>
      </c>
      <c r="AC117" s="164">
        <v>0</v>
      </c>
      <c r="AD117" s="164">
        <f>SUM(Y117:AC117)</f>
        <v>3000</v>
      </c>
      <c r="AE117" s="164">
        <v>65.9</v>
      </c>
      <c r="AF117" s="164">
        <v>7100</v>
      </c>
      <c r="AG117" s="164">
        <v>783.3</v>
      </c>
      <c r="AH117" s="164">
        <v>0</v>
      </c>
      <c r="AI117" s="164">
        <v>0</v>
      </c>
      <c r="AJ117" s="164">
        <v>0</v>
      </c>
      <c r="AK117" s="164">
        <v>3000</v>
      </c>
      <c r="AL117" s="164">
        <v>0</v>
      </c>
      <c r="AM117" s="164">
        <f>SUM(AH117:AL117)</f>
        <v>3000</v>
      </c>
      <c r="AN117" s="164">
        <v>0</v>
      </c>
      <c r="AO117" s="164">
        <v>6933.33</v>
      </c>
      <c r="AP117" s="164">
        <v>783.3</v>
      </c>
      <c r="AQ117" s="164">
        <v>0</v>
      </c>
      <c r="AR117" s="164">
        <v>0</v>
      </c>
      <c r="AS117" s="164">
        <v>0</v>
      </c>
      <c r="AT117" s="164">
        <v>3000</v>
      </c>
      <c r="AU117" s="164">
        <v>0</v>
      </c>
      <c r="AV117" s="164">
        <f>SUM(AQ117:AU117)</f>
        <v>3000</v>
      </c>
      <c r="AW117" s="164">
        <v>0</v>
      </c>
      <c r="AX117" s="164">
        <v>7366.67</v>
      </c>
      <c r="AY117" s="164">
        <v>783.3</v>
      </c>
      <c r="AZ117" s="164">
        <v>0</v>
      </c>
      <c r="BA117" s="164">
        <v>0</v>
      </c>
      <c r="BB117" s="164">
        <v>0</v>
      </c>
      <c r="BC117" s="164">
        <v>-9000</v>
      </c>
      <c r="BD117" s="164">
        <v>0</v>
      </c>
      <c r="BE117" s="164">
        <f>SUM(AZ117:BD117)</f>
        <v>-9000</v>
      </c>
      <c r="BF117" s="164">
        <v>0</v>
      </c>
      <c r="BG117" s="164">
        <f>VLOOKUP(C117,薪酬明细!A:AC,29,0)</f>
        <v>7333.33</v>
      </c>
      <c r="BH117" s="164">
        <v>783.3</v>
      </c>
      <c r="BI117" s="164">
        <v>0</v>
      </c>
      <c r="BJ117" s="164">
        <v>0</v>
      </c>
      <c r="BK117" s="164">
        <v>0</v>
      </c>
      <c r="BL117" s="164"/>
      <c r="BM117" s="164">
        <v>0</v>
      </c>
      <c r="BN117" s="164">
        <f t="shared" si="26"/>
        <v>0</v>
      </c>
      <c r="BO117" s="164"/>
      <c r="BP117" s="164"/>
      <c r="BQ117" s="164"/>
      <c r="BR117" s="164"/>
      <c r="BS117" s="164"/>
      <c r="BT117" s="164"/>
      <c r="BU117" s="164"/>
      <c r="BV117" s="164"/>
      <c r="BW117" s="164"/>
      <c r="BX117" s="164"/>
      <c r="BY117" s="164"/>
      <c r="BZ117" s="164"/>
      <c r="CA117" s="164"/>
      <c r="CB117" s="164"/>
      <c r="CC117" s="164"/>
      <c r="CD117" s="164"/>
      <c r="CE117" s="164"/>
      <c r="CF117" s="164"/>
      <c r="CG117" s="164"/>
      <c r="CH117" s="164"/>
      <c r="CI117" s="164"/>
      <c r="CJ117" s="164"/>
      <c r="CK117" s="164"/>
      <c r="CL117" s="164"/>
      <c r="CM117" s="164"/>
      <c r="CN117" s="164"/>
      <c r="CO117" s="164"/>
      <c r="CP117" s="164"/>
      <c r="CQ117" s="164"/>
      <c r="CR117" s="164"/>
      <c r="CS117" s="164"/>
      <c r="CT117" s="164"/>
      <c r="CU117" s="164"/>
      <c r="CV117" s="164"/>
      <c r="CW117" s="164"/>
      <c r="CX117" s="164"/>
      <c r="CY117" s="164"/>
      <c r="CZ117" s="164"/>
      <c r="DA117" s="164"/>
      <c r="DB117" s="164"/>
      <c r="DC117" s="164"/>
      <c r="DD117" s="164"/>
      <c r="DE117" s="164"/>
      <c r="DF117" s="164"/>
      <c r="DG117" s="164"/>
      <c r="DH117" s="164"/>
      <c r="DI117" s="164"/>
      <c r="DJ117" s="164"/>
      <c r="DK117" s="164"/>
      <c r="DL117" s="164"/>
      <c r="DM117" s="164"/>
      <c r="DN117" s="164"/>
      <c r="DO117" s="164"/>
      <c r="DP117" s="164"/>
      <c r="DQ117" s="164"/>
      <c r="DR117" s="163"/>
      <c r="DS117" s="164">
        <f t="shared" si="22"/>
        <v>43433.33</v>
      </c>
      <c r="DT117" s="164">
        <f t="shared" si="23"/>
        <v>4699.8</v>
      </c>
      <c r="DU117" s="164">
        <f t="shared" si="24"/>
        <v>0</v>
      </c>
      <c r="DV117" s="164">
        <f t="shared" si="25"/>
        <v>94</v>
      </c>
      <c r="DW117" s="166"/>
      <c r="DX117" s="153" t="str">
        <f>VLOOKUP(C117,薪酬明细!A:A,1,0)</f>
        <v>弈工分健康黄连兵</v>
      </c>
      <c r="DY117" s="153"/>
    </row>
    <row r="118" s="149" customFormat="1" spans="1:129">
      <c r="A118" s="163" t="s">
        <v>73</v>
      </c>
      <c r="B118" s="163" t="s">
        <v>481</v>
      </c>
      <c r="C118" s="164" t="str">
        <f t="shared" si="11"/>
        <v>弈工分健康史文奎</v>
      </c>
      <c r="D118" s="165">
        <v>46023</v>
      </c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>
        <v>0</v>
      </c>
      <c r="Z118" s="164">
        <v>0</v>
      </c>
      <c r="AA118" s="164">
        <v>0</v>
      </c>
      <c r="AB118" s="164">
        <v>0</v>
      </c>
      <c r="AC118" s="164">
        <v>0</v>
      </c>
      <c r="AD118" s="164">
        <f>SUM(Y118:AC118)</f>
        <v>0</v>
      </c>
      <c r="AE118" s="164"/>
      <c r="AF118" s="164">
        <v>1890</v>
      </c>
      <c r="AG118" s="164"/>
      <c r="AH118" s="164">
        <v>0</v>
      </c>
      <c r="AI118" s="164">
        <v>0</v>
      </c>
      <c r="AJ118" s="164">
        <v>0</v>
      </c>
      <c r="AK118" s="164">
        <v>0</v>
      </c>
      <c r="AL118" s="164">
        <v>0</v>
      </c>
      <c r="AM118" s="164">
        <f>SUM(AH118:AL118)</f>
        <v>0</v>
      </c>
      <c r="AN118" s="164">
        <v>0</v>
      </c>
      <c r="AO118" s="164">
        <v>5615.8</v>
      </c>
      <c r="AP118" s="164"/>
      <c r="AQ118" s="164">
        <v>0</v>
      </c>
      <c r="AR118" s="164">
        <v>0</v>
      </c>
      <c r="AS118" s="164">
        <v>0</v>
      </c>
      <c r="AT118" s="164">
        <v>0</v>
      </c>
      <c r="AU118" s="164">
        <v>0</v>
      </c>
      <c r="AV118" s="164">
        <f>SUM(AQ118:AU118)</f>
        <v>0</v>
      </c>
      <c r="AW118" s="164">
        <v>0</v>
      </c>
      <c r="AX118" s="164">
        <v>7295.8</v>
      </c>
      <c r="AY118" s="164"/>
      <c r="AZ118" s="164">
        <v>0</v>
      </c>
      <c r="BA118" s="164">
        <v>0</v>
      </c>
      <c r="BB118" s="164">
        <v>0</v>
      </c>
      <c r="BC118" s="164">
        <v>0</v>
      </c>
      <c r="BD118" s="164">
        <v>0</v>
      </c>
      <c r="BE118" s="164">
        <f>SUM(AZ118:BD118)</f>
        <v>0</v>
      </c>
      <c r="BF118" s="164">
        <v>0</v>
      </c>
      <c r="BG118" s="164">
        <f>VLOOKUP(C118,薪酬明细!A:AC,29,0)</f>
        <v>7175.8</v>
      </c>
      <c r="BH118" s="164"/>
      <c r="BI118" s="164">
        <v>0</v>
      </c>
      <c r="BJ118" s="164">
        <v>0</v>
      </c>
      <c r="BK118" s="164">
        <v>0</v>
      </c>
      <c r="BL118" s="164">
        <v>0</v>
      </c>
      <c r="BM118" s="164">
        <v>0</v>
      </c>
      <c r="BN118" s="164">
        <f t="shared" si="26"/>
        <v>0</v>
      </c>
      <c r="BO118" s="164"/>
      <c r="BP118" s="164"/>
      <c r="BQ118" s="164"/>
      <c r="BR118" s="164"/>
      <c r="BS118" s="164"/>
      <c r="BT118" s="164"/>
      <c r="BU118" s="164"/>
      <c r="BV118" s="164"/>
      <c r="BW118" s="164"/>
      <c r="BX118" s="164"/>
      <c r="BY118" s="164"/>
      <c r="BZ118" s="164"/>
      <c r="CA118" s="164"/>
      <c r="CB118" s="164"/>
      <c r="CC118" s="164"/>
      <c r="CD118" s="164"/>
      <c r="CE118" s="164"/>
      <c r="CF118" s="164"/>
      <c r="CG118" s="164"/>
      <c r="CH118" s="164"/>
      <c r="CI118" s="164"/>
      <c r="CJ118" s="164"/>
      <c r="CK118" s="164"/>
      <c r="CL118" s="164"/>
      <c r="CM118" s="164"/>
      <c r="CN118" s="164"/>
      <c r="CO118" s="164"/>
      <c r="CP118" s="164"/>
      <c r="CQ118" s="164"/>
      <c r="CR118" s="164"/>
      <c r="CS118" s="164"/>
      <c r="CT118" s="164"/>
      <c r="CU118" s="164"/>
      <c r="CV118" s="164"/>
      <c r="CW118" s="164"/>
      <c r="CX118" s="164"/>
      <c r="CY118" s="164"/>
      <c r="CZ118" s="164"/>
      <c r="DA118" s="164"/>
      <c r="DB118" s="164"/>
      <c r="DC118" s="164"/>
      <c r="DD118" s="164"/>
      <c r="DE118" s="164"/>
      <c r="DF118" s="164"/>
      <c r="DG118" s="164"/>
      <c r="DH118" s="164"/>
      <c r="DI118" s="164"/>
      <c r="DJ118" s="164"/>
      <c r="DK118" s="164"/>
      <c r="DL118" s="164"/>
      <c r="DM118" s="164"/>
      <c r="DN118" s="164"/>
      <c r="DO118" s="164"/>
      <c r="DP118" s="164"/>
      <c r="DQ118" s="164"/>
      <c r="DR118" s="163"/>
      <c r="DS118" s="164">
        <f t="shared" si="22"/>
        <v>21977.4</v>
      </c>
      <c r="DT118" s="164">
        <f t="shared" si="23"/>
        <v>0</v>
      </c>
      <c r="DU118" s="164">
        <f t="shared" si="24"/>
        <v>0</v>
      </c>
      <c r="DV118" s="164">
        <f t="shared" si="25"/>
        <v>0</v>
      </c>
      <c r="DW118" s="166"/>
      <c r="DX118" s="153" t="str">
        <f>VLOOKUP(C118,薪酬明细!A:A,1,0)</f>
        <v>弈工分健康史文奎</v>
      </c>
      <c r="DY118" s="153"/>
    </row>
    <row r="119" s="149" customFormat="1" spans="1:129">
      <c r="A119" s="163" t="s">
        <v>73</v>
      </c>
      <c r="B119" s="163" t="s">
        <v>477</v>
      </c>
      <c r="C119" s="164" t="str">
        <f t="shared" si="11"/>
        <v>弈工分健康庄艳林</v>
      </c>
      <c r="D119" s="165">
        <v>46023</v>
      </c>
      <c r="E119" s="164">
        <v>6720</v>
      </c>
      <c r="F119" s="164">
        <v>783.3</v>
      </c>
      <c r="G119" s="164">
        <v>0</v>
      </c>
      <c r="H119" s="164">
        <v>0</v>
      </c>
      <c r="I119" s="164">
        <v>0</v>
      </c>
      <c r="J119" s="164">
        <v>0</v>
      </c>
      <c r="K119" s="164">
        <v>0</v>
      </c>
      <c r="L119" s="164">
        <f>SUM(G119:K119)</f>
        <v>0</v>
      </c>
      <c r="M119" s="164">
        <v>28.1</v>
      </c>
      <c r="N119" s="164"/>
      <c r="O119" s="164"/>
      <c r="P119" s="164"/>
      <c r="Q119" s="164"/>
      <c r="R119" s="164"/>
      <c r="S119" s="164"/>
      <c r="T119" s="164"/>
      <c r="U119" s="164"/>
      <c r="V119" s="164"/>
      <c r="W119" s="164">
        <v>8080</v>
      </c>
      <c r="X119" s="164">
        <v>783.3</v>
      </c>
      <c r="Y119" s="164">
        <v>0</v>
      </c>
      <c r="Z119" s="164">
        <v>0</v>
      </c>
      <c r="AA119" s="164">
        <v>0</v>
      </c>
      <c r="AB119" s="164">
        <v>0</v>
      </c>
      <c r="AC119" s="164">
        <v>0</v>
      </c>
      <c r="AD119" s="164">
        <f>SUM(Y119:AC119)</f>
        <v>0</v>
      </c>
      <c r="AE119" s="164">
        <v>68.9</v>
      </c>
      <c r="AF119" s="164">
        <v>7000</v>
      </c>
      <c r="AG119" s="164">
        <v>783.3</v>
      </c>
      <c r="AH119" s="164">
        <v>0</v>
      </c>
      <c r="AI119" s="164">
        <v>0</v>
      </c>
      <c r="AJ119" s="164">
        <v>0</v>
      </c>
      <c r="AK119" s="164">
        <v>0</v>
      </c>
      <c r="AL119" s="164">
        <v>0</v>
      </c>
      <c r="AM119" s="164">
        <f>SUM(AH119:AL119)</f>
        <v>0</v>
      </c>
      <c r="AN119" s="164">
        <v>36.5</v>
      </c>
      <c r="AO119" s="164">
        <v>7033.33</v>
      </c>
      <c r="AP119" s="164">
        <v>783.3</v>
      </c>
      <c r="AQ119" s="164">
        <v>0</v>
      </c>
      <c r="AR119" s="164">
        <v>0</v>
      </c>
      <c r="AS119" s="164">
        <v>0</v>
      </c>
      <c r="AT119" s="164">
        <v>0</v>
      </c>
      <c r="AU119" s="164">
        <v>0</v>
      </c>
      <c r="AV119" s="164">
        <f>SUM(AQ119:AU119)</f>
        <v>0</v>
      </c>
      <c r="AW119" s="164">
        <v>37.5</v>
      </c>
      <c r="AX119" s="164">
        <v>7366.67</v>
      </c>
      <c r="AY119" s="164">
        <v>783.3</v>
      </c>
      <c r="AZ119" s="164">
        <v>0</v>
      </c>
      <c r="BA119" s="164">
        <v>0</v>
      </c>
      <c r="BB119" s="164">
        <v>0</v>
      </c>
      <c r="BC119" s="164">
        <v>0</v>
      </c>
      <c r="BD119" s="164">
        <v>0</v>
      </c>
      <c r="BE119" s="164">
        <f>SUM(AZ119:BD119)</f>
        <v>0</v>
      </c>
      <c r="BF119" s="164">
        <v>47.51</v>
      </c>
      <c r="BG119" s="164">
        <f>VLOOKUP(C119,薪酬明细!A:AC,29,0)</f>
        <v>7433.33</v>
      </c>
      <c r="BH119" s="164">
        <v>783.3</v>
      </c>
      <c r="BI119" s="164">
        <v>0</v>
      </c>
      <c r="BJ119" s="164">
        <v>0</v>
      </c>
      <c r="BK119" s="164">
        <v>0</v>
      </c>
      <c r="BL119" s="164">
        <v>0</v>
      </c>
      <c r="BM119" s="164">
        <v>0</v>
      </c>
      <c r="BN119" s="164">
        <f t="shared" si="26"/>
        <v>0</v>
      </c>
      <c r="BO119" s="164"/>
      <c r="BP119" s="164"/>
      <c r="BQ119" s="164"/>
      <c r="BR119" s="164"/>
      <c r="BS119" s="164"/>
      <c r="BT119" s="164"/>
      <c r="BU119" s="164"/>
      <c r="BV119" s="164"/>
      <c r="BW119" s="164"/>
      <c r="BX119" s="164"/>
      <c r="BY119" s="164"/>
      <c r="BZ119" s="164"/>
      <c r="CA119" s="164"/>
      <c r="CB119" s="164"/>
      <c r="CC119" s="164"/>
      <c r="CD119" s="164"/>
      <c r="CE119" s="164"/>
      <c r="CF119" s="164"/>
      <c r="CG119" s="164"/>
      <c r="CH119" s="164"/>
      <c r="CI119" s="164"/>
      <c r="CJ119" s="164"/>
      <c r="CK119" s="164"/>
      <c r="CL119" s="164"/>
      <c r="CM119" s="164"/>
      <c r="CN119" s="164"/>
      <c r="CO119" s="164"/>
      <c r="CP119" s="164"/>
      <c r="CQ119" s="164"/>
      <c r="CR119" s="164"/>
      <c r="CS119" s="164"/>
      <c r="CT119" s="164"/>
      <c r="CU119" s="164"/>
      <c r="CV119" s="164"/>
      <c r="CW119" s="164"/>
      <c r="CX119" s="164"/>
      <c r="CY119" s="164"/>
      <c r="CZ119" s="164"/>
      <c r="DA119" s="164"/>
      <c r="DB119" s="164"/>
      <c r="DC119" s="164"/>
      <c r="DD119" s="164"/>
      <c r="DE119" s="164"/>
      <c r="DF119" s="164"/>
      <c r="DG119" s="164"/>
      <c r="DH119" s="164"/>
      <c r="DI119" s="164"/>
      <c r="DJ119" s="164"/>
      <c r="DK119" s="164"/>
      <c r="DL119" s="164"/>
      <c r="DM119" s="164"/>
      <c r="DN119" s="164"/>
      <c r="DO119" s="164"/>
      <c r="DP119" s="164"/>
      <c r="DQ119" s="164"/>
      <c r="DR119" s="163"/>
      <c r="DS119" s="164">
        <f t="shared" si="22"/>
        <v>43633.33</v>
      </c>
      <c r="DT119" s="164">
        <f t="shared" si="23"/>
        <v>4699.8</v>
      </c>
      <c r="DU119" s="164">
        <f t="shared" si="24"/>
        <v>0</v>
      </c>
      <c r="DV119" s="164">
        <f t="shared" si="25"/>
        <v>218.51</v>
      </c>
      <c r="DW119" s="166"/>
      <c r="DX119" s="153" t="str">
        <f>VLOOKUP(C119,薪酬明细!A:A,1,0)</f>
        <v>弈工分健康庄艳林</v>
      </c>
      <c r="DY119" s="153"/>
    </row>
    <row r="120" s="149" customFormat="1" spans="1:129">
      <c r="A120" s="163" t="s">
        <v>73</v>
      </c>
      <c r="B120" s="163" t="s">
        <v>576</v>
      </c>
      <c r="C120" s="164" t="str">
        <f t="shared" si="11"/>
        <v>弈工分健康刘顺兰</v>
      </c>
      <c r="D120" s="165">
        <v>46023</v>
      </c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>
        <v>3384.62</v>
      </c>
      <c r="AY120" s="164"/>
      <c r="AZ120" s="164"/>
      <c r="BA120" s="164"/>
      <c r="BB120" s="164"/>
      <c r="BC120" s="164"/>
      <c r="BD120" s="164"/>
      <c r="BE120" s="164"/>
      <c r="BF120" s="164">
        <v>0</v>
      </c>
      <c r="BG120" s="164">
        <f>VLOOKUP(C120,薪酬明细!A:AC,29,0)</f>
        <v>4000</v>
      </c>
      <c r="BH120" s="164"/>
      <c r="BI120" s="164"/>
      <c r="BJ120" s="164"/>
      <c r="BK120" s="164"/>
      <c r="BL120" s="164"/>
      <c r="BM120" s="164"/>
      <c r="BN120" s="164"/>
      <c r="BO120" s="164"/>
      <c r="BP120" s="164"/>
      <c r="BQ120" s="164"/>
      <c r="BR120" s="164"/>
      <c r="BS120" s="164"/>
      <c r="BT120" s="164"/>
      <c r="BU120" s="164"/>
      <c r="BV120" s="164"/>
      <c r="BW120" s="164"/>
      <c r="BX120" s="164"/>
      <c r="BY120" s="164"/>
      <c r="BZ120" s="164"/>
      <c r="CA120" s="164"/>
      <c r="CB120" s="164"/>
      <c r="CC120" s="164"/>
      <c r="CD120" s="164"/>
      <c r="CE120" s="164"/>
      <c r="CF120" s="164"/>
      <c r="CG120" s="164"/>
      <c r="CH120" s="164"/>
      <c r="CI120" s="164"/>
      <c r="CJ120" s="164"/>
      <c r="CK120" s="164"/>
      <c r="CL120" s="164"/>
      <c r="CM120" s="164"/>
      <c r="CN120" s="164"/>
      <c r="CO120" s="164"/>
      <c r="CP120" s="164"/>
      <c r="CQ120" s="164"/>
      <c r="CR120" s="164"/>
      <c r="CS120" s="164"/>
      <c r="CT120" s="164"/>
      <c r="CU120" s="164"/>
      <c r="CV120" s="164"/>
      <c r="CW120" s="164"/>
      <c r="CX120" s="164"/>
      <c r="CY120" s="164"/>
      <c r="CZ120" s="164"/>
      <c r="DA120" s="164"/>
      <c r="DB120" s="164"/>
      <c r="DC120" s="164"/>
      <c r="DD120" s="164"/>
      <c r="DE120" s="164"/>
      <c r="DF120" s="164"/>
      <c r="DG120" s="164"/>
      <c r="DH120" s="164"/>
      <c r="DI120" s="164"/>
      <c r="DJ120" s="164"/>
      <c r="DK120" s="164"/>
      <c r="DL120" s="164"/>
      <c r="DM120" s="164"/>
      <c r="DN120" s="164"/>
      <c r="DO120" s="164"/>
      <c r="DP120" s="164"/>
      <c r="DQ120" s="164"/>
      <c r="DR120" s="163"/>
      <c r="DS120" s="164">
        <f t="shared" si="22"/>
        <v>7384.62</v>
      </c>
      <c r="DT120" s="164">
        <f t="shared" si="23"/>
        <v>0</v>
      </c>
      <c r="DU120" s="164">
        <f t="shared" si="24"/>
        <v>0</v>
      </c>
      <c r="DV120" s="164">
        <f t="shared" si="25"/>
        <v>0</v>
      </c>
      <c r="DW120" s="166"/>
      <c r="DX120" s="153" t="str">
        <f>VLOOKUP(C120,薪酬明细!A:A,1,0)</f>
        <v>弈工分健康刘顺兰</v>
      </c>
      <c r="DY120" s="153"/>
    </row>
    <row r="121" s="149" customFormat="1" spans="1:129">
      <c r="A121" s="163" t="s">
        <v>73</v>
      </c>
      <c r="B121" s="163" t="s">
        <v>479</v>
      </c>
      <c r="C121" s="164" t="str">
        <f t="shared" si="11"/>
        <v>弈工分健康谢小强</v>
      </c>
      <c r="D121" s="165">
        <v>46023</v>
      </c>
      <c r="E121" s="164">
        <v>6090</v>
      </c>
      <c r="F121" s="164">
        <v>783.3</v>
      </c>
      <c r="G121" s="164">
        <v>0</v>
      </c>
      <c r="H121" s="164">
        <v>0</v>
      </c>
      <c r="I121" s="164">
        <v>0</v>
      </c>
      <c r="J121" s="164">
        <v>0</v>
      </c>
      <c r="K121" s="164">
        <v>0</v>
      </c>
      <c r="L121" s="164">
        <f>SUM(G121:K121)</f>
        <v>0</v>
      </c>
      <c r="M121" s="164">
        <v>9.2</v>
      </c>
      <c r="N121" s="164"/>
      <c r="O121" s="164"/>
      <c r="P121" s="164"/>
      <c r="Q121" s="164"/>
      <c r="R121" s="164"/>
      <c r="S121" s="164"/>
      <c r="T121" s="164"/>
      <c r="U121" s="164"/>
      <c r="V121" s="164"/>
      <c r="W121" s="164">
        <v>5145</v>
      </c>
      <c r="X121" s="164">
        <v>783.3</v>
      </c>
      <c r="Y121" s="164">
        <v>0</v>
      </c>
      <c r="Z121" s="164">
        <v>0</v>
      </c>
      <c r="AA121" s="164">
        <v>0</v>
      </c>
      <c r="AB121" s="164">
        <v>0</v>
      </c>
      <c r="AC121" s="164">
        <v>0</v>
      </c>
      <c r="AD121" s="164">
        <f>SUM(Y121:AC121)</f>
        <v>0</v>
      </c>
      <c r="AE121" s="164"/>
      <c r="AF121" s="164">
        <v>7000</v>
      </c>
      <c r="AG121" s="164">
        <v>783.3</v>
      </c>
      <c r="AH121" s="164">
        <v>0</v>
      </c>
      <c r="AI121" s="164">
        <v>0</v>
      </c>
      <c r="AJ121" s="164">
        <v>0</v>
      </c>
      <c r="AK121" s="164">
        <v>0</v>
      </c>
      <c r="AL121" s="164">
        <v>0</v>
      </c>
      <c r="AM121" s="164">
        <f>SUM(AH121:AL121)</f>
        <v>0</v>
      </c>
      <c r="AN121" s="164">
        <v>17.35</v>
      </c>
      <c r="AO121" s="164">
        <v>7033.33</v>
      </c>
      <c r="AP121" s="164">
        <v>783.3</v>
      </c>
      <c r="AQ121" s="164">
        <v>0</v>
      </c>
      <c r="AR121" s="164">
        <v>0</v>
      </c>
      <c r="AS121" s="164">
        <v>0</v>
      </c>
      <c r="AT121" s="164">
        <v>0</v>
      </c>
      <c r="AU121" s="164">
        <v>0</v>
      </c>
      <c r="AV121" s="164">
        <f>SUM(AQ121:AU121)</f>
        <v>0</v>
      </c>
      <c r="AW121" s="164">
        <v>37.5</v>
      </c>
      <c r="AX121" s="164">
        <v>7150</v>
      </c>
      <c r="AY121" s="164">
        <v>783.3</v>
      </c>
      <c r="AZ121" s="164">
        <v>0</v>
      </c>
      <c r="BA121" s="164">
        <v>0</v>
      </c>
      <c r="BB121" s="164">
        <v>0</v>
      </c>
      <c r="BC121" s="164">
        <v>0</v>
      </c>
      <c r="BD121" s="164">
        <v>0</v>
      </c>
      <c r="BE121" s="164">
        <f>SUM(AZ121:BD121)</f>
        <v>0</v>
      </c>
      <c r="BF121" s="164">
        <v>41</v>
      </c>
      <c r="BG121" s="164">
        <f>VLOOKUP(C121,薪酬明细!A:AC,29,0)</f>
        <v>7433.33</v>
      </c>
      <c r="BH121" s="164">
        <v>783.3</v>
      </c>
      <c r="BI121" s="164">
        <v>0</v>
      </c>
      <c r="BJ121" s="164">
        <v>0</v>
      </c>
      <c r="BK121" s="164">
        <v>0</v>
      </c>
      <c r="BL121" s="164">
        <v>0</v>
      </c>
      <c r="BM121" s="164">
        <v>0</v>
      </c>
      <c r="BN121" s="164">
        <f t="shared" ref="BN121:BN123" si="27">SUM(BI121:BM121)</f>
        <v>0</v>
      </c>
      <c r="BO121" s="164"/>
      <c r="BP121" s="164"/>
      <c r="BQ121" s="164"/>
      <c r="BR121" s="164"/>
      <c r="BS121" s="164"/>
      <c r="BT121" s="164"/>
      <c r="BU121" s="164"/>
      <c r="BV121" s="164"/>
      <c r="BW121" s="164"/>
      <c r="BX121" s="164"/>
      <c r="BY121" s="164"/>
      <c r="BZ121" s="164"/>
      <c r="CA121" s="164"/>
      <c r="CB121" s="164"/>
      <c r="CC121" s="164"/>
      <c r="CD121" s="164"/>
      <c r="CE121" s="164"/>
      <c r="CF121" s="164"/>
      <c r="CG121" s="164"/>
      <c r="CH121" s="164"/>
      <c r="CI121" s="164"/>
      <c r="CJ121" s="164"/>
      <c r="CK121" s="164"/>
      <c r="CL121" s="164"/>
      <c r="CM121" s="164"/>
      <c r="CN121" s="164"/>
      <c r="CO121" s="164"/>
      <c r="CP121" s="164"/>
      <c r="CQ121" s="164"/>
      <c r="CR121" s="164"/>
      <c r="CS121" s="164"/>
      <c r="CT121" s="164"/>
      <c r="CU121" s="164"/>
      <c r="CV121" s="164"/>
      <c r="CW121" s="164"/>
      <c r="CX121" s="164"/>
      <c r="CY121" s="164"/>
      <c r="CZ121" s="164"/>
      <c r="DA121" s="164"/>
      <c r="DB121" s="164"/>
      <c r="DC121" s="164"/>
      <c r="DD121" s="164"/>
      <c r="DE121" s="164"/>
      <c r="DF121" s="164"/>
      <c r="DG121" s="164"/>
      <c r="DH121" s="164"/>
      <c r="DI121" s="164"/>
      <c r="DJ121" s="164"/>
      <c r="DK121" s="164"/>
      <c r="DL121" s="164"/>
      <c r="DM121" s="164"/>
      <c r="DN121" s="164"/>
      <c r="DO121" s="164"/>
      <c r="DP121" s="164"/>
      <c r="DQ121" s="164"/>
      <c r="DR121" s="163"/>
      <c r="DS121" s="164">
        <f t="shared" si="22"/>
        <v>39851.66</v>
      </c>
      <c r="DT121" s="164">
        <f t="shared" si="23"/>
        <v>4699.8</v>
      </c>
      <c r="DU121" s="164">
        <f t="shared" si="24"/>
        <v>0</v>
      </c>
      <c r="DV121" s="164">
        <f t="shared" si="25"/>
        <v>105.05</v>
      </c>
      <c r="DW121" s="166"/>
      <c r="DX121" s="153" t="str">
        <f>VLOOKUP(C121,薪酬明细!A:A,1,0)</f>
        <v>弈工分健康谢小强</v>
      </c>
      <c r="DY121" s="153"/>
    </row>
    <row r="122" s="149" customFormat="1" spans="1:129">
      <c r="A122" s="163" t="s">
        <v>73</v>
      </c>
      <c r="B122" s="163" t="s">
        <v>575</v>
      </c>
      <c r="C122" s="164" t="str">
        <f t="shared" si="11"/>
        <v>弈工分健康施玉芹</v>
      </c>
      <c r="D122" s="165">
        <v>46023</v>
      </c>
      <c r="E122" s="164">
        <v>4200</v>
      </c>
      <c r="F122" s="164">
        <v>0</v>
      </c>
      <c r="G122" s="164">
        <v>0</v>
      </c>
      <c r="H122" s="164">
        <v>0</v>
      </c>
      <c r="I122" s="164">
        <v>0</v>
      </c>
      <c r="J122" s="164">
        <v>0</v>
      </c>
      <c r="K122" s="164">
        <v>0</v>
      </c>
      <c r="L122" s="164">
        <f>SUM(G122:K122)</f>
        <v>0</v>
      </c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>
        <v>3568.47</v>
      </c>
      <c r="X122" s="164">
        <v>0</v>
      </c>
      <c r="Y122" s="164">
        <v>0</v>
      </c>
      <c r="Z122" s="164">
        <v>0</v>
      </c>
      <c r="AA122" s="164">
        <v>0</v>
      </c>
      <c r="AB122" s="164">
        <v>0</v>
      </c>
      <c r="AC122" s="164">
        <v>0</v>
      </c>
      <c r="AD122" s="164">
        <f>SUM(Y122:AC122)</f>
        <v>0</v>
      </c>
      <c r="AE122" s="164"/>
      <c r="AF122" s="164">
        <v>4198.85</v>
      </c>
      <c r="AG122" s="164">
        <v>0</v>
      </c>
      <c r="AH122" s="164">
        <v>0</v>
      </c>
      <c r="AI122" s="164">
        <v>0</v>
      </c>
      <c r="AJ122" s="164">
        <v>0</v>
      </c>
      <c r="AK122" s="164">
        <v>0</v>
      </c>
      <c r="AL122" s="164">
        <v>0</v>
      </c>
      <c r="AM122" s="164">
        <f>SUM(AH122:AL122)</f>
        <v>0</v>
      </c>
      <c r="AN122" s="164">
        <v>0</v>
      </c>
      <c r="AO122" s="164">
        <v>4290</v>
      </c>
      <c r="AP122" s="164">
        <v>0</v>
      </c>
      <c r="AQ122" s="164">
        <v>0</v>
      </c>
      <c r="AR122" s="164">
        <v>0</v>
      </c>
      <c r="AS122" s="164">
        <v>0</v>
      </c>
      <c r="AT122" s="164">
        <v>0</v>
      </c>
      <c r="AU122" s="164">
        <v>0</v>
      </c>
      <c r="AV122" s="164">
        <f>SUM(AQ122:AU122)</f>
        <v>0</v>
      </c>
      <c r="AW122" s="164">
        <v>0</v>
      </c>
      <c r="AX122" s="164">
        <v>4196.15</v>
      </c>
      <c r="AY122" s="164">
        <v>0</v>
      </c>
      <c r="AZ122" s="164">
        <v>0</v>
      </c>
      <c r="BA122" s="164">
        <v>0</v>
      </c>
      <c r="BB122" s="164">
        <v>0</v>
      </c>
      <c r="BC122" s="164">
        <v>0</v>
      </c>
      <c r="BD122" s="164">
        <v>0</v>
      </c>
      <c r="BE122" s="164">
        <f>SUM(AZ122:BD122)</f>
        <v>0</v>
      </c>
      <c r="BF122" s="164">
        <v>0</v>
      </c>
      <c r="BG122" s="164">
        <f>VLOOKUP(C122,薪酬明细!A:AC,29,0)</f>
        <v>5306.54</v>
      </c>
      <c r="BH122" s="164">
        <v>0</v>
      </c>
      <c r="BI122" s="164">
        <v>0</v>
      </c>
      <c r="BJ122" s="164">
        <v>0</v>
      </c>
      <c r="BK122" s="164">
        <v>0</v>
      </c>
      <c r="BL122" s="164">
        <v>0</v>
      </c>
      <c r="BM122" s="164">
        <v>0</v>
      </c>
      <c r="BN122" s="164">
        <f t="shared" si="27"/>
        <v>0</v>
      </c>
      <c r="BO122" s="164"/>
      <c r="BP122" s="164"/>
      <c r="BQ122" s="164"/>
      <c r="BR122" s="164"/>
      <c r="BS122" s="164"/>
      <c r="BT122" s="164"/>
      <c r="BU122" s="164"/>
      <c r="BV122" s="164"/>
      <c r="BW122" s="164"/>
      <c r="BX122" s="164"/>
      <c r="BY122" s="164"/>
      <c r="BZ122" s="164"/>
      <c r="CA122" s="164"/>
      <c r="CB122" s="164"/>
      <c r="CC122" s="164"/>
      <c r="CD122" s="164"/>
      <c r="CE122" s="164"/>
      <c r="CF122" s="164"/>
      <c r="CG122" s="164"/>
      <c r="CH122" s="164"/>
      <c r="CI122" s="164"/>
      <c r="CJ122" s="164"/>
      <c r="CK122" s="164"/>
      <c r="CL122" s="164"/>
      <c r="CM122" s="164"/>
      <c r="CN122" s="164"/>
      <c r="CO122" s="164"/>
      <c r="CP122" s="164"/>
      <c r="CQ122" s="164"/>
      <c r="CR122" s="164"/>
      <c r="CS122" s="164"/>
      <c r="CT122" s="164"/>
      <c r="CU122" s="164"/>
      <c r="CV122" s="164"/>
      <c r="CW122" s="164"/>
      <c r="CX122" s="164"/>
      <c r="CY122" s="164"/>
      <c r="CZ122" s="164"/>
      <c r="DA122" s="164"/>
      <c r="DB122" s="164"/>
      <c r="DC122" s="164"/>
      <c r="DD122" s="164"/>
      <c r="DE122" s="164"/>
      <c r="DF122" s="164"/>
      <c r="DG122" s="164"/>
      <c r="DH122" s="164"/>
      <c r="DI122" s="164"/>
      <c r="DJ122" s="164"/>
      <c r="DK122" s="164"/>
      <c r="DL122" s="164"/>
      <c r="DM122" s="164"/>
      <c r="DN122" s="164"/>
      <c r="DO122" s="164"/>
      <c r="DP122" s="164"/>
      <c r="DQ122" s="164"/>
      <c r="DR122" s="163"/>
      <c r="DS122" s="164">
        <f t="shared" si="22"/>
        <v>25760.01</v>
      </c>
      <c r="DT122" s="164">
        <f t="shared" si="23"/>
        <v>0</v>
      </c>
      <c r="DU122" s="164">
        <f t="shared" si="24"/>
        <v>0</v>
      </c>
      <c r="DV122" s="164">
        <f t="shared" si="25"/>
        <v>0</v>
      </c>
      <c r="DW122" s="166"/>
      <c r="DX122" s="153" t="str">
        <f>VLOOKUP(C122,薪酬明细!A:A,1,0)</f>
        <v>弈工分健康施玉芹</v>
      </c>
      <c r="DY122" s="153"/>
    </row>
    <row r="123" s="149" customFormat="1" spans="1:129">
      <c r="A123" s="163" t="s">
        <v>68</v>
      </c>
      <c r="B123" s="163" t="s">
        <v>582</v>
      </c>
      <c r="C123" s="164" t="str">
        <f t="shared" si="11"/>
        <v>智名信息张涛</v>
      </c>
      <c r="D123" s="165">
        <v>46023</v>
      </c>
      <c r="E123" s="164">
        <v>2445.15</v>
      </c>
      <c r="F123" s="164">
        <v>1300.3</v>
      </c>
      <c r="G123" s="164">
        <v>0</v>
      </c>
      <c r="H123" s="164">
        <v>0</v>
      </c>
      <c r="I123" s="164">
        <v>0</v>
      </c>
      <c r="J123" s="164">
        <v>0</v>
      </c>
      <c r="K123" s="164">
        <v>0</v>
      </c>
      <c r="L123" s="164">
        <f>SUM(G123:K123)</f>
        <v>0</v>
      </c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>
        <v>2445.15</v>
      </c>
      <c r="X123" s="164">
        <v>1300.3</v>
      </c>
      <c r="Y123" s="164">
        <v>0</v>
      </c>
      <c r="Z123" s="164">
        <v>0</v>
      </c>
      <c r="AA123" s="164">
        <v>0</v>
      </c>
      <c r="AB123" s="164">
        <v>0</v>
      </c>
      <c r="AC123" s="164">
        <v>0</v>
      </c>
      <c r="AD123" s="164">
        <f>SUM(Y123:AC123)</f>
        <v>0</v>
      </c>
      <c r="AE123" s="164"/>
      <c r="AF123" s="164">
        <v>2445.15</v>
      </c>
      <c r="AG123" s="164">
        <v>1300.3</v>
      </c>
      <c r="AH123" s="164">
        <v>0</v>
      </c>
      <c r="AI123" s="164">
        <v>0</v>
      </c>
      <c r="AJ123" s="164">
        <v>0</v>
      </c>
      <c r="AK123" s="164">
        <v>0</v>
      </c>
      <c r="AL123" s="164">
        <v>0</v>
      </c>
      <c r="AM123" s="164">
        <f>SUM(AH123:AL123)</f>
        <v>0</v>
      </c>
      <c r="AN123" s="164">
        <v>0</v>
      </c>
      <c r="AO123" s="164">
        <v>2456.1</v>
      </c>
      <c r="AP123" s="164">
        <v>1300.3</v>
      </c>
      <c r="AQ123" s="164">
        <v>0</v>
      </c>
      <c r="AR123" s="164">
        <v>0</v>
      </c>
      <c r="AS123" s="164">
        <v>0</v>
      </c>
      <c r="AT123" s="164">
        <v>0</v>
      </c>
      <c r="AU123" s="164">
        <v>0</v>
      </c>
      <c r="AV123" s="164">
        <f>SUM(AQ123:AU123)</f>
        <v>0</v>
      </c>
      <c r="AW123" s="164">
        <v>0</v>
      </c>
      <c r="AX123" s="164">
        <v>2456.1</v>
      </c>
      <c r="AY123" s="164">
        <v>1300.3</v>
      </c>
      <c r="AZ123" s="164">
        <v>0</v>
      </c>
      <c r="BA123" s="164">
        <v>0</v>
      </c>
      <c r="BB123" s="164">
        <v>0</v>
      </c>
      <c r="BC123" s="164">
        <v>0</v>
      </c>
      <c r="BD123" s="164">
        <v>0</v>
      </c>
      <c r="BE123" s="164">
        <f>SUM(AZ123:BD123)</f>
        <v>0</v>
      </c>
      <c r="BF123" s="164">
        <v>0</v>
      </c>
      <c r="BG123" s="164">
        <f>VLOOKUP(C123,薪酬明细!A:AC,29,0)</f>
        <v>2456.1</v>
      </c>
      <c r="BH123" s="164">
        <v>1300.3</v>
      </c>
      <c r="BI123" s="164">
        <v>0</v>
      </c>
      <c r="BJ123" s="164">
        <v>0</v>
      </c>
      <c r="BK123" s="164">
        <v>0</v>
      </c>
      <c r="BL123" s="164">
        <v>0</v>
      </c>
      <c r="BM123" s="164">
        <v>0</v>
      </c>
      <c r="BN123" s="164">
        <f t="shared" si="27"/>
        <v>0</v>
      </c>
      <c r="BO123" s="164"/>
      <c r="BP123" s="164"/>
      <c r="BQ123" s="164"/>
      <c r="BR123" s="164"/>
      <c r="BS123" s="164"/>
      <c r="BT123" s="164"/>
      <c r="BU123" s="164"/>
      <c r="BV123" s="164"/>
      <c r="BW123" s="164"/>
      <c r="BX123" s="164"/>
      <c r="BY123" s="164"/>
      <c r="BZ123" s="164"/>
      <c r="CA123" s="164"/>
      <c r="CB123" s="164"/>
      <c r="CC123" s="164"/>
      <c r="CD123" s="164"/>
      <c r="CE123" s="164"/>
      <c r="CF123" s="164"/>
      <c r="CG123" s="164"/>
      <c r="CH123" s="164"/>
      <c r="CI123" s="164"/>
      <c r="CJ123" s="164"/>
      <c r="CK123" s="164"/>
      <c r="CL123" s="164"/>
      <c r="CM123" s="164"/>
      <c r="CN123" s="164"/>
      <c r="CO123" s="164"/>
      <c r="CP123" s="164"/>
      <c r="CQ123" s="164"/>
      <c r="CR123" s="164"/>
      <c r="CS123" s="164"/>
      <c r="CT123" s="164"/>
      <c r="CU123" s="164"/>
      <c r="CV123" s="164"/>
      <c r="CW123" s="164"/>
      <c r="CX123" s="164"/>
      <c r="CY123" s="164"/>
      <c r="CZ123" s="164"/>
      <c r="DA123" s="164"/>
      <c r="DB123" s="164"/>
      <c r="DC123" s="164"/>
      <c r="DD123" s="164"/>
      <c r="DE123" s="164"/>
      <c r="DF123" s="164"/>
      <c r="DG123" s="164"/>
      <c r="DH123" s="164"/>
      <c r="DI123" s="164"/>
      <c r="DJ123" s="164"/>
      <c r="DK123" s="164"/>
      <c r="DL123" s="164"/>
      <c r="DM123" s="164"/>
      <c r="DN123" s="164"/>
      <c r="DO123" s="164"/>
      <c r="DP123" s="164"/>
      <c r="DQ123" s="164"/>
      <c r="DR123" s="163"/>
      <c r="DS123" s="164">
        <f t="shared" si="22"/>
        <v>14703.75</v>
      </c>
      <c r="DT123" s="164">
        <f t="shared" si="23"/>
        <v>7801.8</v>
      </c>
      <c r="DU123" s="164">
        <f t="shared" si="24"/>
        <v>0</v>
      </c>
      <c r="DV123" s="164">
        <f t="shared" si="25"/>
        <v>0</v>
      </c>
      <c r="DW123" s="166"/>
      <c r="DX123" s="153" t="str">
        <f>VLOOKUP(C123,薪酬明细!A:A,1,0)</f>
        <v>智名信息张涛</v>
      </c>
      <c r="DY123" s="153"/>
    </row>
    <row r="124" customFormat="1" ht="17.6" spans="1:129">
      <c r="AW124" s="164"/>
      <c r="AX124" s="164"/>
      <c r="BG124" s="164"/>
    </row>
    <row r="125" ht="17.55" spans="1:129">
      <c r="E125" s="167">
        <f t="shared" ref="E125:BP125" si="28">SUM(E4:E123)</f>
        <v>977421.269999999</v>
      </c>
      <c r="F125" s="167">
        <f t="shared" si="28"/>
        <v>106302.15</v>
      </c>
      <c r="G125" s="167">
        <f t="shared" si="28"/>
        <v>12000</v>
      </c>
      <c r="H125" s="167">
        <f t="shared" si="28"/>
        <v>1000</v>
      </c>
      <c r="I125" s="167">
        <f t="shared" si="28"/>
        <v>13500</v>
      </c>
      <c r="J125" s="167">
        <f t="shared" si="28"/>
        <v>52500</v>
      </c>
      <c r="K125" s="167">
        <f t="shared" si="28"/>
        <v>0</v>
      </c>
      <c r="L125" s="167">
        <f t="shared" si="28"/>
        <v>79000</v>
      </c>
      <c r="M125" s="167">
        <f t="shared" si="28"/>
        <v>19645.02</v>
      </c>
      <c r="N125" s="167">
        <f t="shared" si="28"/>
        <v>0</v>
      </c>
      <c r="O125" s="167">
        <f t="shared" si="28"/>
        <v>0</v>
      </c>
      <c r="P125" s="167">
        <f t="shared" si="28"/>
        <v>0</v>
      </c>
      <c r="Q125" s="167">
        <f t="shared" si="28"/>
        <v>0</v>
      </c>
      <c r="R125" s="167">
        <f t="shared" si="28"/>
        <v>0</v>
      </c>
      <c r="S125" s="167">
        <f t="shared" si="28"/>
        <v>0</v>
      </c>
      <c r="T125" s="167">
        <f t="shared" si="28"/>
        <v>0</v>
      </c>
      <c r="U125" s="167">
        <f t="shared" si="28"/>
        <v>0</v>
      </c>
      <c r="V125" s="167">
        <f t="shared" si="28"/>
        <v>0</v>
      </c>
      <c r="W125" s="167">
        <f t="shared" si="28"/>
        <v>906179.78</v>
      </c>
      <c r="X125" s="167">
        <f t="shared" si="28"/>
        <v>106274.1</v>
      </c>
      <c r="Y125" s="167">
        <f t="shared" si="28"/>
        <v>12000</v>
      </c>
      <c r="Z125" s="167">
        <f t="shared" si="28"/>
        <v>1000</v>
      </c>
      <c r="AA125" s="167">
        <f t="shared" si="28"/>
        <v>17500</v>
      </c>
      <c r="AB125" s="167">
        <f t="shared" si="28"/>
        <v>55500</v>
      </c>
      <c r="AC125" s="167">
        <f t="shared" si="28"/>
        <v>0</v>
      </c>
      <c r="AD125" s="167">
        <f t="shared" si="28"/>
        <v>86000</v>
      </c>
      <c r="AE125" s="167">
        <f t="shared" si="28"/>
        <v>14555.15</v>
      </c>
      <c r="AF125" s="167">
        <f t="shared" si="28"/>
        <v>1321422.62</v>
      </c>
      <c r="AG125" s="167">
        <f t="shared" si="28"/>
        <v>106274.1</v>
      </c>
      <c r="AH125" s="167">
        <f t="shared" si="28"/>
        <v>14000</v>
      </c>
      <c r="AI125" s="167">
        <f t="shared" si="28"/>
        <v>1000</v>
      </c>
      <c r="AJ125" s="167">
        <f t="shared" si="28"/>
        <v>13500</v>
      </c>
      <c r="AK125" s="167">
        <f t="shared" si="28"/>
        <v>55500</v>
      </c>
      <c r="AL125" s="167">
        <f t="shared" si="28"/>
        <v>0</v>
      </c>
      <c r="AM125" s="167">
        <f t="shared" si="28"/>
        <v>84000</v>
      </c>
      <c r="AN125" s="167">
        <f t="shared" si="28"/>
        <v>48743.19</v>
      </c>
      <c r="AO125" s="167">
        <f t="shared" si="28"/>
        <v>1019080.36</v>
      </c>
      <c r="AP125" s="167">
        <f t="shared" si="28"/>
        <v>107674.1</v>
      </c>
      <c r="AQ125" s="167">
        <f t="shared" si="28"/>
        <v>17000</v>
      </c>
      <c r="AR125" s="167">
        <f t="shared" si="28"/>
        <v>1000</v>
      </c>
      <c r="AS125" s="167">
        <f t="shared" si="28"/>
        <v>13500</v>
      </c>
      <c r="AT125" s="167">
        <f t="shared" si="28"/>
        <v>55500</v>
      </c>
      <c r="AU125" s="167">
        <f t="shared" si="28"/>
        <v>0</v>
      </c>
      <c r="AV125" s="167">
        <f t="shared" si="28"/>
        <v>87000</v>
      </c>
      <c r="AW125" s="167">
        <f t="shared" si="28"/>
        <v>29399.58</v>
      </c>
      <c r="AX125" s="167">
        <f t="shared" si="28"/>
        <v>1247279.1</v>
      </c>
      <c r="AY125" s="167">
        <f t="shared" si="28"/>
        <v>107674.1</v>
      </c>
      <c r="AZ125" s="167">
        <f t="shared" si="28"/>
        <v>14000</v>
      </c>
      <c r="BA125" s="167">
        <f t="shared" si="28"/>
        <v>1000</v>
      </c>
      <c r="BB125" s="167">
        <f t="shared" si="28"/>
        <v>13500</v>
      </c>
      <c r="BC125" s="167">
        <f t="shared" si="28"/>
        <v>46500</v>
      </c>
      <c r="BD125" s="167">
        <f t="shared" si="28"/>
        <v>0</v>
      </c>
      <c r="BE125" s="167">
        <f t="shared" si="28"/>
        <v>75000</v>
      </c>
      <c r="BF125" s="167">
        <f t="shared" si="28"/>
        <v>45176.82</v>
      </c>
      <c r="BG125" s="167">
        <f t="shared" si="28"/>
        <v>1085346.24</v>
      </c>
      <c r="BH125" s="167">
        <f t="shared" si="28"/>
        <v>107738.12</v>
      </c>
      <c r="BI125" s="167">
        <f t="shared" si="28"/>
        <v>14000</v>
      </c>
      <c r="BJ125" s="167">
        <f t="shared" si="28"/>
        <v>1000</v>
      </c>
      <c r="BK125" s="167">
        <f t="shared" si="28"/>
        <v>13500</v>
      </c>
      <c r="BL125" s="167">
        <f t="shared" si="28"/>
        <v>55500</v>
      </c>
      <c r="BM125" s="167">
        <f t="shared" si="28"/>
        <v>0</v>
      </c>
      <c r="BN125" s="167">
        <f t="shared" si="28"/>
        <v>84000</v>
      </c>
      <c r="BO125" s="167">
        <f t="shared" si="28"/>
        <v>0</v>
      </c>
      <c r="BP125" s="167">
        <f t="shared" si="28"/>
        <v>0</v>
      </c>
      <c r="BQ125" s="167">
        <f t="shared" ref="BQ125:DV125" si="29">SUM(BQ4:BQ123)</f>
        <v>0</v>
      </c>
      <c r="BR125" s="167">
        <f t="shared" si="29"/>
        <v>0</v>
      </c>
      <c r="BS125" s="167">
        <f t="shared" si="29"/>
        <v>0</v>
      </c>
      <c r="BT125" s="167">
        <f t="shared" si="29"/>
        <v>0</v>
      </c>
      <c r="BU125" s="167">
        <f t="shared" si="29"/>
        <v>0</v>
      </c>
      <c r="BV125" s="167">
        <f t="shared" si="29"/>
        <v>0</v>
      </c>
      <c r="BW125" s="167">
        <f t="shared" si="29"/>
        <v>0</v>
      </c>
      <c r="BX125" s="167">
        <f t="shared" si="29"/>
        <v>0</v>
      </c>
      <c r="BY125" s="167">
        <f t="shared" si="29"/>
        <v>0</v>
      </c>
      <c r="BZ125" s="167">
        <f t="shared" si="29"/>
        <v>0</v>
      </c>
      <c r="CA125" s="167">
        <f t="shared" si="29"/>
        <v>0</v>
      </c>
      <c r="CB125" s="167">
        <f t="shared" si="29"/>
        <v>0</v>
      </c>
      <c r="CC125" s="167">
        <f t="shared" si="29"/>
        <v>0</v>
      </c>
      <c r="CD125" s="167">
        <f t="shared" si="29"/>
        <v>0</v>
      </c>
      <c r="CE125" s="167">
        <f t="shared" si="29"/>
        <v>0</v>
      </c>
      <c r="CF125" s="167">
        <f t="shared" si="29"/>
        <v>0</v>
      </c>
      <c r="CG125" s="167">
        <f t="shared" si="29"/>
        <v>0</v>
      </c>
      <c r="CH125" s="167">
        <f t="shared" si="29"/>
        <v>0</v>
      </c>
      <c r="CI125" s="167">
        <f t="shared" si="29"/>
        <v>0</v>
      </c>
      <c r="CJ125" s="167">
        <f t="shared" si="29"/>
        <v>0</v>
      </c>
      <c r="CK125" s="167">
        <f t="shared" si="29"/>
        <v>0</v>
      </c>
      <c r="CL125" s="167">
        <f t="shared" si="29"/>
        <v>0</v>
      </c>
      <c r="CM125" s="167">
        <f t="shared" si="29"/>
        <v>0</v>
      </c>
      <c r="CN125" s="167">
        <f t="shared" si="29"/>
        <v>0</v>
      </c>
      <c r="CO125" s="167">
        <f t="shared" si="29"/>
        <v>0</v>
      </c>
      <c r="CP125" s="167">
        <f t="shared" si="29"/>
        <v>0</v>
      </c>
      <c r="CQ125" s="167">
        <f t="shared" si="29"/>
        <v>0</v>
      </c>
      <c r="CR125" s="167">
        <f t="shared" si="29"/>
        <v>0</v>
      </c>
      <c r="CS125" s="167">
        <f t="shared" si="29"/>
        <v>0</v>
      </c>
      <c r="CT125" s="167">
        <f t="shared" si="29"/>
        <v>0</v>
      </c>
      <c r="CU125" s="167">
        <f t="shared" si="29"/>
        <v>0</v>
      </c>
      <c r="CV125" s="167">
        <f t="shared" si="29"/>
        <v>0</v>
      </c>
      <c r="CW125" s="167">
        <f t="shared" si="29"/>
        <v>0</v>
      </c>
      <c r="CX125" s="167">
        <f t="shared" si="29"/>
        <v>0</v>
      </c>
      <c r="CY125" s="167">
        <f t="shared" si="29"/>
        <v>0</v>
      </c>
      <c r="CZ125" s="167">
        <f t="shared" si="29"/>
        <v>0</v>
      </c>
      <c r="DA125" s="167">
        <f t="shared" si="29"/>
        <v>0</v>
      </c>
      <c r="DB125" s="167">
        <f t="shared" si="29"/>
        <v>0</v>
      </c>
      <c r="DC125" s="167">
        <f t="shared" si="29"/>
        <v>0</v>
      </c>
      <c r="DD125" s="167">
        <f t="shared" si="29"/>
        <v>0</v>
      </c>
      <c r="DE125" s="167">
        <f t="shared" si="29"/>
        <v>0</v>
      </c>
      <c r="DF125" s="167">
        <f t="shared" si="29"/>
        <v>0</v>
      </c>
      <c r="DG125" s="167">
        <f t="shared" si="29"/>
        <v>0</v>
      </c>
      <c r="DH125" s="167">
        <f t="shared" si="29"/>
        <v>0</v>
      </c>
      <c r="DI125" s="167">
        <f t="shared" si="29"/>
        <v>0</v>
      </c>
      <c r="DJ125" s="167">
        <f t="shared" si="29"/>
        <v>0</v>
      </c>
      <c r="DK125" s="167">
        <f t="shared" si="29"/>
        <v>0</v>
      </c>
      <c r="DL125" s="167">
        <f t="shared" si="29"/>
        <v>0</v>
      </c>
      <c r="DM125" s="167">
        <f t="shared" si="29"/>
        <v>0</v>
      </c>
      <c r="DN125" s="167">
        <f t="shared" si="29"/>
        <v>0</v>
      </c>
      <c r="DO125" s="167">
        <f t="shared" si="29"/>
        <v>0</v>
      </c>
      <c r="DP125" s="167">
        <f t="shared" si="29"/>
        <v>0</v>
      </c>
      <c r="DQ125" s="167">
        <f t="shared" si="29"/>
        <v>0</v>
      </c>
      <c r="DR125" s="167">
        <f t="shared" si="29"/>
        <v>0</v>
      </c>
      <c r="DS125" s="167">
        <f t="shared" si="29"/>
        <v>6556729.37</v>
      </c>
      <c r="DT125" s="167">
        <f t="shared" si="29"/>
        <v>641936.67</v>
      </c>
      <c r="DU125" s="167">
        <f t="shared" si="29"/>
        <v>495000</v>
      </c>
      <c r="DV125" s="167">
        <f t="shared" si="29"/>
        <v>157519.76</v>
      </c>
      <c r="DW125" s="152"/>
    </row>
    <row r="126" ht="17.55"/>
    <row r="127" spans="1:129">
      <c r="BP127" s="168">
        <f>BP125+204475-薪酬明细!AC161</f>
        <v>-1230438.6</v>
      </c>
      <c r="BY127" s="152">
        <f>11*12000</f>
        <v>132000</v>
      </c>
      <c r="DS127" s="100"/>
      <c r="DT127" s="100"/>
      <c r="DU127" s="100"/>
      <c r="DV127" s="100"/>
      <c r="DW127" s="100"/>
    </row>
    <row r="128" ht="17.6" spans="1:129">
      <c r="E128" s="169"/>
      <c r="W128" s="152">
        <f>241889.35+W125-薪酬明细!AC161</f>
        <v>-286844.47</v>
      </c>
      <c r="AF128" s="168"/>
      <c r="AO128" s="152">
        <f>AO125+237858.46-薪酬明细!AC161</f>
        <v>-177974.78</v>
      </c>
      <c r="CI128" s="152">
        <f>CI125-薪酬明细!AM163</f>
        <v>-111571.42</v>
      </c>
      <c r="CZ128"/>
      <c r="DI128" s="168">
        <f>DI125+292429.4-薪酬明细!AC161</f>
        <v>-1142484.2</v>
      </c>
    </row>
    <row r="129" spans="50:104">
      <c r="AX129" s="152">
        <f>AX125+291110.51-薪酬明细!AC163</f>
        <v>103476.01</v>
      </c>
      <c r="BG129" s="152">
        <f>BG125+349567.36-薪酬明细!AC161</f>
        <v>0</v>
      </c>
      <c r="BX129" s="152" t="s">
        <v>586</v>
      </c>
      <c r="BY129" s="152">
        <f>BY125-薪酬明细!AC163+210347.03</f>
        <v>-1224566.57</v>
      </c>
      <c r="CQ129" s="168"/>
      <c r="CZ129" s="152">
        <f>CZ125-薪酬明细!AC161+335395.63</f>
        <v>-1099517.97</v>
      </c>
    </row>
    <row r="130" spans="50:104">
      <c r="CH130" s="152">
        <f>CH125+132000-薪酬明细!AC161</f>
        <v>-1302913.6</v>
      </c>
    </row>
  </sheetData>
  <autoFilter xmlns:etc="http://www.wps.cn/officeDocument/2017/etCustomData" ref="A3:DX125" etc:filterBottomFollowUsedRange="0">
    <sortState ref="A3:DX125">
      <sortCondition ref="A3"/>
    </sortState>
    <extLst/>
  </autoFilter>
  <sortState ref="A1:D2">
    <sortCondition ref="A1"/>
  </sortState>
  <mergeCells count="36">
    <mergeCell ref="E1:M1"/>
    <mergeCell ref="N1:V1"/>
    <mergeCell ref="W1:AE1"/>
    <mergeCell ref="AF1:AN1"/>
    <mergeCell ref="AO1:AW1"/>
    <mergeCell ref="AX1:BF1"/>
    <mergeCell ref="BG1:BO1"/>
    <mergeCell ref="BP1:BX1"/>
    <mergeCell ref="BY1:CG1"/>
    <mergeCell ref="CH1:CP1"/>
    <mergeCell ref="CQ1:CY1"/>
    <mergeCell ref="CZ1:DH1"/>
    <mergeCell ref="DI1:DQ1"/>
    <mergeCell ref="E2:M2"/>
    <mergeCell ref="N2:V2"/>
    <mergeCell ref="W2:AE2"/>
    <mergeCell ref="AF2:AN2"/>
    <mergeCell ref="AO2:AW2"/>
    <mergeCell ref="AX2:BF2"/>
    <mergeCell ref="BG2:BO2"/>
    <mergeCell ref="BP2:BX2"/>
    <mergeCell ref="BY2:CG2"/>
    <mergeCell ref="CH2:CP2"/>
    <mergeCell ref="CQ2:CY2"/>
    <mergeCell ref="CZ2:DH2"/>
    <mergeCell ref="DI2:DQ2"/>
    <mergeCell ref="A1:A3"/>
    <mergeCell ref="B1:B3"/>
    <mergeCell ref="C1:C3"/>
    <mergeCell ref="D1:D3"/>
    <mergeCell ref="DR1:DR3"/>
    <mergeCell ref="DS1:DS3"/>
    <mergeCell ref="DT1:DT3"/>
    <mergeCell ref="DU1:DU3"/>
    <mergeCell ref="DV1:DV3"/>
    <mergeCell ref="DW1:DW3"/>
  </mergeCells>
  <conditionalFormatting sqref="C8">
    <cfRule type="duplicateValues" dxfId="15" priority="335"/>
  </conditionalFormatting>
  <conditionalFormatting sqref="C9">
    <cfRule type="duplicateValues" dxfId="15" priority="334"/>
  </conditionalFormatting>
  <conditionalFormatting sqref="C10">
    <cfRule type="duplicateValues" dxfId="15" priority="333"/>
  </conditionalFormatting>
  <conditionalFormatting sqref="C11">
    <cfRule type="duplicateValues" dxfId="15" priority="332"/>
  </conditionalFormatting>
  <conditionalFormatting sqref="C12">
    <cfRule type="duplicateValues" dxfId="15" priority="331"/>
  </conditionalFormatting>
  <conditionalFormatting sqref="C13">
    <cfRule type="duplicateValues" dxfId="15" priority="330"/>
  </conditionalFormatting>
  <conditionalFormatting sqref="C14">
    <cfRule type="duplicateValues" dxfId="15" priority="329"/>
  </conditionalFormatting>
  <conditionalFormatting sqref="C15">
    <cfRule type="duplicateValues" dxfId="15" priority="328"/>
  </conditionalFormatting>
  <conditionalFormatting sqref="C16">
    <cfRule type="duplicateValues" dxfId="15" priority="327"/>
  </conditionalFormatting>
  <conditionalFormatting sqref="C17">
    <cfRule type="duplicateValues" dxfId="15" priority="322"/>
  </conditionalFormatting>
  <conditionalFormatting sqref="C18">
    <cfRule type="duplicateValues" dxfId="15" priority="321"/>
  </conditionalFormatting>
  <conditionalFormatting sqref="C19">
    <cfRule type="duplicateValues" dxfId="15" priority="320"/>
  </conditionalFormatting>
  <conditionalFormatting sqref="C20">
    <cfRule type="duplicateValues" dxfId="15" priority="19"/>
  </conditionalFormatting>
  <conditionalFormatting sqref="C21">
    <cfRule type="duplicateValues" dxfId="15" priority="18"/>
  </conditionalFormatting>
  <conditionalFormatting sqref="C22">
    <cfRule type="duplicateValues" dxfId="15" priority="17"/>
  </conditionalFormatting>
  <conditionalFormatting sqref="C23">
    <cfRule type="duplicateValues" dxfId="15" priority="318"/>
  </conditionalFormatting>
  <conditionalFormatting sqref="C24">
    <cfRule type="duplicateValues" dxfId="15" priority="317"/>
  </conditionalFormatting>
  <conditionalFormatting sqref="C25">
    <cfRule type="duplicateValues" dxfId="15" priority="316"/>
  </conditionalFormatting>
  <conditionalFormatting sqref="C26">
    <cfRule type="duplicateValues" dxfId="15" priority="309"/>
  </conditionalFormatting>
  <conditionalFormatting sqref="C27">
    <cfRule type="duplicateValues" dxfId="15" priority="305"/>
  </conditionalFormatting>
  <conditionalFormatting sqref="C28">
    <cfRule type="duplicateValues" dxfId="15" priority="304"/>
  </conditionalFormatting>
  <conditionalFormatting sqref="C29">
    <cfRule type="duplicateValues" dxfId="15" priority="302"/>
  </conditionalFormatting>
  <conditionalFormatting sqref="C30">
    <cfRule type="duplicateValues" dxfId="15" priority="298"/>
  </conditionalFormatting>
  <conditionalFormatting sqref="C31">
    <cfRule type="duplicateValues" dxfId="15" priority="297"/>
  </conditionalFormatting>
  <conditionalFormatting sqref="C32">
    <cfRule type="duplicateValues" dxfId="15" priority="295"/>
  </conditionalFormatting>
  <conditionalFormatting sqref="C33">
    <cfRule type="duplicateValues" dxfId="15" priority="293"/>
  </conditionalFormatting>
  <conditionalFormatting sqref="C34">
    <cfRule type="duplicateValues" dxfId="15" priority="278"/>
  </conditionalFormatting>
  <conditionalFormatting sqref="C35">
    <cfRule type="duplicateValues" dxfId="15" priority="277"/>
  </conditionalFormatting>
  <conditionalFormatting sqref="C36">
    <cfRule type="duplicateValues" dxfId="15" priority="266"/>
  </conditionalFormatting>
  <conditionalFormatting sqref="C37">
    <cfRule type="duplicateValues" dxfId="15" priority="263"/>
  </conditionalFormatting>
  <conditionalFormatting sqref="C38">
    <cfRule type="duplicateValues" dxfId="15" priority="262"/>
  </conditionalFormatting>
  <conditionalFormatting sqref="C39">
    <cfRule type="duplicateValues" dxfId="15" priority="261"/>
  </conditionalFormatting>
  <conditionalFormatting sqref="C40">
    <cfRule type="duplicateValues" dxfId="15" priority="260"/>
  </conditionalFormatting>
  <conditionalFormatting sqref="C41">
    <cfRule type="duplicateValues" dxfId="15" priority="259"/>
  </conditionalFormatting>
  <conditionalFormatting sqref="C42">
    <cfRule type="duplicateValues" dxfId="15" priority="258"/>
  </conditionalFormatting>
  <conditionalFormatting sqref="C43">
    <cfRule type="duplicateValues" dxfId="15" priority="257"/>
  </conditionalFormatting>
  <conditionalFormatting sqref="C44">
    <cfRule type="duplicateValues" dxfId="15" priority="256"/>
  </conditionalFormatting>
  <conditionalFormatting sqref="C45">
    <cfRule type="duplicateValues" dxfId="15" priority="253"/>
  </conditionalFormatting>
  <conditionalFormatting sqref="C46">
    <cfRule type="duplicateValues" dxfId="15" priority="249"/>
  </conditionalFormatting>
  <conditionalFormatting sqref="C47">
    <cfRule type="duplicateValues" dxfId="15" priority="73"/>
  </conditionalFormatting>
  <conditionalFormatting sqref="C48">
    <cfRule type="duplicateValues" dxfId="15" priority="25"/>
  </conditionalFormatting>
  <conditionalFormatting sqref="C49">
    <cfRule type="duplicateValues" dxfId="15" priority="228"/>
  </conditionalFormatting>
  <conditionalFormatting sqref="C50">
    <cfRule type="duplicateValues" dxfId="15" priority="223"/>
  </conditionalFormatting>
  <conditionalFormatting sqref="C51">
    <cfRule type="duplicateValues" dxfId="15" priority="218"/>
  </conditionalFormatting>
  <conditionalFormatting sqref="C52">
    <cfRule type="duplicateValues" dxfId="15" priority="217"/>
  </conditionalFormatting>
  <conditionalFormatting sqref="C53">
    <cfRule type="duplicateValues" dxfId="15" priority="72"/>
  </conditionalFormatting>
  <conditionalFormatting sqref="C55">
    <cfRule type="duplicateValues" dxfId="15" priority="136"/>
  </conditionalFormatting>
  <conditionalFormatting sqref="C56">
    <cfRule type="duplicateValues" dxfId="15" priority="134"/>
  </conditionalFormatting>
  <conditionalFormatting sqref="C57">
    <cfRule type="duplicateValues" dxfId="15" priority="133"/>
  </conditionalFormatting>
  <conditionalFormatting sqref="C58">
    <cfRule type="duplicateValues" dxfId="15" priority="132"/>
  </conditionalFormatting>
  <conditionalFormatting sqref="C59">
    <cfRule type="duplicateValues" dxfId="15" priority="131"/>
  </conditionalFormatting>
  <conditionalFormatting sqref="C60">
    <cfRule type="duplicateValues" dxfId="15" priority="129"/>
  </conditionalFormatting>
  <conditionalFormatting sqref="C61">
    <cfRule type="duplicateValues" dxfId="15" priority="128"/>
  </conditionalFormatting>
  <conditionalFormatting sqref="C62">
    <cfRule type="duplicateValues" dxfId="15" priority="127"/>
  </conditionalFormatting>
  <conditionalFormatting sqref="C63">
    <cfRule type="duplicateValues" dxfId="15" priority="126"/>
  </conditionalFormatting>
  <conditionalFormatting sqref="C64">
    <cfRule type="duplicateValues" dxfId="15" priority="121"/>
  </conditionalFormatting>
  <conditionalFormatting sqref="C65">
    <cfRule type="duplicateValues" dxfId="15" priority="120"/>
  </conditionalFormatting>
  <conditionalFormatting sqref="C66">
    <cfRule type="duplicateValues" dxfId="15" priority="118"/>
  </conditionalFormatting>
  <conditionalFormatting sqref="C67">
    <cfRule type="duplicateValues" dxfId="15" priority="117"/>
  </conditionalFormatting>
  <conditionalFormatting sqref="C68">
    <cfRule type="duplicateValues" dxfId="15" priority="115"/>
  </conditionalFormatting>
  <conditionalFormatting sqref="C69">
    <cfRule type="duplicateValues" dxfId="15" priority="114"/>
  </conditionalFormatting>
  <conditionalFormatting sqref="C70">
    <cfRule type="duplicateValues" dxfId="15" priority="113"/>
  </conditionalFormatting>
  <conditionalFormatting sqref="C71">
    <cfRule type="duplicateValues" dxfId="15" priority="112"/>
  </conditionalFormatting>
  <conditionalFormatting sqref="C72">
    <cfRule type="duplicateValues" dxfId="15" priority="111"/>
  </conditionalFormatting>
  <conditionalFormatting sqref="C73">
    <cfRule type="duplicateValues" dxfId="15" priority="110"/>
  </conditionalFormatting>
  <conditionalFormatting sqref="C74">
    <cfRule type="duplicateValues" dxfId="15" priority="106"/>
  </conditionalFormatting>
  <conditionalFormatting sqref="C75">
    <cfRule type="duplicateValues" dxfId="15" priority="105"/>
  </conditionalFormatting>
  <conditionalFormatting sqref="C76">
    <cfRule type="duplicateValues" dxfId="15" priority="104"/>
  </conditionalFormatting>
  <conditionalFormatting sqref="C77">
    <cfRule type="duplicateValues" dxfId="15" priority="103"/>
  </conditionalFormatting>
  <conditionalFormatting sqref="C78">
    <cfRule type="duplicateValues" dxfId="15" priority="102"/>
  </conditionalFormatting>
  <conditionalFormatting sqref="C79">
    <cfRule type="duplicateValues" dxfId="15" priority="101"/>
  </conditionalFormatting>
  <conditionalFormatting sqref="C80">
    <cfRule type="duplicateValues" dxfId="15" priority="100"/>
  </conditionalFormatting>
  <conditionalFormatting sqref="C81">
    <cfRule type="duplicateValues" dxfId="15" priority="99"/>
  </conditionalFormatting>
  <conditionalFormatting sqref="C82">
    <cfRule type="duplicateValues" dxfId="15" priority="94"/>
  </conditionalFormatting>
  <conditionalFormatting sqref="C83">
    <cfRule type="duplicateValues" dxfId="15" priority="92"/>
  </conditionalFormatting>
  <conditionalFormatting sqref="C84">
    <cfRule type="duplicateValues" dxfId="15" priority="91"/>
  </conditionalFormatting>
  <conditionalFormatting sqref="C85">
    <cfRule type="duplicateValues" dxfId="15" priority="89"/>
  </conditionalFormatting>
  <conditionalFormatting sqref="C86">
    <cfRule type="duplicateValues" dxfId="15" priority="87"/>
  </conditionalFormatting>
  <conditionalFormatting sqref="C87">
    <cfRule type="duplicateValues" dxfId="15" priority="86"/>
  </conditionalFormatting>
  <conditionalFormatting sqref="C88">
    <cfRule type="duplicateValues" dxfId="15" priority="85"/>
  </conditionalFormatting>
  <conditionalFormatting sqref="C89">
    <cfRule type="duplicateValues" dxfId="15" priority="84"/>
  </conditionalFormatting>
  <conditionalFormatting sqref="C90">
    <cfRule type="duplicateValues" dxfId="15" priority="41"/>
  </conditionalFormatting>
  <conditionalFormatting sqref="C91">
    <cfRule type="duplicateValues" dxfId="15" priority="40"/>
  </conditionalFormatting>
  <conditionalFormatting sqref="C92">
    <cfRule type="duplicateValues" dxfId="15" priority="39"/>
  </conditionalFormatting>
  <conditionalFormatting sqref="C93">
    <cfRule type="duplicateValues" dxfId="15" priority="38"/>
  </conditionalFormatting>
  <conditionalFormatting sqref="C94">
    <cfRule type="duplicateValues" dxfId="15" priority="36"/>
  </conditionalFormatting>
  <conditionalFormatting sqref="C95">
    <cfRule type="duplicateValues" dxfId="15" priority="35"/>
  </conditionalFormatting>
  <conditionalFormatting sqref="C96">
    <cfRule type="duplicateValues" dxfId="15" priority="34"/>
  </conditionalFormatting>
  <conditionalFormatting sqref="C97">
    <cfRule type="duplicateValues" dxfId="15" priority="33"/>
  </conditionalFormatting>
  <conditionalFormatting sqref="C98">
    <cfRule type="duplicateValues" dxfId="15" priority="75"/>
  </conditionalFormatting>
  <conditionalFormatting sqref="C99">
    <cfRule type="duplicateValues" dxfId="15" priority="70"/>
  </conditionalFormatting>
  <conditionalFormatting sqref="C100">
    <cfRule type="duplicateValues" dxfId="15" priority="69"/>
  </conditionalFormatting>
  <conditionalFormatting sqref="C101">
    <cfRule type="duplicateValues" dxfId="15" priority="63"/>
  </conditionalFormatting>
  <conditionalFormatting sqref="C103">
    <cfRule type="duplicateValues" dxfId="15" priority="10"/>
  </conditionalFormatting>
  <conditionalFormatting sqref="C109">
    <cfRule type="duplicateValues" dxfId="15" priority="7"/>
  </conditionalFormatting>
  <conditionalFormatting sqref="C110">
    <cfRule type="duplicateValues" dxfId="15" priority="6"/>
  </conditionalFormatting>
  <conditionalFormatting sqref="C111">
    <cfRule type="duplicateValues" dxfId="15" priority="5"/>
  </conditionalFormatting>
  <conditionalFormatting sqref="C112">
    <cfRule type="duplicateValues" dxfId="15" priority="4"/>
  </conditionalFormatting>
  <conditionalFormatting sqref="C113">
    <cfRule type="duplicateValues" dxfId="15" priority="3"/>
  </conditionalFormatting>
  <conditionalFormatting sqref="C114">
    <cfRule type="duplicateValues" dxfId="15" priority="2"/>
  </conditionalFormatting>
  <conditionalFormatting sqref="C115">
    <cfRule type="duplicateValues" dxfId="15" priority="1"/>
  </conditionalFormatting>
  <conditionalFormatting sqref="C116">
    <cfRule type="duplicateValues" dxfId="15" priority="8"/>
  </conditionalFormatting>
  <conditionalFormatting sqref="C117">
    <cfRule type="duplicateValues" dxfId="15" priority="50"/>
  </conditionalFormatting>
  <conditionalFormatting sqref="C118">
    <cfRule type="duplicateValues" dxfId="15" priority="46"/>
  </conditionalFormatting>
  <conditionalFormatting sqref="C122">
    <cfRule type="duplicateValues" dxfId="15" priority="58"/>
  </conditionalFormatting>
  <conditionalFormatting sqref="C107:C108">
    <cfRule type="duplicateValues" dxfId="15" priority="16"/>
  </conditionalFormatting>
  <conditionalFormatting sqref="C119:C120">
    <cfRule type="duplicateValues" dxfId="15" priority="49"/>
  </conditionalFormatting>
  <conditionalFormatting sqref="C1:C7 C125:C1048576">
    <cfRule type="duplicateValues" dxfId="15" priority="1049"/>
  </conditionalFormatting>
  <conditionalFormatting sqref="C54 C123">
    <cfRule type="duplicateValues" dxfId="15" priority="204"/>
  </conditionalFormatting>
  <conditionalFormatting sqref="C102 C104:C106 C121">
    <cfRule type="duplicateValues" dxfId="15" priority="55"/>
  </conditionalFormatting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I101"/>
  <sheetViews>
    <sheetView showGridLines="0" zoomScale="80" zoomScaleNormal="80" workbookViewId="0">
      <pane xSplit="9" ySplit="3" topLeftCell="J68" activePane="bottomRight" state="frozen"/>
      <selection/>
      <selection pane="topRight"/>
      <selection pane="bottomLeft"/>
      <selection pane="bottomRight" activeCell="J87" sqref="J87"/>
    </sheetView>
  </sheetViews>
  <sheetFormatPr defaultColWidth="10.8333333333333" defaultRowHeight="17.6"/>
  <cols>
    <col min="1" max="1" width="20.15" style="97" customWidth="1"/>
    <col min="2" max="2" width="14.8333333333333" style="97" customWidth="1"/>
    <col min="3" max="3" width="13.4333333333333" style="97" customWidth="1"/>
    <col min="4" max="4" width="9.68333333333333" style="97" customWidth="1"/>
    <col min="5" max="6" width="7.625" style="97" customWidth="1"/>
    <col min="7" max="7" width="9.525" style="97" customWidth="1"/>
    <col min="8" max="8" width="12.75" style="98" customWidth="1"/>
    <col min="9" max="9" width="12.75" style="99" customWidth="1"/>
    <col min="10" max="10" width="14.8333333333333" style="100" customWidth="1"/>
    <col min="11" max="11" width="13.5" style="99" customWidth="1"/>
    <col min="12" max="12" width="12.6666666666667" style="100" customWidth="1"/>
    <col min="13" max="13" width="12.6666666666667" style="99" customWidth="1"/>
    <col min="14" max="15" width="12.6666666666667" style="100" customWidth="1"/>
    <col min="16" max="18" width="13.925" style="100" customWidth="1"/>
    <col min="19" max="19" width="12.6666666666667" style="100" customWidth="1"/>
    <col min="20" max="20" width="13.925" style="100" customWidth="1"/>
    <col min="21" max="21" width="12.6666666666667" style="101" customWidth="1"/>
    <col min="22" max="22" width="12.6666666666667" style="100" customWidth="1"/>
    <col min="23" max="23" width="15.3166666666667" style="102" customWidth="1"/>
    <col min="24" max="27" width="11.1916666666667" style="99" hidden="1" customWidth="1"/>
    <col min="28" max="28" width="12.6666666666667" style="99" hidden="1" customWidth="1"/>
    <col min="29" max="30" width="12.6666666666667" style="101" hidden="1" customWidth="1"/>
    <col min="31" max="31" width="12.6666666666667" style="99" hidden="1" customWidth="1"/>
    <col min="32" max="32" width="15.7833333333333" style="103" hidden="1" customWidth="1"/>
    <col min="33" max="33" width="19.025" style="103" customWidth="1"/>
    <col min="34" max="34" width="45.4333333333333" style="103" customWidth="1"/>
    <col min="35" max="35" width="23.9" customWidth="1"/>
  </cols>
  <sheetData>
    <row r="1" s="94" customFormat="1" ht="35" customHeight="1" spans="1:35">
      <c r="A1" s="104"/>
      <c r="B1" s="104"/>
      <c r="C1" s="104"/>
      <c r="D1" s="104"/>
      <c r="E1" s="104"/>
      <c r="F1" s="104"/>
      <c r="G1" s="104"/>
      <c r="H1" s="105"/>
      <c r="I1" s="106"/>
      <c r="J1" s="107"/>
      <c r="K1" s="106"/>
      <c r="L1" s="478" t="s">
        <v>690</v>
      </c>
      <c r="M1" s="106"/>
      <c r="N1" s="478" t="s">
        <v>691</v>
      </c>
      <c r="O1" s="107"/>
      <c r="P1" s="107"/>
      <c r="Q1" s="107"/>
      <c r="R1" s="107"/>
      <c r="S1" s="478" t="s">
        <v>692</v>
      </c>
      <c r="T1" s="107"/>
      <c r="U1" s="106"/>
      <c r="V1" s="478" t="s">
        <v>693</v>
      </c>
      <c r="W1" s="479" t="s">
        <v>694</v>
      </c>
      <c r="X1" s="106"/>
      <c r="Y1" s="106"/>
      <c r="Z1" s="106"/>
      <c r="AA1" s="106"/>
      <c r="AB1" s="106"/>
      <c r="AC1" s="106"/>
      <c r="AD1" s="106"/>
      <c r="AE1" s="106"/>
      <c r="AF1" s="104"/>
      <c r="AG1" s="104"/>
      <c r="AH1" s="104"/>
      <c r="AI1"/>
    </row>
    <row r="2" s="95" customFormat="1" ht="35" customHeight="1" spans="1:35">
      <c r="A2" s="110"/>
      <c r="B2" s="110"/>
      <c r="C2" s="110"/>
      <c r="D2" s="110"/>
      <c r="E2" s="110"/>
      <c r="F2" s="110"/>
      <c r="G2" s="110"/>
      <c r="H2" s="111"/>
      <c r="I2" s="112"/>
      <c r="J2" s="113"/>
      <c r="K2" s="114" t="s">
        <v>695</v>
      </c>
      <c r="L2" s="115"/>
      <c r="M2" s="116" t="s">
        <v>696</v>
      </c>
      <c r="N2" s="115"/>
      <c r="O2" s="117" t="s">
        <v>697</v>
      </c>
      <c r="P2" s="117"/>
      <c r="Q2" s="117"/>
      <c r="R2" s="117"/>
      <c r="S2" s="118"/>
      <c r="T2" s="119"/>
      <c r="U2" s="120"/>
      <c r="V2" s="121"/>
      <c r="W2" s="122"/>
      <c r="X2" s="116"/>
      <c r="Y2" s="115" t="s">
        <v>698</v>
      </c>
      <c r="Z2" s="116"/>
      <c r="AA2" s="115" t="s">
        <v>698</v>
      </c>
      <c r="AB2" s="120"/>
      <c r="AC2" s="120"/>
      <c r="AD2" s="120"/>
      <c r="AE2" s="122"/>
      <c r="AF2" s="119"/>
      <c r="AG2" s="110"/>
      <c r="AH2" s="110"/>
      <c r="AI2"/>
    </row>
    <row r="3" ht="33" customHeight="1" spans="1:35">
      <c r="A3" s="123" t="s">
        <v>605</v>
      </c>
      <c r="B3" s="123" t="s">
        <v>699</v>
      </c>
      <c r="C3" s="123" t="s">
        <v>55</v>
      </c>
      <c r="D3" s="123" t="s">
        <v>186</v>
      </c>
      <c r="E3" s="123" t="s">
        <v>187</v>
      </c>
      <c r="F3" s="123" t="s">
        <v>188</v>
      </c>
      <c r="G3" s="123" t="s">
        <v>189</v>
      </c>
      <c r="H3" s="124" t="s">
        <v>700</v>
      </c>
      <c r="I3" s="123" t="s">
        <v>191</v>
      </c>
      <c r="J3" s="125" t="s">
        <v>195</v>
      </c>
      <c r="K3" s="126" t="s">
        <v>695</v>
      </c>
      <c r="L3" s="127" t="s">
        <v>701</v>
      </c>
      <c r="M3" s="123" t="s">
        <v>696</v>
      </c>
      <c r="N3" s="127" t="s">
        <v>702</v>
      </c>
      <c r="O3" s="128" t="s">
        <v>703</v>
      </c>
      <c r="P3" s="123" t="s">
        <v>704</v>
      </c>
      <c r="Q3" s="123" t="s">
        <v>705</v>
      </c>
      <c r="R3" s="123" t="s">
        <v>706</v>
      </c>
      <c r="S3" s="129" t="s">
        <v>707</v>
      </c>
      <c r="T3" s="123" t="s">
        <v>708</v>
      </c>
      <c r="U3" s="130" t="s">
        <v>709</v>
      </c>
      <c r="V3" s="127" t="s">
        <v>710</v>
      </c>
      <c r="W3" s="131" t="s">
        <v>197</v>
      </c>
      <c r="X3" s="123" t="s">
        <v>711</v>
      </c>
      <c r="Y3" s="129" t="s">
        <v>712</v>
      </c>
      <c r="Z3" s="123" t="s">
        <v>713</v>
      </c>
      <c r="AA3" s="129" t="s">
        <v>714</v>
      </c>
      <c r="AB3" s="130" t="s">
        <v>715</v>
      </c>
      <c r="AC3" s="130" t="s">
        <v>716</v>
      </c>
      <c r="AD3" s="130" t="s">
        <v>717</v>
      </c>
      <c r="AE3" s="129" t="s">
        <v>718</v>
      </c>
      <c r="AF3" s="123" t="s">
        <v>719</v>
      </c>
      <c r="AG3" s="123" t="s">
        <v>720</v>
      </c>
      <c r="AH3" s="123" t="s">
        <v>721</v>
      </c>
    </row>
    <row r="4" s="96" customFormat="1" ht="23" customHeight="1" outlineLevel="1" spans="1:35">
      <c r="A4" s="26" t="str">
        <f t="shared" ref="A4:A67" si="0">C4&amp;I4</f>
        <v>开弈信息张毅</v>
      </c>
      <c r="B4" s="26" t="str">
        <f>VLOOKUP($A4,薪酬明细!$A:$G,2,0)</f>
        <v>G-集团管理层</v>
      </c>
      <c r="C4" s="26" t="s">
        <v>57</v>
      </c>
      <c r="D4" s="26" t="str">
        <f>VLOOKUP($A4,薪酬明细!$A:$G,4,0)</f>
        <v>正常计税</v>
      </c>
      <c r="E4" s="26" t="str">
        <f>VLOOKUP($A4,薪酬明细!$A:$G,5,0)</f>
        <v>总裁办</v>
      </c>
      <c r="F4" s="26" t="str">
        <f>VLOOKUP($A4,薪酬明细!$A:$G,6,0)</f>
        <v>张毅</v>
      </c>
      <c r="G4" s="26" t="str">
        <f>VLOOKUP($A4,薪酬明细!$A:$G,7,0)</f>
        <v>执行董事&amp;CEO</v>
      </c>
      <c r="H4" s="132">
        <v>38922</v>
      </c>
      <c r="I4" s="52" t="s">
        <v>134</v>
      </c>
      <c r="J4" s="133">
        <v>30000</v>
      </c>
      <c r="K4" s="134"/>
      <c r="L4" s="135"/>
      <c r="M4" s="136"/>
      <c r="N4" s="135">
        <f t="shared" ref="N4:N25" si="1">-ROUND(J4/21.75*M4,2)</f>
        <v>0</v>
      </c>
      <c r="O4" s="137"/>
      <c r="P4" s="138"/>
      <c r="Q4" s="138"/>
      <c r="R4" s="138"/>
      <c r="S4" s="135"/>
      <c r="T4" s="137"/>
      <c r="U4" s="72"/>
      <c r="V4" s="135"/>
      <c r="W4" s="139">
        <f>L4+N4+S4+V4</f>
        <v>0</v>
      </c>
      <c r="X4" s="136"/>
      <c r="Y4" s="136"/>
      <c r="Z4" s="136">
        <v>0</v>
      </c>
      <c r="AA4" s="140"/>
      <c r="AB4" s="141"/>
      <c r="AC4" s="72"/>
      <c r="AD4" s="72"/>
      <c r="AE4" s="142"/>
      <c r="AF4" s="143"/>
      <c r="AG4" s="144"/>
      <c r="AH4" s="144"/>
      <c r="AI4" t="str">
        <f>VLOOKUP(A4,薪酬明细!A:A,1,0)</f>
        <v>开弈信息张毅</v>
      </c>
    </row>
    <row r="5" s="96" customFormat="1" ht="23" customHeight="1" outlineLevel="1" spans="1:35">
      <c r="A5" s="26" t="str">
        <f t="shared" si="0"/>
        <v>人力资源研究院王妤扬</v>
      </c>
      <c r="B5" s="26" t="str">
        <f>VLOOKUP($A5,薪酬明细!$A:$G,2,0)</f>
        <v>C-大后台-法务</v>
      </c>
      <c r="C5" s="26" t="s">
        <v>75</v>
      </c>
      <c r="D5" s="26" t="str">
        <f>VLOOKUP($A5,薪酬明细!$A:$G,4,0)</f>
        <v>正常计税</v>
      </c>
      <c r="E5" s="26" t="str">
        <f>VLOOKUP($A5,薪酬明细!$A:$G,5,0)</f>
        <v>法务部</v>
      </c>
      <c r="F5" s="26" t="str">
        <f>VLOOKUP($A5,薪酬明细!$A:$G,6,0)</f>
        <v>张毅</v>
      </c>
      <c r="G5" s="26" t="str">
        <f>VLOOKUP($A5,薪酬明细!$A:$G,7,0)</f>
        <v>法务经理</v>
      </c>
      <c r="H5" s="132">
        <v>42186</v>
      </c>
      <c r="I5" s="52" t="s">
        <v>400</v>
      </c>
      <c r="J5" s="133">
        <v>12000</v>
      </c>
      <c r="K5" s="134">
        <v>0</v>
      </c>
      <c r="L5" s="135">
        <f>-ROUND(J5/21.75*K5*30%,2)</f>
        <v>0</v>
      </c>
      <c r="M5" s="136">
        <v>0</v>
      </c>
      <c r="N5" s="135">
        <f t="shared" si="1"/>
        <v>0</v>
      </c>
      <c r="O5" s="137"/>
      <c r="P5" s="138"/>
      <c r="Q5" s="138"/>
      <c r="R5" s="138"/>
      <c r="S5" s="135"/>
      <c r="T5" s="137"/>
      <c r="U5" s="72">
        <v>0</v>
      </c>
      <c r="V5" s="135"/>
      <c r="W5" s="139">
        <f t="shared" ref="W5:W36" si="2">L5+N5+S5+V5</f>
        <v>0</v>
      </c>
      <c r="X5" s="136">
        <v>0</v>
      </c>
      <c r="Y5" s="136">
        <v>1</v>
      </c>
      <c r="Z5" s="136">
        <v>0</v>
      </c>
      <c r="AA5" s="140">
        <v>0.5</v>
      </c>
      <c r="AB5" s="141">
        <v>0</v>
      </c>
      <c r="AC5" s="72">
        <v>0</v>
      </c>
      <c r="AD5" s="72">
        <v>0</v>
      </c>
      <c r="AE5" s="142">
        <v>0</v>
      </c>
      <c r="AF5" s="143"/>
      <c r="AG5" s="144">
        <v>0</v>
      </c>
      <c r="AH5" s="144" t="s">
        <v>722</v>
      </c>
      <c r="AI5" t="str">
        <f>VLOOKUP(A5,薪酬明细!A:A,1,0)</f>
        <v>人力资源研究院王妤扬</v>
      </c>
    </row>
    <row r="6" s="96" customFormat="1" ht="23" customHeight="1" outlineLevel="1" spans="1:35">
      <c r="A6" s="26" t="str">
        <f t="shared" si="0"/>
        <v>开弈中国王妤扬</v>
      </c>
      <c r="B6" s="26" t="str">
        <f>VLOOKUP($A6,薪酬明细!$A:$G,2,0)</f>
        <v>C-大后台-法务</v>
      </c>
      <c r="C6" s="26" t="s">
        <v>58</v>
      </c>
      <c r="D6" s="26" t="str">
        <f>VLOOKUP($A6,薪酬明细!$A:$G,4,0)</f>
        <v>国内不计税</v>
      </c>
      <c r="E6" s="26" t="str">
        <f>VLOOKUP($A6,薪酬明细!$A:$G,5,0)</f>
        <v>法务部</v>
      </c>
      <c r="F6" s="26" t="str">
        <f>VLOOKUP($A6,薪酬明细!$A:$G,6,0)</f>
        <v>张毅</v>
      </c>
      <c r="G6" s="26" t="str">
        <f>VLOOKUP($A6,薪酬明细!$A:$G,7,0)</f>
        <v>法务经理</v>
      </c>
      <c r="H6" s="132">
        <v>42186</v>
      </c>
      <c r="I6" s="52" t="s">
        <v>400</v>
      </c>
      <c r="J6" s="133">
        <v>20000</v>
      </c>
      <c r="K6" s="134">
        <v>0</v>
      </c>
      <c r="L6" s="135">
        <f>-ROUND(J6/21.75*K6*30%,2)</f>
        <v>0</v>
      </c>
      <c r="M6" s="136">
        <v>0</v>
      </c>
      <c r="N6" s="135">
        <f t="shared" si="1"/>
        <v>0</v>
      </c>
      <c r="O6" s="137"/>
      <c r="P6" s="138"/>
      <c r="Q6" s="138"/>
      <c r="R6" s="138"/>
      <c r="S6" s="135"/>
      <c r="T6" s="137"/>
      <c r="U6" s="72">
        <v>0</v>
      </c>
      <c r="V6" s="135"/>
      <c r="W6" s="139">
        <f t="shared" si="2"/>
        <v>0</v>
      </c>
      <c r="X6" s="136">
        <v>0</v>
      </c>
      <c r="Y6" s="136">
        <v>1</v>
      </c>
      <c r="Z6" s="136">
        <v>0</v>
      </c>
      <c r="AA6" s="140">
        <v>0.5</v>
      </c>
      <c r="AB6" s="141">
        <v>0</v>
      </c>
      <c r="AC6" s="72">
        <v>0</v>
      </c>
      <c r="AD6" s="72">
        <v>0</v>
      </c>
      <c r="AE6" s="142">
        <v>0</v>
      </c>
      <c r="AF6" s="143"/>
      <c r="AG6" s="144">
        <v>0</v>
      </c>
      <c r="AH6" s="144" t="s">
        <v>722</v>
      </c>
      <c r="AI6" t="str">
        <f>VLOOKUP(A6,薪酬明细!A:A,1,0)</f>
        <v>开弈中国王妤扬</v>
      </c>
    </row>
    <row r="7" s="96" customFormat="1" ht="23" customHeight="1" outlineLevel="1" spans="1:35">
      <c r="A7" s="26" t="str">
        <f t="shared" si="0"/>
        <v>靠普人力季嘉莉</v>
      </c>
      <c r="B7" s="26" t="str">
        <f>VLOOKUP($A7,薪酬明细!$A:$G,2,0)</f>
        <v>F-账务部</v>
      </c>
      <c r="C7" s="26" t="s">
        <v>63</v>
      </c>
      <c r="D7" s="26" t="str">
        <f>VLOOKUP($A7,薪酬明细!$A:$G,4,0)</f>
        <v>正常计税</v>
      </c>
      <c r="E7" s="26" t="str">
        <f>VLOOKUP($A7,薪酬明细!$A:$G,5,0)</f>
        <v>账务部</v>
      </c>
      <c r="F7" s="26" t="str">
        <f>VLOOKUP($A7,薪酬明细!$A:$G,6,0)</f>
        <v>黄欢欢</v>
      </c>
      <c r="G7" s="26" t="str">
        <f>VLOOKUP($A7,薪酬明细!$A:$G,7,0)</f>
        <v>账务专员</v>
      </c>
      <c r="H7" s="132">
        <v>43234</v>
      </c>
      <c r="I7" s="52" t="s">
        <v>427</v>
      </c>
      <c r="J7" s="133">
        <v>9000</v>
      </c>
      <c r="K7" s="134">
        <v>0</v>
      </c>
      <c r="L7" s="135">
        <v>0</v>
      </c>
      <c r="M7" s="136">
        <v>0</v>
      </c>
      <c r="N7" s="135">
        <f t="shared" si="1"/>
        <v>0</v>
      </c>
      <c r="O7" s="137"/>
      <c r="P7" s="138"/>
      <c r="Q7" s="138"/>
      <c r="R7" s="138"/>
      <c r="S7" s="135"/>
      <c r="T7" s="137"/>
      <c r="U7" s="72">
        <v>0</v>
      </c>
      <c r="V7" s="135"/>
      <c r="W7" s="139">
        <f t="shared" si="2"/>
        <v>0</v>
      </c>
      <c r="X7" s="136">
        <v>0</v>
      </c>
      <c r="Y7" s="136">
        <v>0</v>
      </c>
      <c r="Z7" s="136">
        <v>0</v>
      </c>
      <c r="AA7" s="140">
        <v>0</v>
      </c>
      <c r="AB7" s="141">
        <v>0</v>
      </c>
      <c r="AC7" s="72">
        <v>0</v>
      </c>
      <c r="AD7" s="72">
        <v>0</v>
      </c>
      <c r="AE7" s="142">
        <v>0</v>
      </c>
      <c r="AF7" s="143"/>
      <c r="AG7" s="144">
        <v>0</v>
      </c>
      <c r="AH7" s="144">
        <v>0</v>
      </c>
      <c r="AI7" t="str">
        <f>VLOOKUP(A7,薪酬明细!A:A,1,0)</f>
        <v>靠普人力季嘉莉</v>
      </c>
    </row>
    <row r="8" s="96" customFormat="1" ht="23" customHeight="1" outlineLevel="1" spans="1:35">
      <c r="A8" s="26" t="str">
        <f t="shared" si="0"/>
        <v>开弈人力资源黄一萧</v>
      </c>
      <c r="B8" s="26" t="str">
        <f>VLOOKUP($A8,薪酬明细!$A:$G,2,0)</f>
        <v>Shaun-客服部</v>
      </c>
      <c r="C8" s="26" t="s">
        <v>61</v>
      </c>
      <c r="D8" s="26" t="str">
        <f>VLOOKUP($A8,薪酬明细!$A:$G,4,0)</f>
        <v>正常计税</v>
      </c>
      <c r="E8" s="26" t="str">
        <f>VLOOKUP($A8,薪酬明细!$A:$G,5,0)</f>
        <v>客服部（S）</v>
      </c>
      <c r="F8" s="26" t="str">
        <f>VLOOKUP($A8,薪酬明细!$A:$G,6,0)</f>
        <v>张毅</v>
      </c>
      <c r="G8" s="26" t="str">
        <f>VLOOKUP($A8,薪酬明细!$A:$G,7,0)</f>
        <v>客服总监</v>
      </c>
      <c r="H8" s="132">
        <v>39661</v>
      </c>
      <c r="I8" s="52" t="s">
        <v>121</v>
      </c>
      <c r="J8" s="133">
        <v>17100</v>
      </c>
      <c r="K8" s="134">
        <v>0</v>
      </c>
      <c r="L8" s="135"/>
      <c r="M8" s="136">
        <v>0</v>
      </c>
      <c r="N8" s="135">
        <f t="shared" si="1"/>
        <v>0</v>
      </c>
      <c r="O8" s="137"/>
      <c r="P8" s="138"/>
      <c r="Q8" s="138"/>
      <c r="R8" s="138"/>
      <c r="S8" s="135"/>
      <c r="T8" s="137"/>
      <c r="U8" s="72">
        <v>0</v>
      </c>
      <c r="V8" s="135"/>
      <c r="W8" s="139">
        <f t="shared" si="2"/>
        <v>0</v>
      </c>
      <c r="X8" s="136">
        <v>0</v>
      </c>
      <c r="Y8" s="136">
        <v>0</v>
      </c>
      <c r="Z8" s="136">
        <v>0</v>
      </c>
      <c r="AA8" s="140">
        <v>0</v>
      </c>
      <c r="AB8" s="141">
        <v>0</v>
      </c>
      <c r="AC8" s="72">
        <v>0</v>
      </c>
      <c r="AD8" s="72">
        <v>0</v>
      </c>
      <c r="AE8" s="142">
        <v>0</v>
      </c>
      <c r="AF8" s="143" t="s">
        <v>723</v>
      </c>
      <c r="AG8" s="144">
        <v>0</v>
      </c>
      <c r="AH8" s="144">
        <v>0</v>
      </c>
      <c r="AI8" t="str">
        <f>VLOOKUP(A8,薪酬明细!A:A,1,0)</f>
        <v>开弈人力资源黄一萧</v>
      </c>
    </row>
    <row r="9" s="96" customFormat="1" ht="23" customHeight="1" outlineLevel="1" spans="1:35">
      <c r="A9" s="26" t="str">
        <f t="shared" si="0"/>
        <v>开弈人力资源肖宝仙</v>
      </c>
      <c r="B9" s="26" t="str">
        <f>VLOOKUP($A9,薪酬明细!$A:$G,2,0)</f>
        <v>Shaun-客服部</v>
      </c>
      <c r="C9" s="26" t="s">
        <v>61</v>
      </c>
      <c r="D9" s="26" t="str">
        <f>VLOOKUP($A9,薪酬明细!$A:$G,4,0)</f>
        <v>正常计税</v>
      </c>
      <c r="E9" s="26" t="str">
        <f>VLOOKUP($A9,薪酬明细!$A:$G,5,0)</f>
        <v>客服部（S）</v>
      </c>
      <c r="F9" s="26" t="str">
        <f>VLOOKUP($A9,薪酬明细!$A:$G,6,0)</f>
        <v>黄一萧</v>
      </c>
      <c r="G9" s="26" t="str">
        <f>VLOOKUP($A9,薪酬明细!$A:$G,7,0)</f>
        <v>顾问</v>
      </c>
      <c r="H9" s="132" t="s">
        <v>121</v>
      </c>
      <c r="I9" s="52" t="s">
        <v>312</v>
      </c>
      <c r="J9" s="133">
        <v>10000</v>
      </c>
      <c r="K9" s="134"/>
      <c r="L9" s="135"/>
      <c r="M9" s="136"/>
      <c r="N9" s="135">
        <f t="shared" si="1"/>
        <v>0</v>
      </c>
      <c r="O9" s="137"/>
      <c r="P9" s="138"/>
      <c r="Q9" s="138"/>
      <c r="R9" s="138"/>
      <c r="S9" s="135"/>
      <c r="T9" s="137"/>
      <c r="U9" s="72"/>
      <c r="V9" s="135"/>
      <c r="W9" s="139">
        <f t="shared" si="2"/>
        <v>0</v>
      </c>
      <c r="X9" s="136"/>
      <c r="Y9" s="136"/>
      <c r="Z9" s="136"/>
      <c r="AA9" s="140"/>
      <c r="AB9" s="141"/>
      <c r="AC9" s="72"/>
      <c r="AD9" s="72"/>
      <c r="AE9" s="142"/>
      <c r="AF9" s="143"/>
      <c r="AG9" s="144"/>
      <c r="AH9" s="144"/>
      <c r="AI9" t="str">
        <f>VLOOKUP(A9,薪酬明细!A:A,1,0)</f>
        <v>开弈人力资源肖宝仙</v>
      </c>
    </row>
    <row r="10" s="96" customFormat="1" ht="23" customHeight="1" outlineLevel="1" spans="1:35">
      <c r="A10" s="26" t="str">
        <f t="shared" si="0"/>
        <v>开弈人力资源杨漾</v>
      </c>
      <c r="B10" s="26" t="str">
        <f>VLOOKUP($A10,薪酬明细!$A:$G,2,0)</f>
        <v>Shaun-客服部</v>
      </c>
      <c r="C10" s="26" t="s">
        <v>61</v>
      </c>
      <c r="D10" s="26" t="str">
        <f>VLOOKUP($A10,薪酬明细!$A:$G,4,0)</f>
        <v>正常计税</v>
      </c>
      <c r="E10" s="26" t="str">
        <f>VLOOKUP($A10,薪酬明细!$A:$G,5,0)</f>
        <v>客服部（S）</v>
      </c>
      <c r="F10" s="26" t="str">
        <f>VLOOKUP($A10,薪酬明细!$A:$G,6,0)</f>
        <v>黄一萧</v>
      </c>
      <c r="G10" s="26" t="str">
        <f>VLOOKUP($A10,薪酬明细!$A:$G,7,0)</f>
        <v>客服主管</v>
      </c>
      <c r="H10" s="132">
        <v>40725</v>
      </c>
      <c r="I10" s="52" t="s">
        <v>306</v>
      </c>
      <c r="J10" s="133">
        <v>20000</v>
      </c>
      <c r="K10" s="134">
        <v>0</v>
      </c>
      <c r="L10" s="135"/>
      <c r="M10" s="136">
        <v>0</v>
      </c>
      <c r="N10" s="135">
        <f t="shared" si="1"/>
        <v>0</v>
      </c>
      <c r="O10" s="137"/>
      <c r="P10" s="138"/>
      <c r="Q10" s="138"/>
      <c r="R10" s="138"/>
      <c r="S10" s="135"/>
      <c r="T10" s="137"/>
      <c r="U10" s="72">
        <v>0</v>
      </c>
      <c r="V10" s="135"/>
      <c r="W10" s="139">
        <f t="shared" si="2"/>
        <v>0</v>
      </c>
      <c r="X10" s="136">
        <v>0</v>
      </c>
      <c r="Y10" s="136">
        <v>0</v>
      </c>
      <c r="Z10" s="136">
        <v>0</v>
      </c>
      <c r="AA10" s="140">
        <v>0</v>
      </c>
      <c r="AB10" s="141">
        <v>0</v>
      </c>
      <c r="AC10" s="72">
        <v>0</v>
      </c>
      <c r="AD10" s="72">
        <v>0</v>
      </c>
      <c r="AE10" s="142">
        <v>0</v>
      </c>
      <c r="AF10" s="143" t="s">
        <v>723</v>
      </c>
      <c r="AG10" s="144">
        <v>0</v>
      </c>
      <c r="AH10" s="144">
        <v>0</v>
      </c>
      <c r="AI10" t="str">
        <f>VLOOKUP(A10,薪酬明细!A:A,1,0)</f>
        <v>开弈人力资源杨漾</v>
      </c>
    </row>
    <row r="11" s="96" customFormat="1" ht="23" customHeight="1" outlineLevel="1" spans="1:35">
      <c r="A11" s="26" t="str">
        <f t="shared" si="0"/>
        <v>开弈人力资源裘碧钰</v>
      </c>
      <c r="B11" s="26" t="str">
        <f>VLOOKUP($A11,薪酬明细!$A:$G,2,0)</f>
        <v>Shaun-客服部</v>
      </c>
      <c r="C11" s="26" t="s">
        <v>61</v>
      </c>
      <c r="D11" s="26" t="str">
        <f>VLOOKUP($A11,薪酬明细!$A:$G,4,0)</f>
        <v>正常计税</v>
      </c>
      <c r="E11" s="26" t="str">
        <f>VLOOKUP($A11,薪酬明细!$A:$G,5,0)</f>
        <v>客服部（S）</v>
      </c>
      <c r="F11" s="26" t="str">
        <f>VLOOKUP($A11,薪酬明细!$A:$G,6,0)</f>
        <v>杨漾</v>
      </c>
      <c r="G11" s="26" t="str">
        <f>VLOOKUP($A11,薪酬明细!$A:$G,7,0)</f>
        <v>客服专员</v>
      </c>
      <c r="H11" s="132">
        <v>42794</v>
      </c>
      <c r="I11" s="52" t="s">
        <v>326</v>
      </c>
      <c r="J11" s="133">
        <v>10000</v>
      </c>
      <c r="K11" s="134">
        <v>0</v>
      </c>
      <c r="L11" s="135">
        <f>-ROUND(J11/21.75*K11*10%,2)</f>
        <v>0</v>
      </c>
      <c r="M11" s="136">
        <v>0</v>
      </c>
      <c r="N11" s="135">
        <f t="shared" si="1"/>
        <v>0</v>
      </c>
      <c r="O11" s="137"/>
      <c r="P11" s="138"/>
      <c r="Q11" s="138"/>
      <c r="R11" s="138"/>
      <c r="S11" s="135"/>
      <c r="T11" s="137"/>
      <c r="U11" s="72">
        <v>0</v>
      </c>
      <c r="V11" s="135"/>
      <c r="W11" s="139">
        <f t="shared" si="2"/>
        <v>0</v>
      </c>
      <c r="X11" s="136">
        <v>0</v>
      </c>
      <c r="Y11" s="136">
        <v>0</v>
      </c>
      <c r="Z11" s="136">
        <v>0</v>
      </c>
      <c r="AA11" s="140">
        <v>0</v>
      </c>
      <c r="AB11" s="141">
        <v>0</v>
      </c>
      <c r="AC11" s="72">
        <v>0</v>
      </c>
      <c r="AD11" s="72">
        <v>0</v>
      </c>
      <c r="AE11" s="142">
        <v>0</v>
      </c>
      <c r="AF11" s="143"/>
      <c r="AG11" s="144">
        <v>0</v>
      </c>
      <c r="AH11" s="144">
        <v>0</v>
      </c>
      <c r="AI11" t="str">
        <f>VLOOKUP(A11,薪酬明细!A:A,1,0)</f>
        <v>开弈人力资源裘碧钰</v>
      </c>
    </row>
    <row r="12" s="96" customFormat="1" ht="23" customHeight="1" outlineLevel="1" spans="1:35">
      <c r="A12" s="26" t="str">
        <f t="shared" si="0"/>
        <v>开弈人力资源沈丽霞</v>
      </c>
      <c r="B12" s="26" t="str">
        <f>VLOOKUP($A12,薪酬明细!$A:$G,2,0)</f>
        <v>Shaun-客服部</v>
      </c>
      <c r="C12" s="26" t="s">
        <v>61</v>
      </c>
      <c r="D12" s="26" t="str">
        <f>VLOOKUP($A12,薪酬明细!$A:$G,4,0)</f>
        <v>正常计税</v>
      </c>
      <c r="E12" s="26" t="str">
        <f>VLOOKUP($A12,薪酬明细!$A:$G,5,0)</f>
        <v>客服部（S）</v>
      </c>
      <c r="F12" s="26" t="str">
        <f>VLOOKUP($A12,薪酬明细!$A:$G,6,0)</f>
        <v>杨漾</v>
      </c>
      <c r="G12" s="26" t="str">
        <f>VLOOKUP($A12,薪酬明细!$A:$G,7,0)</f>
        <v>客服专员</v>
      </c>
      <c r="H12" s="132">
        <v>41925</v>
      </c>
      <c r="I12" s="52" t="s">
        <v>330</v>
      </c>
      <c r="J12" s="133">
        <v>11000</v>
      </c>
      <c r="K12" s="134">
        <v>0</v>
      </c>
      <c r="L12" s="135"/>
      <c r="M12" s="136">
        <v>0</v>
      </c>
      <c r="N12" s="135">
        <f t="shared" si="1"/>
        <v>0</v>
      </c>
      <c r="O12" s="137"/>
      <c r="P12" s="138"/>
      <c r="Q12" s="138"/>
      <c r="R12" s="138"/>
      <c r="S12" s="135"/>
      <c r="T12" s="137"/>
      <c r="U12" s="72">
        <v>0</v>
      </c>
      <c r="V12" s="135">
        <f>-ROUND(J12/21.75*U12,2)</f>
        <v>0</v>
      </c>
      <c r="W12" s="139">
        <f t="shared" si="2"/>
        <v>0</v>
      </c>
      <c r="X12" s="136">
        <v>0</v>
      </c>
      <c r="Y12" s="136">
        <v>0.5</v>
      </c>
      <c r="Z12" s="136">
        <v>0</v>
      </c>
      <c r="AA12" s="140">
        <v>0</v>
      </c>
      <c r="AB12" s="141">
        <v>0</v>
      </c>
      <c r="AC12" s="72">
        <v>0</v>
      </c>
      <c r="AD12" s="72">
        <v>0</v>
      </c>
      <c r="AE12" s="142">
        <v>0</v>
      </c>
      <c r="AF12" s="143"/>
      <c r="AG12" s="144">
        <v>0</v>
      </c>
      <c r="AH12" s="144" t="s">
        <v>724</v>
      </c>
      <c r="AI12" t="str">
        <f>VLOOKUP(A12,薪酬明细!A:A,1,0)</f>
        <v>开弈人力资源沈丽霞</v>
      </c>
    </row>
    <row r="13" s="96" customFormat="1" ht="23" customHeight="1" outlineLevel="1" spans="1:35">
      <c r="A13" s="26" t="str">
        <f t="shared" si="0"/>
        <v>开弈人力资源葛豪平</v>
      </c>
      <c r="B13" s="26" t="str">
        <f>VLOOKUP($A13,薪酬明细!$A:$G,2,0)</f>
        <v>Shaun-雇员服务部</v>
      </c>
      <c r="C13" s="26" t="s">
        <v>61</v>
      </c>
      <c r="D13" s="26" t="str">
        <f>VLOOKUP($A13,薪酬明细!$A:$G,4,0)</f>
        <v>正常计税</v>
      </c>
      <c r="E13" s="26" t="str">
        <f>VLOOKUP($A13,薪酬明细!$A:$G,5,0)</f>
        <v>社保部</v>
      </c>
      <c r="F13" s="26" t="str">
        <f>VLOOKUP($A13,薪酬明细!$A:$G,6,0)</f>
        <v>黄一萧</v>
      </c>
      <c r="G13" s="26" t="str">
        <f>VLOOKUP($A13,薪酬明细!$A:$G,7,0)</f>
        <v>社保经理</v>
      </c>
      <c r="H13" s="132">
        <v>40867</v>
      </c>
      <c r="I13" s="52" t="s">
        <v>262</v>
      </c>
      <c r="J13" s="133">
        <v>15000</v>
      </c>
      <c r="K13" s="134">
        <v>0</v>
      </c>
      <c r="L13" s="135"/>
      <c r="M13" s="136">
        <v>0</v>
      </c>
      <c r="N13" s="135">
        <f t="shared" si="1"/>
        <v>0</v>
      </c>
      <c r="O13" s="137"/>
      <c r="P13" s="138"/>
      <c r="Q13" s="138"/>
      <c r="R13" s="138"/>
      <c r="S13" s="135"/>
      <c r="T13" s="137"/>
      <c r="U13" s="72">
        <v>0</v>
      </c>
      <c r="V13" s="135"/>
      <c r="W13" s="139">
        <f t="shared" si="2"/>
        <v>0</v>
      </c>
      <c r="X13" s="136">
        <v>0</v>
      </c>
      <c r="Y13" s="136">
        <v>0</v>
      </c>
      <c r="Z13" s="136">
        <v>0</v>
      </c>
      <c r="AA13" s="140">
        <v>0</v>
      </c>
      <c r="AB13" s="141">
        <v>0</v>
      </c>
      <c r="AC13" s="72">
        <v>0</v>
      </c>
      <c r="AD13" s="72">
        <v>0</v>
      </c>
      <c r="AE13" s="142">
        <v>0</v>
      </c>
      <c r="AF13" s="143"/>
      <c r="AG13" s="144">
        <v>0</v>
      </c>
      <c r="AH13" s="144">
        <v>0</v>
      </c>
      <c r="AI13" t="str">
        <f>VLOOKUP(A13,薪酬明细!A:A,1,0)</f>
        <v>开弈人力资源葛豪平</v>
      </c>
    </row>
    <row r="14" s="96" customFormat="1" ht="23" customHeight="1" outlineLevel="1" spans="1:35">
      <c r="A14" s="26" t="str">
        <f t="shared" si="0"/>
        <v>开弈人才徐峰</v>
      </c>
      <c r="B14" s="26" t="str">
        <f>VLOOKUP($A14,薪酬明细!$A:$G,2,0)</f>
        <v>HRO服务-公司销售部</v>
      </c>
      <c r="C14" s="26" t="s">
        <v>60</v>
      </c>
      <c r="D14" s="26" t="str">
        <f>VLOOKUP($A14,薪酬明细!$A:$G,4,0)</f>
        <v>正常计税</v>
      </c>
      <c r="E14" s="26" t="str">
        <f>VLOOKUP($A14,薪酬明细!$A:$G,5,0)</f>
        <v>销售部</v>
      </c>
      <c r="F14" s="26" t="str">
        <f>VLOOKUP($A14,薪酬明细!$A:$G,6,0)</f>
        <v>黄一萧</v>
      </c>
      <c r="G14" s="26" t="str">
        <f>VLOOKUP($A14,薪酬明细!$A:$G,7,0)</f>
        <v>销售</v>
      </c>
      <c r="H14" s="132">
        <v>41760</v>
      </c>
      <c r="I14" s="52" t="s">
        <v>298</v>
      </c>
      <c r="J14" s="133">
        <v>5900</v>
      </c>
      <c r="K14" s="134"/>
      <c r="L14" s="135"/>
      <c r="M14" s="136"/>
      <c r="N14" s="135">
        <f t="shared" si="1"/>
        <v>0</v>
      </c>
      <c r="O14" s="137"/>
      <c r="P14" s="138"/>
      <c r="Q14" s="138"/>
      <c r="R14" s="138"/>
      <c r="S14" s="135"/>
      <c r="T14" s="137"/>
      <c r="U14" s="72"/>
      <c r="V14" s="135"/>
      <c r="W14" s="139">
        <f t="shared" si="2"/>
        <v>0</v>
      </c>
      <c r="X14" s="136"/>
      <c r="Y14" s="136"/>
      <c r="Z14" s="136">
        <v>0</v>
      </c>
      <c r="AA14" s="140"/>
      <c r="AB14" s="141"/>
      <c r="AC14" s="72"/>
      <c r="AD14" s="72"/>
      <c r="AE14" s="142"/>
      <c r="AF14" s="143"/>
      <c r="AG14" s="144"/>
      <c r="AH14" s="144"/>
      <c r="AI14" t="str">
        <f>VLOOKUP(A14,薪酬明细!A:A,1,0)</f>
        <v>开弈人才徐峰</v>
      </c>
    </row>
    <row r="15" s="96" customFormat="1" ht="23" customHeight="1" outlineLevel="1" spans="1:35">
      <c r="A15" s="26" t="str">
        <f t="shared" si="0"/>
        <v>开弈信息沈明明</v>
      </c>
      <c r="B15" s="26" t="str">
        <f>VLOOKUP($A15,薪酬明细!$A:$G,2,0)</f>
        <v>F-账务部</v>
      </c>
      <c r="C15" s="26" t="s">
        <v>57</v>
      </c>
      <c r="D15" s="26" t="str">
        <f>VLOOKUP($A15,薪酬明细!$A:$G,4,0)</f>
        <v>正常计税</v>
      </c>
      <c r="E15" s="26" t="str">
        <f>VLOOKUP($A15,薪酬明细!$A:$G,5,0)</f>
        <v>账务部</v>
      </c>
      <c r="F15" s="26" t="str">
        <f>VLOOKUP($A15,薪酬明细!$A:$G,6,0)</f>
        <v>黄欢欢</v>
      </c>
      <c r="G15" s="26" t="str">
        <f>VLOOKUP($A15,薪酬明细!$A:$G,7,0)</f>
        <v>泰系统专员</v>
      </c>
      <c r="H15" s="132">
        <v>43571</v>
      </c>
      <c r="I15" s="52" t="s">
        <v>397</v>
      </c>
      <c r="J15" s="133">
        <v>9500</v>
      </c>
      <c r="K15" s="134">
        <v>0</v>
      </c>
      <c r="L15" s="135">
        <f>-ROUND(J15/21.75*K15*20%,2)</f>
        <v>0</v>
      </c>
      <c r="M15" s="136">
        <v>0</v>
      </c>
      <c r="N15" s="135">
        <f t="shared" si="1"/>
        <v>0</v>
      </c>
      <c r="O15" s="137"/>
      <c r="P15" s="138"/>
      <c r="Q15" s="138"/>
      <c r="R15" s="138"/>
      <c r="S15" s="135"/>
      <c r="T15" s="137"/>
      <c r="U15" s="72">
        <v>0</v>
      </c>
      <c r="V15" s="135"/>
      <c r="W15" s="139">
        <f t="shared" si="2"/>
        <v>0</v>
      </c>
      <c r="X15" s="136">
        <v>0</v>
      </c>
      <c r="Y15" s="136">
        <v>0.5</v>
      </c>
      <c r="Z15" s="136">
        <v>0</v>
      </c>
      <c r="AA15" s="140">
        <v>0</v>
      </c>
      <c r="AB15" s="141">
        <v>0</v>
      </c>
      <c r="AC15" s="72">
        <v>0</v>
      </c>
      <c r="AD15" s="72">
        <v>0</v>
      </c>
      <c r="AE15" s="142">
        <v>0</v>
      </c>
      <c r="AF15" s="143"/>
      <c r="AG15" s="144">
        <v>0</v>
      </c>
      <c r="AH15" s="144" t="s">
        <v>724</v>
      </c>
      <c r="AI15" t="str">
        <f>VLOOKUP(A15,薪酬明细!A:A,1,0)</f>
        <v>开弈信息沈明明</v>
      </c>
    </row>
    <row r="16" s="96" customFormat="1" ht="23" customHeight="1" outlineLevel="1" spans="1:35">
      <c r="A16" s="26" t="str">
        <f t="shared" si="0"/>
        <v>北京点才杨崴</v>
      </c>
      <c r="B16" s="26" t="str">
        <f>VLOOKUP($A16,薪酬明细!$A:$G,2,0)</f>
        <v>Shaun-外地</v>
      </c>
      <c r="C16" s="26" t="s">
        <v>66</v>
      </c>
      <c r="D16" s="26" t="str">
        <f>VLOOKUP($A16,薪酬明细!$A:$G,4,0)</f>
        <v>正常计税</v>
      </c>
      <c r="E16" s="26" t="str">
        <f>VLOOKUP($A16,薪酬明细!$A:$G,5,0)</f>
        <v>北京事业部</v>
      </c>
      <c r="F16" s="26" t="str">
        <f>VLOOKUP($A16,薪酬明细!$A:$G,6,0)</f>
        <v>黄一萧</v>
      </c>
      <c r="G16" s="26" t="str">
        <f>VLOOKUP($A16,薪酬明细!$A:$G,7,0)</f>
        <v>客服专员</v>
      </c>
      <c r="H16" s="132">
        <v>42614</v>
      </c>
      <c r="I16" s="52" t="s">
        <v>254</v>
      </c>
      <c r="J16" s="133">
        <v>8000</v>
      </c>
      <c r="K16" s="134">
        <v>0</v>
      </c>
      <c r="L16" s="135"/>
      <c r="M16" s="136">
        <v>0</v>
      </c>
      <c r="N16" s="135">
        <f t="shared" si="1"/>
        <v>0</v>
      </c>
      <c r="O16" s="137"/>
      <c r="P16" s="138"/>
      <c r="Q16" s="138"/>
      <c r="R16" s="138"/>
      <c r="S16" s="135"/>
      <c r="T16" s="137"/>
      <c r="U16" s="72">
        <v>0</v>
      </c>
      <c r="V16" s="135"/>
      <c r="W16" s="139">
        <f t="shared" si="2"/>
        <v>0</v>
      </c>
      <c r="X16" s="136">
        <v>0</v>
      </c>
      <c r="Y16" s="136">
        <v>3</v>
      </c>
      <c r="Z16" s="136">
        <v>0</v>
      </c>
      <c r="AA16" s="140">
        <v>0</v>
      </c>
      <c r="AB16" s="141">
        <v>0</v>
      </c>
      <c r="AC16" s="72">
        <v>0</v>
      </c>
      <c r="AD16" s="72">
        <v>0</v>
      </c>
      <c r="AE16" s="142">
        <v>0</v>
      </c>
      <c r="AF16" s="143"/>
      <c r="AG16" s="144">
        <v>0</v>
      </c>
      <c r="AH16" s="144" t="s">
        <v>725</v>
      </c>
      <c r="AI16" t="str">
        <f>VLOOKUP(A16,薪酬明细!A:A,1,0)</f>
        <v>北京点才杨崴</v>
      </c>
    </row>
    <row r="17" s="96" customFormat="1" ht="23" customHeight="1" outlineLevel="1" spans="1:35">
      <c r="A17" s="26" t="str">
        <f t="shared" si="0"/>
        <v>北京点才孟庆芳</v>
      </c>
      <c r="B17" s="26" t="str">
        <f>VLOOKUP($A17,薪酬明细!$A:$G,2,0)</f>
        <v>Shaun-外地</v>
      </c>
      <c r="C17" s="26" t="s">
        <v>66</v>
      </c>
      <c r="D17" s="26" t="str">
        <f>VLOOKUP($A17,薪酬明细!$A:$G,4,0)</f>
        <v>正常计税</v>
      </c>
      <c r="E17" s="26" t="str">
        <f>VLOOKUP($A17,薪酬明细!$A:$G,5,0)</f>
        <v>北京事业部</v>
      </c>
      <c r="F17" s="26" t="str">
        <f>VLOOKUP($A17,薪酬明细!$A:$G,6,0)</f>
        <v>杨崴</v>
      </c>
      <c r="G17" s="26" t="str">
        <f>VLOOKUP($A17,薪酬明细!$A:$G,7,0)</f>
        <v>客服专员</v>
      </c>
      <c r="H17" s="132">
        <v>40909</v>
      </c>
      <c r="I17" s="52" t="s">
        <v>256</v>
      </c>
      <c r="J17" s="133">
        <v>1600</v>
      </c>
      <c r="K17" s="134"/>
      <c r="L17" s="135"/>
      <c r="M17" s="136"/>
      <c r="N17" s="135">
        <f t="shared" si="1"/>
        <v>0</v>
      </c>
      <c r="O17" s="137"/>
      <c r="P17" s="138"/>
      <c r="Q17" s="138"/>
      <c r="R17" s="138"/>
      <c r="S17" s="135"/>
      <c r="T17" s="137"/>
      <c r="U17" s="72"/>
      <c r="V17" s="135"/>
      <c r="W17" s="139">
        <f t="shared" si="2"/>
        <v>0</v>
      </c>
      <c r="X17" s="136"/>
      <c r="Y17" s="136"/>
      <c r="Z17" s="136"/>
      <c r="AA17" s="140"/>
      <c r="AB17" s="141"/>
      <c r="AC17" s="72"/>
      <c r="AD17" s="72"/>
      <c r="AE17" s="142"/>
      <c r="AF17" s="143"/>
      <c r="AG17" s="144"/>
      <c r="AH17" s="144"/>
      <c r="AI17" t="str">
        <f>VLOOKUP(A17,薪酬明细!A:A,1,0)</f>
        <v>北京点才孟庆芳</v>
      </c>
    </row>
    <row r="18" s="96" customFormat="1" ht="23" customHeight="1" outlineLevel="1" spans="1:35">
      <c r="A18" s="26" t="str">
        <f t="shared" si="0"/>
        <v>天津英才郭双红</v>
      </c>
      <c r="B18" s="26" t="str">
        <f>VLOOKUP($A18,薪酬明细!$A:$G,2,0)</f>
        <v>Shaun-外地</v>
      </c>
      <c r="C18" s="26" t="s">
        <v>67</v>
      </c>
      <c r="D18" s="26" t="str">
        <f>VLOOKUP($A18,薪酬明细!$A:$G,4,0)</f>
        <v>正常计税</v>
      </c>
      <c r="E18" s="26" t="str">
        <f>VLOOKUP($A18,薪酬明细!$A:$G,5,0)</f>
        <v>天津事业部</v>
      </c>
      <c r="F18" s="26" t="str">
        <f>VLOOKUP($A18,薪酬明细!$A:$G,6,0)</f>
        <v>黄一萧</v>
      </c>
      <c r="G18" s="26" t="str">
        <f>VLOOKUP($A18,薪酬明细!$A:$G,7,0)</f>
        <v>客服主管</v>
      </c>
      <c r="H18" s="132">
        <v>40360</v>
      </c>
      <c r="I18" s="52" t="s">
        <v>446</v>
      </c>
      <c r="J18" s="133">
        <v>10000</v>
      </c>
      <c r="K18" s="134">
        <v>0</v>
      </c>
      <c r="L18" s="135"/>
      <c r="M18" s="136">
        <v>0</v>
      </c>
      <c r="N18" s="135">
        <f t="shared" si="1"/>
        <v>0</v>
      </c>
      <c r="O18" s="137"/>
      <c r="P18" s="138"/>
      <c r="Q18" s="138"/>
      <c r="R18" s="138"/>
      <c r="S18" s="135"/>
      <c r="T18" s="137"/>
      <c r="U18" s="72">
        <v>0</v>
      </c>
      <c r="V18" s="135"/>
      <c r="W18" s="139">
        <f t="shared" si="2"/>
        <v>0</v>
      </c>
      <c r="X18" s="136">
        <v>0</v>
      </c>
      <c r="Y18" s="136">
        <v>0</v>
      </c>
      <c r="Z18" s="136"/>
      <c r="AA18" s="140">
        <v>0</v>
      </c>
      <c r="AB18" s="141">
        <v>0</v>
      </c>
      <c r="AC18" s="72">
        <v>0</v>
      </c>
      <c r="AD18" s="72">
        <v>0</v>
      </c>
      <c r="AE18" s="142">
        <v>0</v>
      </c>
      <c r="AF18" s="143"/>
      <c r="AG18" s="144">
        <v>0</v>
      </c>
      <c r="AH18" s="144">
        <v>0</v>
      </c>
      <c r="AI18" t="str">
        <f>VLOOKUP(A18,薪酬明细!A:A,1,0)</f>
        <v>天津英才郭双红</v>
      </c>
    </row>
    <row r="19" s="96" customFormat="1" ht="23" customHeight="1" outlineLevel="1" spans="1:35">
      <c r="A19" s="26" t="str">
        <f t="shared" si="0"/>
        <v>天津英才陈一卓</v>
      </c>
      <c r="B19" s="26" t="str">
        <f>VLOOKUP($A19,薪酬明细!$A:$G,2,0)</f>
        <v>Shaun-外地</v>
      </c>
      <c r="C19" s="26" t="s">
        <v>67</v>
      </c>
      <c r="D19" s="26" t="str">
        <f>VLOOKUP($A19,薪酬明细!$A:$G,4,0)</f>
        <v>正常计税</v>
      </c>
      <c r="E19" s="26" t="str">
        <f>VLOOKUP($A19,薪酬明细!$A:$G,5,0)</f>
        <v>天津事业部</v>
      </c>
      <c r="F19" s="26" t="str">
        <f>VLOOKUP($A19,薪酬明细!$A:$G,6,0)</f>
        <v>郭双红</v>
      </c>
      <c r="G19" s="26" t="str">
        <f>VLOOKUP($A19,薪酬明细!$A:$G,7,0)</f>
        <v>客服专员</v>
      </c>
      <c r="H19" s="132">
        <v>42569</v>
      </c>
      <c r="I19" s="52" t="s">
        <v>447</v>
      </c>
      <c r="J19" s="133">
        <v>8000</v>
      </c>
      <c r="K19" s="134">
        <v>0</v>
      </c>
      <c r="L19" s="135"/>
      <c r="M19" s="136">
        <v>0</v>
      </c>
      <c r="N19" s="135">
        <f t="shared" si="1"/>
        <v>0</v>
      </c>
      <c r="O19" s="137"/>
      <c r="P19" s="138"/>
      <c r="Q19" s="138"/>
      <c r="R19" s="138"/>
      <c r="S19" s="135"/>
      <c r="T19" s="137"/>
      <c r="U19" s="72">
        <v>0</v>
      </c>
      <c r="V19" s="135"/>
      <c r="W19" s="139">
        <f t="shared" si="2"/>
        <v>0</v>
      </c>
      <c r="X19" s="136">
        <v>0</v>
      </c>
      <c r="Y19" s="136">
        <v>0</v>
      </c>
      <c r="Z19" s="136">
        <v>0</v>
      </c>
      <c r="AA19" s="140">
        <v>0</v>
      </c>
      <c r="AB19" s="141">
        <v>0</v>
      </c>
      <c r="AC19" s="72">
        <v>0</v>
      </c>
      <c r="AD19" s="72">
        <v>0</v>
      </c>
      <c r="AE19" s="142">
        <v>0</v>
      </c>
      <c r="AF19" s="143"/>
      <c r="AG19" s="144">
        <v>0</v>
      </c>
      <c r="AH19" s="144">
        <v>0</v>
      </c>
      <c r="AI19" t="str">
        <f>VLOOKUP(A19,薪酬明细!A:A,1,0)</f>
        <v>天津英才陈一卓</v>
      </c>
    </row>
    <row r="20" s="96" customFormat="1" ht="23" customHeight="1" outlineLevel="1" spans="1:35">
      <c r="A20" s="26" t="str">
        <f t="shared" si="0"/>
        <v>天津英才周梓荣</v>
      </c>
      <c r="B20" s="26" t="str">
        <f>VLOOKUP($A20,薪酬明细!$A:$G,2,0)</f>
        <v>Shaun-外地</v>
      </c>
      <c r="C20" s="26" t="s">
        <v>67</v>
      </c>
      <c r="D20" s="26" t="str">
        <f>VLOOKUP($A20,薪酬明细!$A:$G,4,0)</f>
        <v>正常计税</v>
      </c>
      <c r="E20" s="26" t="str">
        <f>VLOOKUP($A20,薪酬明细!$A:$G,5,0)</f>
        <v>天津事业部</v>
      </c>
      <c r="F20" s="26" t="str">
        <f>VLOOKUP($A20,薪酬明细!$A:$G,6,0)</f>
        <v>郭双红</v>
      </c>
      <c r="G20" s="26" t="str">
        <f>VLOOKUP($A20,薪酬明细!$A:$G,7,0)</f>
        <v>客服专员</v>
      </c>
      <c r="H20" s="132">
        <v>42555</v>
      </c>
      <c r="I20" s="52" t="s">
        <v>453</v>
      </c>
      <c r="J20" s="133">
        <v>6000</v>
      </c>
      <c r="K20" s="134">
        <v>0</v>
      </c>
      <c r="L20" s="135"/>
      <c r="M20" s="136">
        <v>0</v>
      </c>
      <c r="N20" s="135">
        <f t="shared" si="1"/>
        <v>0</v>
      </c>
      <c r="O20" s="137"/>
      <c r="P20" s="138"/>
      <c r="Q20" s="138"/>
      <c r="R20" s="138"/>
      <c r="S20" s="135"/>
      <c r="T20" s="137"/>
      <c r="U20" s="72">
        <v>0</v>
      </c>
      <c r="V20" s="135"/>
      <c r="W20" s="139">
        <f t="shared" si="2"/>
        <v>0</v>
      </c>
      <c r="X20" s="136">
        <v>0</v>
      </c>
      <c r="Y20" s="136">
        <v>1</v>
      </c>
      <c r="Z20" s="136">
        <v>0</v>
      </c>
      <c r="AA20" s="140">
        <v>0</v>
      </c>
      <c r="AB20" s="141">
        <v>0</v>
      </c>
      <c r="AC20" s="72">
        <v>0</v>
      </c>
      <c r="AD20" s="72">
        <v>0</v>
      </c>
      <c r="AE20" s="142">
        <v>0</v>
      </c>
      <c r="AF20" s="143"/>
      <c r="AG20" s="144">
        <v>0</v>
      </c>
      <c r="AH20" s="144" t="s">
        <v>726</v>
      </c>
      <c r="AI20" t="str">
        <f>VLOOKUP(A20,薪酬明细!A:A,1,0)</f>
        <v>天津英才周梓荣</v>
      </c>
    </row>
    <row r="21" s="96" customFormat="1" ht="23" customHeight="1" outlineLevel="1" spans="1:35">
      <c r="A21" s="26" t="str">
        <f t="shared" si="0"/>
        <v>深圳和弈王雷</v>
      </c>
      <c r="B21" s="26" t="str">
        <f>VLOOKUP($A21,薪酬明细!$A:$G,2,0)</f>
        <v>Shaun-外地</v>
      </c>
      <c r="C21" s="26" t="s">
        <v>69</v>
      </c>
      <c r="D21" s="26" t="str">
        <f>VLOOKUP($A21,薪酬明细!$A:$G,4,0)</f>
        <v>正常计税</v>
      </c>
      <c r="E21" s="26" t="str">
        <f>VLOOKUP($A21,薪酬明细!$A:$G,5,0)</f>
        <v>深圳事业部</v>
      </c>
      <c r="F21" s="26" t="str">
        <f>VLOOKUP($A21,薪酬明细!$A:$G,6,0)</f>
        <v>黄一萧</v>
      </c>
      <c r="G21" s="26" t="str">
        <f>VLOOKUP($A21,薪酬明细!$A:$G,7,0)</f>
        <v>客服专员</v>
      </c>
      <c r="H21" s="132">
        <v>42036</v>
      </c>
      <c r="I21" s="52" t="s">
        <v>433</v>
      </c>
      <c r="J21" s="133">
        <v>5400</v>
      </c>
      <c r="K21" s="134"/>
      <c r="L21" s="135"/>
      <c r="M21" s="136"/>
      <c r="N21" s="135">
        <f t="shared" si="1"/>
        <v>0</v>
      </c>
      <c r="O21" s="137"/>
      <c r="P21" s="138"/>
      <c r="Q21" s="138"/>
      <c r="R21" s="138"/>
      <c r="S21" s="135"/>
      <c r="T21" s="137"/>
      <c r="U21" s="72"/>
      <c r="V21" s="135"/>
      <c r="W21" s="139">
        <f t="shared" si="2"/>
        <v>0</v>
      </c>
      <c r="X21" s="136"/>
      <c r="Y21" s="136"/>
      <c r="Z21" s="136">
        <v>0</v>
      </c>
      <c r="AA21" s="140"/>
      <c r="AB21" s="141"/>
      <c r="AC21" s="72"/>
      <c r="AD21" s="72"/>
      <c r="AE21" s="142"/>
      <c r="AF21" s="143"/>
      <c r="AG21" s="144"/>
      <c r="AH21" s="144"/>
      <c r="AI21" t="str">
        <f>VLOOKUP(A21,薪酬明细!A:A,1,0)</f>
        <v>深圳和弈王雷</v>
      </c>
    </row>
    <row r="22" s="96" customFormat="1" ht="23" customHeight="1" outlineLevel="1" spans="1:35">
      <c r="A22" s="26" t="str">
        <f t="shared" si="0"/>
        <v>开弈信息黄欢欢</v>
      </c>
      <c r="B22" s="26" t="str">
        <f>VLOOKUP($A22,薪酬明细!$A:$G,2,0)</f>
        <v>F-账务部</v>
      </c>
      <c r="C22" s="26" t="s">
        <v>57</v>
      </c>
      <c r="D22" s="26" t="str">
        <f>VLOOKUP($A22,薪酬明细!$A:$G,4,0)</f>
        <v>正常计税</v>
      </c>
      <c r="E22" s="26" t="str">
        <f>VLOOKUP($A22,薪酬明细!$A:$G,5,0)</f>
        <v>账务部</v>
      </c>
      <c r="F22" s="26" t="str">
        <f>VLOOKUP($A22,薪酬明细!$A:$G,6,0)</f>
        <v>张毅</v>
      </c>
      <c r="G22" s="26" t="str">
        <f>VLOOKUP($A22,薪酬明细!$A:$G,7,0)</f>
        <v>账务经理</v>
      </c>
      <c r="H22" s="132">
        <v>43584</v>
      </c>
      <c r="I22" s="52" t="s">
        <v>105</v>
      </c>
      <c r="J22" s="133">
        <v>25000</v>
      </c>
      <c r="K22" s="134">
        <v>0</v>
      </c>
      <c r="L22" s="135">
        <f>-ROUND(J22/21.75*K22*30%,2)</f>
        <v>0</v>
      </c>
      <c r="M22" s="136">
        <v>0</v>
      </c>
      <c r="N22" s="135">
        <f t="shared" si="1"/>
        <v>0</v>
      </c>
      <c r="O22" s="137"/>
      <c r="P22" s="138"/>
      <c r="Q22" s="138"/>
      <c r="R22" s="138"/>
      <c r="S22" s="135"/>
      <c r="T22" s="137"/>
      <c r="U22" s="72">
        <v>0</v>
      </c>
      <c r="V22" s="135"/>
      <c r="W22" s="139">
        <f t="shared" si="2"/>
        <v>0</v>
      </c>
      <c r="X22" s="136">
        <v>0</v>
      </c>
      <c r="Y22" s="136">
        <v>1</v>
      </c>
      <c r="Z22" s="136">
        <v>0</v>
      </c>
      <c r="AA22" s="140">
        <v>0</v>
      </c>
      <c r="AB22" s="141">
        <v>0</v>
      </c>
      <c r="AC22" s="72">
        <v>0</v>
      </c>
      <c r="AD22" s="72">
        <v>0</v>
      </c>
      <c r="AE22" s="142">
        <v>0</v>
      </c>
      <c r="AF22" s="143"/>
      <c r="AG22" s="144">
        <v>0</v>
      </c>
      <c r="AH22" s="144" t="s">
        <v>726</v>
      </c>
      <c r="AI22" t="str">
        <f>VLOOKUP(A22,薪酬明细!A:A,1,0)</f>
        <v>开弈信息黄欢欢</v>
      </c>
    </row>
    <row r="23" s="96" customFormat="1" ht="23" customHeight="1" outlineLevel="1" spans="1:35">
      <c r="A23" s="26" t="str">
        <f t="shared" si="0"/>
        <v>弈工分文化季文菊</v>
      </c>
      <c r="B23" s="26" t="str">
        <f>VLOOKUP($A23,薪酬明细!$A:$G,2,0)</f>
        <v>G-Jenny-家庭</v>
      </c>
      <c r="C23" s="26" t="s">
        <v>76</v>
      </c>
      <c r="D23" s="26" t="str">
        <f>VLOOKUP($A23,薪酬明细!$A:$G,4,0)</f>
        <v>正常计税</v>
      </c>
      <c r="E23" s="26" t="str">
        <f>VLOOKUP($A23,薪酬明细!$A:$G,5,0)</f>
        <v>Jenny-家庭</v>
      </c>
      <c r="F23" s="26" t="str">
        <f>VLOOKUP($A23,薪酬明细!$A:$G,6,0)</f>
        <v>张毅</v>
      </c>
      <c r="G23" s="26" t="str">
        <f>VLOOKUP($A23,薪酬明细!$A:$G,7,0)</f>
        <v>保洁</v>
      </c>
      <c r="H23" s="132">
        <v>42064</v>
      </c>
      <c r="I23" s="52" t="s">
        <v>517</v>
      </c>
      <c r="J23" s="133">
        <v>12000</v>
      </c>
      <c r="K23" s="134">
        <v>0</v>
      </c>
      <c r="L23" s="135">
        <f>-ROUND(J23/21.75*K23*10%,2)</f>
        <v>0</v>
      </c>
      <c r="M23" s="136">
        <v>0</v>
      </c>
      <c r="N23" s="135">
        <f t="shared" si="1"/>
        <v>0</v>
      </c>
      <c r="O23" s="137">
        <v>200</v>
      </c>
      <c r="P23" s="138"/>
      <c r="Q23" s="138"/>
      <c r="R23" s="138">
        <v>0</v>
      </c>
      <c r="S23" s="135">
        <f>R23*O23</f>
        <v>0</v>
      </c>
      <c r="T23" s="137">
        <v>0</v>
      </c>
      <c r="U23" s="72">
        <v>0</v>
      </c>
      <c r="V23" s="135">
        <f>-ROUND(J23/21.75*U23,2)</f>
        <v>0</v>
      </c>
      <c r="W23" s="139">
        <f t="shared" si="2"/>
        <v>0</v>
      </c>
      <c r="X23" s="136">
        <v>0</v>
      </c>
      <c r="Y23" s="136">
        <v>0</v>
      </c>
      <c r="Z23" s="136">
        <v>0</v>
      </c>
      <c r="AA23" s="140">
        <v>0</v>
      </c>
      <c r="AB23" s="141">
        <v>0</v>
      </c>
      <c r="AC23" s="72">
        <v>0</v>
      </c>
      <c r="AD23" s="72">
        <v>0</v>
      </c>
      <c r="AE23" s="142">
        <v>0</v>
      </c>
      <c r="AF23" s="143"/>
      <c r="AG23" s="144">
        <v>0</v>
      </c>
      <c r="AH23" s="144">
        <v>0</v>
      </c>
      <c r="AI23" t="str">
        <f>VLOOKUP(A23,薪酬明细!A:A,1,0)</f>
        <v>弈工分文化季文菊</v>
      </c>
    </row>
    <row r="24" s="96" customFormat="1" ht="23" customHeight="1" outlineLevel="1" spans="1:35">
      <c r="A24" s="26" t="str">
        <f t="shared" si="0"/>
        <v>开弈人力资源侯心怡</v>
      </c>
      <c r="B24" s="26" t="str">
        <f>VLOOKUP($A24,薪酬明细!$A:$G,2,0)</f>
        <v>Shaun-客服部</v>
      </c>
      <c r="C24" s="26" t="s">
        <v>61</v>
      </c>
      <c r="D24" s="26" t="str">
        <f>VLOOKUP($A24,薪酬明细!$A:$G,4,0)</f>
        <v>正常计税</v>
      </c>
      <c r="E24" s="26" t="str">
        <f>VLOOKUP($A24,薪酬明细!$A:$G,5,0)</f>
        <v>客服部（S）</v>
      </c>
      <c r="F24" s="26" t="str">
        <f>VLOOKUP($A24,薪酬明细!$A:$G,6,0)</f>
        <v>杨漾</v>
      </c>
      <c r="G24" s="26" t="str">
        <f>VLOOKUP($A24,薪酬明细!$A:$G,7,0)</f>
        <v>客服专员</v>
      </c>
      <c r="H24" s="132">
        <v>44270</v>
      </c>
      <c r="I24" s="52" t="s">
        <v>307</v>
      </c>
      <c r="J24" s="133">
        <v>10000</v>
      </c>
      <c r="K24" s="134">
        <v>0</v>
      </c>
      <c r="L24" s="135">
        <f>-ROUND(J24/21.75*K24*20%,2)</f>
        <v>0</v>
      </c>
      <c r="M24" s="136">
        <v>0</v>
      </c>
      <c r="N24" s="135">
        <f t="shared" si="1"/>
        <v>0</v>
      </c>
      <c r="O24" s="137"/>
      <c r="P24" s="138"/>
      <c r="Q24" s="138"/>
      <c r="R24" s="138"/>
      <c r="S24" s="135"/>
      <c r="T24" s="137"/>
      <c r="U24" s="72">
        <v>0</v>
      </c>
      <c r="V24" s="135"/>
      <c r="W24" s="139">
        <f t="shared" si="2"/>
        <v>0</v>
      </c>
      <c r="X24" s="136">
        <v>0</v>
      </c>
      <c r="Y24" s="136">
        <v>1</v>
      </c>
      <c r="Z24" s="136">
        <v>0</v>
      </c>
      <c r="AA24" s="140">
        <v>0</v>
      </c>
      <c r="AB24" s="141">
        <v>0</v>
      </c>
      <c r="AC24" s="72">
        <v>0</v>
      </c>
      <c r="AD24" s="72">
        <v>0</v>
      </c>
      <c r="AE24" s="142">
        <v>0</v>
      </c>
      <c r="AF24" s="143"/>
      <c r="AG24" s="144">
        <v>0</v>
      </c>
      <c r="AH24" s="144" t="s">
        <v>726</v>
      </c>
      <c r="AI24" t="str">
        <f>VLOOKUP(A24,薪酬明细!A:A,1,0)</f>
        <v>开弈人力资源侯心怡</v>
      </c>
    </row>
    <row r="25" s="96" customFormat="1" ht="23" customHeight="1" outlineLevel="1" spans="1:35">
      <c r="A25" s="26" t="str">
        <f t="shared" si="0"/>
        <v>天津英才吴靖娴</v>
      </c>
      <c r="B25" s="26" t="str">
        <f>VLOOKUP($A25,薪酬明细!$A:$G,2,0)</f>
        <v>Shaun-外地</v>
      </c>
      <c r="C25" s="26" t="s">
        <v>67</v>
      </c>
      <c r="D25" s="26" t="str">
        <f>VLOOKUP($A25,薪酬明细!$A:$G,4,0)</f>
        <v>正常计税</v>
      </c>
      <c r="E25" s="26" t="str">
        <f>VLOOKUP($A25,薪酬明细!$A:$G,5,0)</f>
        <v>天津事业部</v>
      </c>
      <c r="F25" s="26" t="str">
        <f>VLOOKUP($A25,薪酬明细!$A:$G,6,0)</f>
        <v>郭双红</v>
      </c>
      <c r="G25" s="26" t="str">
        <f>VLOOKUP($A25,薪酬明细!$A:$G,7,0)</f>
        <v>客服专员</v>
      </c>
      <c r="H25" s="132">
        <v>44322</v>
      </c>
      <c r="I25" s="52" t="s">
        <v>451</v>
      </c>
      <c r="J25" s="133">
        <v>5000</v>
      </c>
      <c r="K25" s="134">
        <v>0</v>
      </c>
      <c r="L25" s="135"/>
      <c r="M25" s="136">
        <v>0</v>
      </c>
      <c r="N25" s="135">
        <f t="shared" si="1"/>
        <v>0</v>
      </c>
      <c r="O25" s="137"/>
      <c r="P25" s="138"/>
      <c r="Q25" s="138"/>
      <c r="R25" s="138"/>
      <c r="S25" s="135"/>
      <c r="T25" s="137"/>
      <c r="U25" s="72">
        <v>0</v>
      </c>
      <c r="V25" s="135"/>
      <c r="W25" s="139">
        <f t="shared" si="2"/>
        <v>0</v>
      </c>
      <c r="X25" s="136">
        <v>0</v>
      </c>
      <c r="Y25" s="136">
        <v>0</v>
      </c>
      <c r="Z25" s="136">
        <v>0</v>
      </c>
      <c r="AA25" s="140">
        <v>0</v>
      </c>
      <c r="AB25" s="141">
        <v>0</v>
      </c>
      <c r="AC25" s="72">
        <v>0</v>
      </c>
      <c r="AD25" s="72">
        <v>0</v>
      </c>
      <c r="AE25" s="142">
        <v>0</v>
      </c>
      <c r="AF25" s="143"/>
      <c r="AG25" s="144">
        <v>0</v>
      </c>
      <c r="AH25" s="144">
        <v>0</v>
      </c>
      <c r="AI25" t="str">
        <f>VLOOKUP(A25,薪酬明细!A:A,1,0)</f>
        <v>天津英才吴靖娴</v>
      </c>
    </row>
    <row r="26" s="96" customFormat="1" ht="23" customHeight="1" outlineLevel="1" spans="1:35">
      <c r="A26" s="26" t="str">
        <f t="shared" si="0"/>
        <v>开弈信息郑昌杰</v>
      </c>
      <c r="B26" s="26" t="str">
        <f>VLOOKUP($A26,薪酬明细!$A:$G,2,0)</f>
        <v>Shaun-客服部</v>
      </c>
      <c r="C26" s="26" t="s">
        <v>57</v>
      </c>
      <c r="D26" s="26" t="str">
        <f>VLOOKUP($A26,薪酬明细!$A:$G,4,0)</f>
        <v>正常计税</v>
      </c>
      <c r="E26" s="26" t="str">
        <f>VLOOKUP($A26,薪酬明细!$A:$G,5,0)</f>
        <v>客服部（S）</v>
      </c>
      <c r="F26" s="26" t="str">
        <f>VLOOKUP($A26,薪酬明细!$A:$G,6,0)</f>
        <v>杨漾</v>
      </c>
      <c r="G26" s="26" t="str">
        <f>VLOOKUP($A26,薪酬明细!$A:$G,7,0)</f>
        <v>客服专员</v>
      </c>
      <c r="H26" s="132">
        <v>44409</v>
      </c>
      <c r="I26" s="52" t="s">
        <v>410</v>
      </c>
      <c r="J26" s="133">
        <v>8000</v>
      </c>
      <c r="K26" s="134">
        <v>0</v>
      </c>
      <c r="L26" s="135">
        <f>-ROUND(J26/21.75*K26*30%,2)</f>
        <v>0</v>
      </c>
      <c r="M26" s="136">
        <v>0</v>
      </c>
      <c r="N26" s="135"/>
      <c r="O26" s="137"/>
      <c r="P26" s="138"/>
      <c r="Q26" s="138"/>
      <c r="R26" s="138"/>
      <c r="S26" s="135"/>
      <c r="T26" s="137"/>
      <c r="U26" s="72">
        <v>0</v>
      </c>
      <c r="V26" s="135"/>
      <c r="W26" s="139">
        <f t="shared" si="2"/>
        <v>0</v>
      </c>
      <c r="X26" s="136">
        <v>0</v>
      </c>
      <c r="Y26" s="136">
        <v>3</v>
      </c>
      <c r="Z26" s="136">
        <v>0</v>
      </c>
      <c r="AA26" s="140">
        <v>0</v>
      </c>
      <c r="AB26" s="141">
        <v>0</v>
      </c>
      <c r="AC26" s="72">
        <v>0</v>
      </c>
      <c r="AD26" s="72">
        <v>0</v>
      </c>
      <c r="AE26" s="142">
        <v>0</v>
      </c>
      <c r="AF26" s="143"/>
      <c r="AG26" s="144">
        <v>0</v>
      </c>
      <c r="AH26" s="144" t="s">
        <v>725</v>
      </c>
      <c r="AI26" t="str">
        <f>VLOOKUP(A26,薪酬明细!A:A,1,0)</f>
        <v>开弈信息郑昌杰</v>
      </c>
    </row>
    <row r="27" s="96" customFormat="1" ht="23" customHeight="1" outlineLevel="1" spans="1:35">
      <c r="A27" s="26" t="str">
        <f t="shared" si="0"/>
        <v>开弈人力资源卢素丹</v>
      </c>
      <c r="B27" s="26" t="str">
        <f>VLOOKUP($A27,薪酬明细!$A:$G,2,0)</f>
        <v>Shaun-客服部</v>
      </c>
      <c r="C27" s="26" t="s">
        <v>61</v>
      </c>
      <c r="D27" s="26" t="str">
        <f>VLOOKUP($A27,薪酬明细!$A:$G,4,0)</f>
        <v>正常计税</v>
      </c>
      <c r="E27" s="26" t="str">
        <f>VLOOKUP($A27,薪酬明细!$A:$G,5,0)</f>
        <v>客服部（S）</v>
      </c>
      <c r="F27" s="26" t="str">
        <f>VLOOKUP($A27,薪酬明细!$A:$G,6,0)</f>
        <v>杨漾</v>
      </c>
      <c r="G27" s="26" t="str">
        <f>VLOOKUP($A27,薪酬明细!$A:$G,7,0)</f>
        <v>客服专员</v>
      </c>
      <c r="H27" s="132">
        <v>44440</v>
      </c>
      <c r="I27" s="52" t="s">
        <v>316</v>
      </c>
      <c r="J27" s="133">
        <v>8000</v>
      </c>
      <c r="K27" s="134">
        <v>0</v>
      </c>
      <c r="L27" s="135">
        <f>-ROUND(J27/21.75*K27*20%,2)</f>
        <v>0</v>
      </c>
      <c r="M27" s="136">
        <v>0</v>
      </c>
      <c r="N27" s="135">
        <f>-ROUND(J27/21.75*M27,2)</f>
        <v>0</v>
      </c>
      <c r="O27" s="137"/>
      <c r="P27" s="138"/>
      <c r="Q27" s="138"/>
      <c r="R27" s="138"/>
      <c r="S27" s="135"/>
      <c r="T27" s="137"/>
      <c r="U27" s="72">
        <v>0</v>
      </c>
      <c r="V27" s="135"/>
      <c r="W27" s="139">
        <f t="shared" si="2"/>
        <v>0</v>
      </c>
      <c r="X27" s="136">
        <v>0</v>
      </c>
      <c r="Y27" s="136">
        <v>0</v>
      </c>
      <c r="Z27" s="136">
        <v>0</v>
      </c>
      <c r="AA27" s="140">
        <v>0</v>
      </c>
      <c r="AB27" s="141">
        <v>0</v>
      </c>
      <c r="AC27" s="72">
        <v>0</v>
      </c>
      <c r="AD27" s="72">
        <v>0</v>
      </c>
      <c r="AE27" s="142">
        <v>0</v>
      </c>
      <c r="AF27" s="143"/>
      <c r="AG27" s="144">
        <v>0</v>
      </c>
      <c r="AH27" s="144">
        <v>0</v>
      </c>
      <c r="AI27" t="str">
        <f>VLOOKUP(A27,薪酬明细!A:A,1,0)</f>
        <v>开弈人力资源卢素丹</v>
      </c>
    </row>
    <row r="28" s="96" customFormat="1" ht="23" customHeight="1" outlineLevel="1" spans="1:35">
      <c r="A28" s="26" t="str">
        <f t="shared" si="0"/>
        <v>靠普人力毛华英</v>
      </c>
      <c r="B28" s="26" t="str">
        <f>VLOOKUP($A28,薪酬明细!$A:$G,2,0)</f>
        <v>Shaun-雇员服务部</v>
      </c>
      <c r="C28" s="26" t="s">
        <v>63</v>
      </c>
      <c r="D28" s="26" t="str">
        <f>VLOOKUP($A28,薪酬明细!$A:$G,4,0)</f>
        <v>正常计税</v>
      </c>
      <c r="E28" s="26" t="str">
        <f>VLOOKUP($A28,薪酬明细!$A:$G,5,0)</f>
        <v>社保部</v>
      </c>
      <c r="F28" s="26" t="str">
        <f>VLOOKUP($A28,薪酬明细!$A:$G,6,0)</f>
        <v>葛豪平</v>
      </c>
      <c r="G28" s="26" t="str">
        <f>VLOOKUP($A28,薪酬明细!$A:$G,7,0)</f>
        <v>社保专员</v>
      </c>
      <c r="H28" s="132">
        <v>45016</v>
      </c>
      <c r="I28" s="52" t="s">
        <v>324</v>
      </c>
      <c r="J28" s="133">
        <v>7500</v>
      </c>
      <c r="K28" s="134">
        <v>2</v>
      </c>
      <c r="L28" s="135">
        <f>-ROUND(J28/21.75*K28*30%,2)</f>
        <v>-206.9</v>
      </c>
      <c r="M28" s="136">
        <v>0</v>
      </c>
      <c r="N28" s="135"/>
      <c r="O28" s="137"/>
      <c r="P28" s="138"/>
      <c r="Q28" s="138"/>
      <c r="R28" s="138"/>
      <c r="S28" s="135">
        <f>P28</f>
        <v>0</v>
      </c>
      <c r="T28" s="137"/>
      <c r="U28" s="72">
        <v>0</v>
      </c>
      <c r="V28" s="135"/>
      <c r="W28" s="139">
        <f t="shared" si="2"/>
        <v>-206.9</v>
      </c>
      <c r="X28" s="136">
        <v>0</v>
      </c>
      <c r="Y28" s="136">
        <v>0</v>
      </c>
      <c r="Z28" s="136">
        <v>0</v>
      </c>
      <c r="AA28" s="140">
        <v>0</v>
      </c>
      <c r="AB28" s="141">
        <v>0</v>
      </c>
      <c r="AC28" s="72">
        <v>0</v>
      </c>
      <c r="AD28" s="72">
        <v>0</v>
      </c>
      <c r="AE28" s="142">
        <v>0</v>
      </c>
      <c r="AF28" s="143"/>
      <c r="AG28" s="144">
        <v>0</v>
      </c>
      <c r="AH28" s="144" t="s">
        <v>727</v>
      </c>
      <c r="AI28" t="str">
        <f>VLOOKUP(A28,薪酬明细!A:A,1,0)</f>
        <v>靠普人力毛华英</v>
      </c>
    </row>
    <row r="29" s="96" customFormat="1" ht="23" customHeight="1" outlineLevel="1" spans="1:35">
      <c r="A29" s="26" t="str">
        <f t="shared" si="0"/>
        <v>开弈人才张祥</v>
      </c>
      <c r="B29" s="26" t="str">
        <f>VLOOKUP($A29,薪酬明细!$A:$G,2,0)</f>
        <v>Shaun-雇员服务部</v>
      </c>
      <c r="C29" s="26" t="s">
        <v>60</v>
      </c>
      <c r="D29" s="26" t="str">
        <f>VLOOKUP($A29,薪酬明细!$A:$G,4,0)</f>
        <v>正常计税</v>
      </c>
      <c r="E29" s="26" t="str">
        <f>VLOOKUP($A29,薪酬明细!$A:$G,5,0)</f>
        <v>社保部</v>
      </c>
      <c r="F29" s="26" t="str">
        <f>VLOOKUP($A29,薪酬明细!$A:$G,6,0)</f>
        <v>葛豪平</v>
      </c>
      <c r="G29" s="26" t="str">
        <f>VLOOKUP($A29,薪酬明细!$A:$G,7,0)</f>
        <v>社保专员</v>
      </c>
      <c r="H29" s="132">
        <v>45092</v>
      </c>
      <c r="I29" s="52" t="s">
        <v>339</v>
      </c>
      <c r="J29" s="133">
        <v>9000</v>
      </c>
      <c r="K29" s="134">
        <v>1</v>
      </c>
      <c r="L29" s="135">
        <f>-ROUND(J29/21.75*K29*30%,2)</f>
        <v>-124.14</v>
      </c>
      <c r="M29" s="136">
        <v>0</v>
      </c>
      <c r="N29" s="135"/>
      <c r="O29" s="137"/>
      <c r="P29" s="138"/>
      <c r="Q29" s="138"/>
      <c r="R29" s="138"/>
      <c r="S29" s="135"/>
      <c r="T29" s="137"/>
      <c r="U29" s="72">
        <v>0</v>
      </c>
      <c r="V29" s="135"/>
      <c r="W29" s="139">
        <f t="shared" si="2"/>
        <v>-124.14</v>
      </c>
      <c r="X29" s="136">
        <v>0</v>
      </c>
      <c r="Y29" s="136">
        <v>0</v>
      </c>
      <c r="Z29" s="136">
        <v>0</v>
      </c>
      <c r="AA29" s="140">
        <v>0</v>
      </c>
      <c r="AB29" s="141">
        <v>0</v>
      </c>
      <c r="AC29" s="72">
        <v>0</v>
      </c>
      <c r="AD29" s="72">
        <v>0</v>
      </c>
      <c r="AE29" s="142">
        <v>0</v>
      </c>
      <c r="AF29" s="143"/>
      <c r="AG29" s="144">
        <v>0</v>
      </c>
      <c r="AH29" s="144" t="s">
        <v>728</v>
      </c>
      <c r="AI29" t="str">
        <f>VLOOKUP(A29,薪酬明细!A:A,1,0)</f>
        <v>开弈人才张祥</v>
      </c>
    </row>
    <row r="30" s="96" customFormat="1" ht="23" customHeight="1" outlineLevel="1" spans="1:35">
      <c r="A30" s="26" t="str">
        <f t="shared" si="0"/>
        <v>弈工分信息王力</v>
      </c>
      <c r="B30" s="26" t="str">
        <f>VLOOKUP($A30,薪酬明细!$A:$G,2,0)</f>
        <v>物业管理部</v>
      </c>
      <c r="C30" s="26" t="s">
        <v>72</v>
      </c>
      <c r="D30" s="26" t="str">
        <f>VLOOKUP($A30,薪酬明细!$A:$G,4,0)</f>
        <v>正常计税</v>
      </c>
      <c r="E30" s="26" t="str">
        <f>VLOOKUP($A30,薪酬明细!$A:$G,5,0)</f>
        <v>物业管理部</v>
      </c>
      <c r="F30" s="26" t="str">
        <f>VLOOKUP($A30,薪酬明细!$A:$G,6,0)</f>
        <v>汪顺</v>
      </c>
      <c r="G30" s="26" t="str">
        <f>VLOOKUP($A30,薪酬明细!$A:$G,7,0)</f>
        <v>物业管理</v>
      </c>
      <c r="H30" s="132">
        <v>43556</v>
      </c>
      <c r="I30" s="52" t="s">
        <v>569</v>
      </c>
      <c r="J30" s="133">
        <v>13310</v>
      </c>
      <c r="K30" s="134">
        <v>19.5</v>
      </c>
      <c r="L30" s="135">
        <f>-ROUND(J30/21.75*K30*10%,2)</f>
        <v>-1193.31</v>
      </c>
      <c r="M30" s="136">
        <v>0</v>
      </c>
      <c r="N30" s="135">
        <f t="shared" ref="N30:N44" si="3">-ROUND(J30/21.75*M30,2)</f>
        <v>0</v>
      </c>
      <c r="O30" s="137"/>
      <c r="P30" s="138"/>
      <c r="Q30" s="138"/>
      <c r="R30" s="138"/>
      <c r="S30" s="135"/>
      <c r="T30" s="137"/>
      <c r="U30" s="72">
        <v>0</v>
      </c>
      <c r="V30" s="135"/>
      <c r="W30" s="139">
        <f t="shared" si="2"/>
        <v>-1193.31</v>
      </c>
      <c r="X30" s="136">
        <v>0</v>
      </c>
      <c r="Y30" s="136">
        <v>0</v>
      </c>
      <c r="Z30" s="136">
        <v>0</v>
      </c>
      <c r="AA30" s="140">
        <v>0</v>
      </c>
      <c r="AB30" s="141">
        <v>0</v>
      </c>
      <c r="AC30" s="72">
        <v>0</v>
      </c>
      <c r="AD30" s="72">
        <v>0</v>
      </c>
      <c r="AE30" s="142">
        <v>0</v>
      </c>
      <c r="AF30" s="143"/>
      <c r="AG30" s="144">
        <v>0</v>
      </c>
      <c r="AH30" s="144" t="s">
        <v>729</v>
      </c>
      <c r="AI30" t="str">
        <f>VLOOKUP(A30,薪酬明细!A:A,1,0)</f>
        <v>弈工分信息王力</v>
      </c>
    </row>
    <row r="31" s="96" customFormat="1" ht="23" customHeight="1" outlineLevel="1" spans="1:35">
      <c r="A31" s="26" t="str">
        <f t="shared" si="0"/>
        <v>开弈投资韩燕</v>
      </c>
      <c r="B31" s="26" t="str">
        <f>VLOOKUP($A31,薪酬明细!$A:$G,2,0)</f>
        <v>F-大财务部</v>
      </c>
      <c r="C31" s="26" t="s">
        <v>71</v>
      </c>
      <c r="D31" s="26" t="str">
        <f>VLOOKUP($A31,薪酬明细!$A:$G,4,0)</f>
        <v>正常计税</v>
      </c>
      <c r="E31" s="26" t="str">
        <f>VLOOKUP($A31,薪酬明细!$A:$G,5,0)</f>
        <v>财务部</v>
      </c>
      <c r="F31" s="26" t="str">
        <f>VLOOKUP($A31,薪酬明细!$A:$G,6,0)</f>
        <v>蔡心宇</v>
      </c>
      <c r="G31" s="26" t="str">
        <f>VLOOKUP($A31,薪酬明细!$A:$G,7,0)</f>
        <v>会计</v>
      </c>
      <c r="H31" s="132">
        <v>42296</v>
      </c>
      <c r="I31" s="52" t="s">
        <v>343</v>
      </c>
      <c r="J31" s="133">
        <v>10000</v>
      </c>
      <c r="K31" s="134">
        <v>0</v>
      </c>
      <c r="L31" s="135"/>
      <c r="M31" s="136">
        <v>0</v>
      </c>
      <c r="N31" s="135">
        <f t="shared" si="3"/>
        <v>0</v>
      </c>
      <c r="O31" s="137"/>
      <c r="P31" s="138"/>
      <c r="Q31" s="138"/>
      <c r="R31" s="138"/>
      <c r="S31" s="135"/>
      <c r="T31" s="137"/>
      <c r="U31" s="72">
        <v>0</v>
      </c>
      <c r="V31" s="135"/>
      <c r="W31" s="139">
        <f t="shared" si="2"/>
        <v>0</v>
      </c>
      <c r="X31" s="136">
        <v>0</v>
      </c>
      <c r="Y31" s="136">
        <v>2</v>
      </c>
      <c r="Z31" s="136">
        <v>0</v>
      </c>
      <c r="AA31" s="140">
        <v>0</v>
      </c>
      <c r="AB31" s="141">
        <v>0</v>
      </c>
      <c r="AC31" s="72">
        <v>0</v>
      </c>
      <c r="AD31" s="72">
        <v>0</v>
      </c>
      <c r="AE31" s="142">
        <v>0</v>
      </c>
      <c r="AF31" s="143"/>
      <c r="AG31" s="144">
        <v>0</v>
      </c>
      <c r="AH31" s="144" t="s">
        <v>730</v>
      </c>
      <c r="AI31" t="str">
        <f>VLOOKUP(A31,薪酬明细!A:A,1,0)</f>
        <v>开弈投资韩燕</v>
      </c>
    </row>
    <row r="32" s="96" customFormat="1" ht="23" customHeight="1" outlineLevel="1" spans="1:35">
      <c r="A32" s="26" t="str">
        <f t="shared" si="0"/>
        <v>开弈投资王永佳</v>
      </c>
      <c r="B32" s="26" t="str">
        <f>VLOOKUP($A32,薪酬明细!$A:$G,2,0)</f>
        <v>F-大财务部</v>
      </c>
      <c r="C32" s="26" t="s">
        <v>71</v>
      </c>
      <c r="D32" s="26" t="str">
        <f>VLOOKUP($A32,薪酬明细!$A:$G,4,0)</f>
        <v>正常计税</v>
      </c>
      <c r="E32" s="26" t="str">
        <f>VLOOKUP($A32,薪酬明细!$A:$G,5,0)</f>
        <v>财务部</v>
      </c>
      <c r="F32" s="26" t="str">
        <f>VLOOKUP($A32,薪酬明细!$A:$G,6,0)</f>
        <v>蔡心宇</v>
      </c>
      <c r="G32" s="26" t="str">
        <f>VLOOKUP($A32,薪酬明细!$A:$G,7,0)</f>
        <v>会计</v>
      </c>
      <c r="H32" s="132">
        <v>44025</v>
      </c>
      <c r="I32" s="52" t="s">
        <v>387</v>
      </c>
      <c r="J32" s="133">
        <v>10000</v>
      </c>
      <c r="K32" s="134">
        <v>0</v>
      </c>
      <c r="L32" s="135">
        <f>-ROUND(J32/21.75*K32*20%,2)</f>
        <v>0</v>
      </c>
      <c r="M32" s="136">
        <v>0</v>
      </c>
      <c r="N32" s="135">
        <f t="shared" si="3"/>
        <v>0</v>
      </c>
      <c r="O32" s="137"/>
      <c r="P32" s="138"/>
      <c r="Q32" s="138"/>
      <c r="R32" s="138"/>
      <c r="S32" s="135"/>
      <c r="T32" s="137"/>
      <c r="U32" s="72">
        <v>0</v>
      </c>
      <c r="V32" s="135"/>
      <c r="W32" s="139">
        <f t="shared" si="2"/>
        <v>0</v>
      </c>
      <c r="X32" s="136">
        <v>0</v>
      </c>
      <c r="Y32" s="136">
        <v>0</v>
      </c>
      <c r="Z32" s="136">
        <v>0</v>
      </c>
      <c r="AA32" s="140">
        <v>0.5</v>
      </c>
      <c r="AB32" s="141">
        <v>0</v>
      </c>
      <c r="AC32" s="72">
        <v>0</v>
      </c>
      <c r="AD32" s="72">
        <v>0</v>
      </c>
      <c r="AE32" s="142">
        <v>0</v>
      </c>
      <c r="AF32" s="143"/>
      <c r="AG32" s="144">
        <v>0</v>
      </c>
      <c r="AH32" s="144" t="s">
        <v>731</v>
      </c>
      <c r="AI32" t="str">
        <f>VLOOKUP(A32,薪酬明细!A:A,1,0)</f>
        <v>开弈投资王永佳</v>
      </c>
    </row>
    <row r="33" s="96" customFormat="1" ht="23" customHeight="1" outlineLevel="1" spans="1:35">
      <c r="A33" s="26" t="str">
        <f t="shared" si="0"/>
        <v>开弈人力资源芦智蔚</v>
      </c>
      <c r="B33" s="26" t="str">
        <f>VLOOKUP($A33,薪酬明细!$A:$G,2,0)</f>
        <v>F-大财务部</v>
      </c>
      <c r="C33" s="26" t="s">
        <v>61</v>
      </c>
      <c r="D33" s="26" t="str">
        <f>VLOOKUP($A33,薪酬明细!$A:$G,4,0)</f>
        <v>正常计税</v>
      </c>
      <c r="E33" s="26" t="str">
        <f>VLOOKUP($A33,薪酬明细!$A:$G,5,0)</f>
        <v>财务部</v>
      </c>
      <c r="F33" s="26" t="str">
        <f>VLOOKUP($A33,薪酬明细!$A:$G,6,0)</f>
        <v>张毅</v>
      </c>
      <c r="G33" s="26" t="str">
        <f>VLOOKUP($A33,薪酬明细!$A:$G,7,0)</f>
        <v>财务经理</v>
      </c>
      <c r="H33" s="132">
        <v>39052</v>
      </c>
      <c r="I33" s="52" t="s">
        <v>320</v>
      </c>
      <c r="J33" s="133">
        <v>20000</v>
      </c>
      <c r="K33" s="134">
        <v>0</v>
      </c>
      <c r="L33" s="135"/>
      <c r="M33" s="136">
        <v>0</v>
      </c>
      <c r="N33" s="135">
        <f t="shared" si="3"/>
        <v>0</v>
      </c>
      <c r="O33" s="137"/>
      <c r="P33" s="138"/>
      <c r="Q33" s="138"/>
      <c r="R33" s="138"/>
      <c r="S33" s="135"/>
      <c r="T33" s="137"/>
      <c r="U33" s="72">
        <v>0</v>
      </c>
      <c r="V33" s="135"/>
      <c r="W33" s="139">
        <f t="shared" si="2"/>
        <v>0</v>
      </c>
      <c r="X33" s="136">
        <v>0</v>
      </c>
      <c r="Y33" s="136">
        <v>0</v>
      </c>
      <c r="Z33" s="136">
        <v>0</v>
      </c>
      <c r="AA33" s="140">
        <v>0</v>
      </c>
      <c r="AB33" s="141">
        <v>0</v>
      </c>
      <c r="AC33" s="72">
        <v>0</v>
      </c>
      <c r="AD33" s="72">
        <v>0</v>
      </c>
      <c r="AE33" s="142">
        <v>0</v>
      </c>
      <c r="AF33" s="143" t="s">
        <v>723</v>
      </c>
      <c r="AG33" s="144">
        <v>0</v>
      </c>
      <c r="AH33" s="144">
        <v>0</v>
      </c>
      <c r="AI33" t="str">
        <f>VLOOKUP(A33,薪酬明细!A:A,1,0)</f>
        <v>开弈人力资源芦智蔚</v>
      </c>
    </row>
    <row r="34" s="96" customFormat="1" ht="23" customHeight="1" outlineLevel="1" spans="1:35">
      <c r="A34" s="26" t="str">
        <f t="shared" si="0"/>
        <v>弈工分信息武敏辉</v>
      </c>
      <c r="B34" s="26" t="str">
        <f>VLOOKUP($A34,薪酬明细!$A:$G,2,0)</f>
        <v>园区-商办&amp;企业服务</v>
      </c>
      <c r="C34" s="26" t="s">
        <v>72</v>
      </c>
      <c r="D34" s="26" t="str">
        <f>VLOOKUP($A34,薪酬明细!$A:$G,4,0)</f>
        <v>正常计税</v>
      </c>
      <c r="E34" s="26" t="str">
        <f>VLOOKUP($A34,薪酬明细!$A:$G,5,0)</f>
        <v>办公&amp;企业服务</v>
      </c>
      <c r="F34" s="26" t="str">
        <f>VLOOKUP($A34,薪酬明细!$A:$G,6,0)</f>
        <v>韩喆</v>
      </c>
      <c r="G34" s="26" t="str">
        <f>VLOOKUP($A34,薪酬明细!$A:$G,7,0)</f>
        <v>业务拓展经理</v>
      </c>
      <c r="H34" s="132">
        <v>40994</v>
      </c>
      <c r="I34" s="52" t="s">
        <v>525</v>
      </c>
      <c r="J34" s="133">
        <v>20000</v>
      </c>
      <c r="K34" s="134">
        <v>0</v>
      </c>
      <c r="L34" s="135"/>
      <c r="M34" s="136">
        <v>0</v>
      </c>
      <c r="N34" s="135">
        <f t="shared" si="3"/>
        <v>0</v>
      </c>
      <c r="O34" s="137"/>
      <c r="P34" s="138"/>
      <c r="Q34" s="138"/>
      <c r="R34" s="138"/>
      <c r="S34" s="135"/>
      <c r="T34" s="137"/>
      <c r="U34" s="72">
        <v>0</v>
      </c>
      <c r="V34" s="135"/>
      <c r="W34" s="139">
        <f t="shared" si="2"/>
        <v>0</v>
      </c>
      <c r="X34" s="136">
        <v>0</v>
      </c>
      <c r="Y34" s="136">
        <v>3</v>
      </c>
      <c r="Z34" s="136">
        <v>0</v>
      </c>
      <c r="AA34" s="140">
        <v>0</v>
      </c>
      <c r="AB34" s="141">
        <v>0</v>
      </c>
      <c r="AC34" s="72">
        <v>0</v>
      </c>
      <c r="AD34" s="72">
        <v>0</v>
      </c>
      <c r="AE34" s="142">
        <v>0</v>
      </c>
      <c r="AF34" s="143" t="s">
        <v>723</v>
      </c>
      <c r="AG34" s="144">
        <v>0</v>
      </c>
      <c r="AH34" s="144" t="s">
        <v>725</v>
      </c>
      <c r="AI34" t="str">
        <f>VLOOKUP(A34,薪酬明细!A:A,1,0)</f>
        <v>弈工分信息武敏辉</v>
      </c>
    </row>
    <row r="35" s="96" customFormat="1" ht="23" customHeight="1" outlineLevel="1" spans="1:35">
      <c r="A35" s="26" t="str">
        <f t="shared" si="0"/>
        <v>开弈投资李萍萍</v>
      </c>
      <c r="B35" s="26" t="str">
        <f>VLOOKUP($A35,薪酬明细!$A:$G,2,0)</f>
        <v>园区-商办&amp;企业服务</v>
      </c>
      <c r="C35" s="26" t="s">
        <v>71</v>
      </c>
      <c r="D35" s="26" t="str">
        <f>VLOOKUP($A35,薪酬明细!$A:$G,4,0)</f>
        <v>正常计税</v>
      </c>
      <c r="E35" s="26" t="str">
        <f>VLOOKUP($A35,薪酬明细!$A:$G,5,0)</f>
        <v>办公&amp;企业服务</v>
      </c>
      <c r="F35" s="26" t="str">
        <f>VLOOKUP($A35,薪酬明细!$A:$G,6,0)</f>
        <v>韩喆</v>
      </c>
      <c r="G35" s="26" t="str">
        <f>VLOOKUP($A35,薪酬明细!$A:$G,7,0)</f>
        <v>业务拓展经理</v>
      </c>
      <c r="H35" s="132">
        <v>41288</v>
      </c>
      <c r="I35" s="52" t="s">
        <v>520</v>
      </c>
      <c r="J35" s="133">
        <v>22210</v>
      </c>
      <c r="K35" s="134">
        <v>0</v>
      </c>
      <c r="L35" s="135"/>
      <c r="M35" s="136">
        <v>0</v>
      </c>
      <c r="N35" s="135">
        <f t="shared" si="3"/>
        <v>0</v>
      </c>
      <c r="O35" s="137"/>
      <c r="P35" s="138"/>
      <c r="Q35" s="138"/>
      <c r="R35" s="138"/>
      <c r="S35" s="135"/>
      <c r="T35" s="137"/>
      <c r="U35" s="72">
        <v>0</v>
      </c>
      <c r="V35" s="135">
        <f>-ROUND(J35/21.75*U35,2)</f>
        <v>0</v>
      </c>
      <c r="W35" s="139">
        <f t="shared" si="2"/>
        <v>0</v>
      </c>
      <c r="X35" s="136">
        <v>0</v>
      </c>
      <c r="Y35" s="136">
        <v>0</v>
      </c>
      <c r="Z35" s="136">
        <v>0</v>
      </c>
      <c r="AA35" s="140">
        <v>0</v>
      </c>
      <c r="AB35" s="141">
        <v>0</v>
      </c>
      <c r="AC35" s="72">
        <v>0</v>
      </c>
      <c r="AD35" s="72">
        <v>0</v>
      </c>
      <c r="AE35" s="142">
        <v>0</v>
      </c>
      <c r="AF35" s="143"/>
      <c r="AG35" s="144">
        <v>0</v>
      </c>
      <c r="AH35" s="144">
        <v>0</v>
      </c>
      <c r="AI35" t="str">
        <f>VLOOKUP(A35,薪酬明细!A:A,1,0)</f>
        <v>开弈投资李萍萍</v>
      </c>
    </row>
    <row r="36" s="96" customFormat="1" ht="23" customHeight="1" outlineLevel="1" spans="1:35">
      <c r="A36" s="26" t="str">
        <f t="shared" si="0"/>
        <v>开弈投资李佳</v>
      </c>
      <c r="B36" s="26" t="str">
        <f>VLOOKUP($A36,薪酬明细!$A:$G,2,0)</f>
        <v>F-账务部</v>
      </c>
      <c r="C36" s="26" t="s">
        <v>71</v>
      </c>
      <c r="D36" s="26" t="str">
        <f>VLOOKUP($A36,薪酬明细!$A:$G,4,0)</f>
        <v>正常计税</v>
      </c>
      <c r="E36" s="26" t="str">
        <f>VLOOKUP($A36,薪酬明细!$A:$G,5,0)</f>
        <v>账务部</v>
      </c>
      <c r="F36" s="26" t="str">
        <f>VLOOKUP($A36,薪酬明细!$A:$G,6,0)</f>
        <v>王倩</v>
      </c>
      <c r="G36" s="26" t="str">
        <f>VLOOKUP($A36,薪酬明细!$A:$G,7,0)</f>
        <v>账务专员</v>
      </c>
      <c r="H36" s="132">
        <v>41743</v>
      </c>
      <c r="I36" s="52" t="s">
        <v>357</v>
      </c>
      <c r="J36" s="133">
        <v>8200</v>
      </c>
      <c r="K36" s="134">
        <v>1</v>
      </c>
      <c r="L36" s="135"/>
      <c r="M36" s="136">
        <v>0</v>
      </c>
      <c r="N36" s="135">
        <f t="shared" si="3"/>
        <v>0</v>
      </c>
      <c r="O36" s="137"/>
      <c r="P36" s="138"/>
      <c r="Q36" s="138"/>
      <c r="R36" s="138"/>
      <c r="S36" s="135"/>
      <c r="T36" s="137"/>
      <c r="U36" s="72">
        <v>0</v>
      </c>
      <c r="V36" s="135"/>
      <c r="W36" s="139">
        <f t="shared" si="2"/>
        <v>0</v>
      </c>
      <c r="X36" s="136">
        <v>0</v>
      </c>
      <c r="Y36" s="136">
        <v>1</v>
      </c>
      <c r="Z36" s="136">
        <v>0</v>
      </c>
      <c r="AA36" s="140">
        <v>0</v>
      </c>
      <c r="AB36" s="141">
        <v>0</v>
      </c>
      <c r="AC36" s="72">
        <v>0</v>
      </c>
      <c r="AD36" s="72">
        <v>0</v>
      </c>
      <c r="AE36" s="142">
        <v>0</v>
      </c>
      <c r="AF36" s="143"/>
      <c r="AG36" s="144">
        <v>0</v>
      </c>
      <c r="AH36" s="144" t="s">
        <v>732</v>
      </c>
      <c r="AI36" t="str">
        <f>VLOOKUP(A36,薪酬明细!A:A,1,0)</f>
        <v>开弈投资李佳</v>
      </c>
    </row>
    <row r="37" s="96" customFormat="1" ht="23" customHeight="1" outlineLevel="1" spans="1:35">
      <c r="A37" s="26" t="str">
        <f t="shared" si="0"/>
        <v>开弈投资林水桃</v>
      </c>
      <c r="B37" s="26" t="str">
        <f>VLOOKUP($A37,薪酬明细!$A:$G,2,0)</f>
        <v>G-Jenny-家庭</v>
      </c>
      <c r="C37" s="26" t="s">
        <v>71</v>
      </c>
      <c r="D37" s="26" t="str">
        <f>VLOOKUP($A37,薪酬明细!$A:$G,4,0)</f>
        <v>正常计税</v>
      </c>
      <c r="E37" s="26" t="str">
        <f>VLOOKUP($A37,薪酬明细!$A:$G,5,0)</f>
        <v>Jenny-家庭</v>
      </c>
      <c r="F37" s="26" t="str">
        <f>VLOOKUP($A37,薪酬明细!$A:$G,6,0)</f>
        <v>蔡心宇</v>
      </c>
      <c r="G37" s="26" t="str">
        <f>VLOOKUP($A37,薪酬明细!$A:$G,7,0)</f>
        <v>驾驶员</v>
      </c>
      <c r="H37" s="132">
        <v>41153</v>
      </c>
      <c r="I37" s="52" t="s">
        <v>375</v>
      </c>
      <c r="J37" s="133">
        <v>4000</v>
      </c>
      <c r="K37" s="134"/>
      <c r="L37" s="135"/>
      <c r="M37" s="136"/>
      <c r="N37" s="135">
        <f t="shared" si="3"/>
        <v>0</v>
      </c>
      <c r="O37" s="137">
        <v>50</v>
      </c>
      <c r="P37" s="138"/>
      <c r="Q37" s="138"/>
      <c r="R37" s="138"/>
      <c r="S37" s="135">
        <f>R37*O37</f>
        <v>0</v>
      </c>
      <c r="T37" s="137">
        <v>0</v>
      </c>
      <c r="U37" s="72"/>
      <c r="V37" s="135"/>
      <c r="W37" s="139">
        <f t="shared" ref="W37:W78" si="4">L37+N37+S37+V37</f>
        <v>0</v>
      </c>
      <c r="X37" s="136">
        <v>0</v>
      </c>
      <c r="Y37" s="136"/>
      <c r="Z37" s="136">
        <v>0</v>
      </c>
      <c r="AA37" s="140"/>
      <c r="AB37" s="141"/>
      <c r="AC37" s="72"/>
      <c r="AD37" s="72"/>
      <c r="AE37" s="142"/>
      <c r="AF37" s="143" t="s">
        <v>733</v>
      </c>
      <c r="AG37" s="144"/>
      <c r="AH37" s="144"/>
      <c r="AI37" t="str">
        <f>VLOOKUP(A37,薪酬明细!A:A,1,0)</f>
        <v>开弈投资林水桃</v>
      </c>
    </row>
    <row r="38" s="96" customFormat="1" ht="23" customHeight="1" outlineLevel="1" spans="1:35">
      <c r="A38" s="26" t="str">
        <f t="shared" si="0"/>
        <v>开弈投资杨美玲</v>
      </c>
      <c r="B38" s="26" t="str">
        <f>VLOOKUP($A38,薪酬明细!$A:$G,2,0)</f>
        <v>C-大后台-行政</v>
      </c>
      <c r="C38" s="26" t="s">
        <v>71</v>
      </c>
      <c r="D38" s="26" t="str">
        <f>VLOOKUP($A38,薪酬明细!$A:$G,4,0)</f>
        <v>正常计税</v>
      </c>
      <c r="E38" s="26" t="str">
        <f>VLOOKUP($A38,薪酬明细!$A:$G,5,0)</f>
        <v>行政部</v>
      </c>
      <c r="F38" s="26" t="str">
        <f>VLOOKUP($A38,薪酬明细!$A:$G,6,0)</f>
        <v>宣国英</v>
      </c>
      <c r="G38" s="26" t="str">
        <f>VLOOKUP($A38,薪酬明细!$A:$G,7,0)</f>
        <v>保洁</v>
      </c>
      <c r="H38" s="132">
        <v>43223</v>
      </c>
      <c r="I38" s="52" t="s">
        <v>389</v>
      </c>
      <c r="J38" s="133">
        <v>4216.8</v>
      </c>
      <c r="K38" s="134">
        <v>0</v>
      </c>
      <c r="L38" s="135">
        <f>-ROUND(J38/21.75*K38*10%,2)</f>
        <v>0</v>
      </c>
      <c r="M38" s="136">
        <v>0</v>
      </c>
      <c r="N38" s="135">
        <f t="shared" si="3"/>
        <v>0</v>
      </c>
      <c r="O38" s="137">
        <v>30</v>
      </c>
      <c r="P38" s="138"/>
      <c r="Q38" s="138"/>
      <c r="R38" s="138">
        <v>63</v>
      </c>
      <c r="S38" s="135">
        <f>O38*R38</f>
        <v>1890</v>
      </c>
      <c r="T38" s="137"/>
      <c r="U38" s="72">
        <v>0</v>
      </c>
      <c r="V38" s="135"/>
      <c r="W38" s="139">
        <f t="shared" si="4"/>
        <v>1890</v>
      </c>
      <c r="X38" s="136">
        <v>0</v>
      </c>
      <c r="Y38" s="136">
        <v>0</v>
      </c>
      <c r="Z38" s="136">
        <v>0</v>
      </c>
      <c r="AA38" s="140">
        <v>0</v>
      </c>
      <c r="AB38" s="141">
        <v>0</v>
      </c>
      <c r="AC38" s="72">
        <v>0</v>
      </c>
      <c r="AD38" s="72">
        <v>0</v>
      </c>
      <c r="AE38" s="142">
        <v>0</v>
      </c>
      <c r="AF38" s="143"/>
      <c r="AG38" s="144">
        <v>0</v>
      </c>
      <c r="AH38" s="144" t="s">
        <v>734</v>
      </c>
      <c r="AI38" t="str">
        <f>VLOOKUP(A38,薪酬明细!A:A,1,0)</f>
        <v>开弈投资杨美玲</v>
      </c>
    </row>
    <row r="39" s="96" customFormat="1" ht="23" customHeight="1" outlineLevel="1" spans="1:35">
      <c r="A39" s="26" t="str">
        <f t="shared" si="0"/>
        <v>弈工分信息方有保</v>
      </c>
      <c r="B39" s="26" t="str">
        <f>VLOOKUP($A39,薪酬明细!$A:$G,2,0)</f>
        <v>物业维修部</v>
      </c>
      <c r="C39" s="26" t="s">
        <v>72</v>
      </c>
      <c r="D39" s="26" t="str">
        <f>VLOOKUP($A39,薪酬明细!$A:$G,4,0)</f>
        <v>正常计税</v>
      </c>
      <c r="E39" s="26" t="str">
        <f>VLOOKUP($A39,薪酬明细!$A:$G,5,0)</f>
        <v>物业维修部</v>
      </c>
      <c r="F39" s="26" t="str">
        <f>VLOOKUP($A39,薪酬明细!$A:$G,6,0)</f>
        <v>汪顺</v>
      </c>
      <c r="G39" s="26" t="str">
        <f>VLOOKUP($A39,薪酬明细!$A:$G,7,0)</f>
        <v>工程维修主管</v>
      </c>
      <c r="H39" s="132">
        <v>43024</v>
      </c>
      <c r="I39" s="52" t="s">
        <v>345</v>
      </c>
      <c r="J39" s="133">
        <v>11500</v>
      </c>
      <c r="K39" s="134">
        <v>0</v>
      </c>
      <c r="L39" s="135">
        <f>-ROUND(J39/21.75*K39*20%,2)</f>
        <v>0</v>
      </c>
      <c r="M39" s="136">
        <v>0</v>
      </c>
      <c r="N39" s="135">
        <f t="shared" si="3"/>
        <v>0</v>
      </c>
      <c r="O39" s="137"/>
      <c r="P39" s="138"/>
      <c r="Q39" s="138"/>
      <c r="R39" s="138"/>
      <c r="S39" s="135"/>
      <c r="T39" s="137"/>
      <c r="U39" s="72">
        <v>0</v>
      </c>
      <c r="V39" s="135"/>
      <c r="W39" s="139">
        <f t="shared" si="4"/>
        <v>0</v>
      </c>
      <c r="X39" s="136">
        <v>0</v>
      </c>
      <c r="Y39" s="136">
        <v>1</v>
      </c>
      <c r="Z39" s="136">
        <v>0</v>
      </c>
      <c r="AA39" s="140">
        <v>0</v>
      </c>
      <c r="AB39" s="141">
        <v>0</v>
      </c>
      <c r="AC39" s="72">
        <v>0</v>
      </c>
      <c r="AD39" s="72">
        <v>0</v>
      </c>
      <c r="AE39" s="142">
        <v>0</v>
      </c>
      <c r="AF39" s="143" t="s">
        <v>735</v>
      </c>
      <c r="AG39" s="144">
        <v>0</v>
      </c>
      <c r="AH39" s="144" t="s">
        <v>726</v>
      </c>
      <c r="AI39" t="str">
        <f>VLOOKUP(A39,薪酬明细!A:A,1,0)</f>
        <v>弈工分信息方有保</v>
      </c>
    </row>
    <row r="40" s="96" customFormat="1" ht="23" customHeight="1" outlineLevel="1" spans="1:35">
      <c r="A40" s="26" t="str">
        <f t="shared" si="0"/>
        <v>开弈投资金学忠</v>
      </c>
      <c r="B40" s="26" t="str">
        <f>VLOOKUP($A40,薪酬明细!$A:$G,2,0)</f>
        <v>物业维修部</v>
      </c>
      <c r="C40" s="26" t="s">
        <v>71</v>
      </c>
      <c r="D40" s="26" t="str">
        <f>VLOOKUP($A40,薪酬明细!$A:$G,4,0)</f>
        <v>正常计税</v>
      </c>
      <c r="E40" s="26" t="str">
        <f>VLOOKUP($A40,薪酬明细!$A:$G,5,0)</f>
        <v>物业维修部</v>
      </c>
      <c r="F40" s="26" t="str">
        <f>VLOOKUP($A40,薪酬明细!$A:$G,6,0)</f>
        <v>方有保</v>
      </c>
      <c r="G40" s="26" t="str">
        <f>VLOOKUP($A40,薪酬明细!$A:$G,7,0)</f>
        <v>水电工程师</v>
      </c>
      <c r="H40" s="132">
        <v>43133</v>
      </c>
      <c r="I40" s="52" t="s">
        <v>347</v>
      </c>
      <c r="J40" s="133">
        <v>9350</v>
      </c>
      <c r="K40" s="134">
        <v>0</v>
      </c>
      <c r="L40" s="135"/>
      <c r="M40" s="136">
        <v>0</v>
      </c>
      <c r="N40" s="135">
        <f t="shared" si="3"/>
        <v>0</v>
      </c>
      <c r="O40" s="137"/>
      <c r="P40" s="138"/>
      <c r="Q40" s="138"/>
      <c r="R40" s="138"/>
      <c r="S40" s="135"/>
      <c r="T40" s="137"/>
      <c r="U40" s="72">
        <v>0</v>
      </c>
      <c r="V40" s="135"/>
      <c r="W40" s="139">
        <f t="shared" si="4"/>
        <v>0</v>
      </c>
      <c r="X40" s="136">
        <v>0</v>
      </c>
      <c r="Y40" s="136">
        <v>0</v>
      </c>
      <c r="Z40" s="136">
        <v>0</v>
      </c>
      <c r="AA40" s="140">
        <v>0</v>
      </c>
      <c r="AB40" s="141">
        <v>0</v>
      </c>
      <c r="AC40" s="72">
        <v>0</v>
      </c>
      <c r="AD40" s="72">
        <v>0</v>
      </c>
      <c r="AE40" s="142">
        <v>0</v>
      </c>
      <c r="AF40" s="143" t="s">
        <v>736</v>
      </c>
      <c r="AG40" s="144">
        <v>0</v>
      </c>
      <c r="AH40" s="144">
        <v>0</v>
      </c>
      <c r="AI40" t="str">
        <f>VLOOKUP(A40,薪酬明细!A:A,1,0)</f>
        <v>开弈投资金学忠</v>
      </c>
    </row>
    <row r="41" s="96" customFormat="1" ht="23" customHeight="1" outlineLevel="1" spans="1:35">
      <c r="A41" s="26" t="str">
        <f t="shared" si="0"/>
        <v>弈工分健康胡金明</v>
      </c>
      <c r="B41" s="26" t="str">
        <f>VLOOKUP($A41,薪酬明细!$A:$G,2,0)</f>
        <v>物业维修部</v>
      </c>
      <c r="C41" s="26" t="s">
        <v>73</v>
      </c>
      <c r="D41" s="26" t="str">
        <f>VLOOKUP($A41,薪酬明细!$A:$G,4,0)</f>
        <v>正常计税</v>
      </c>
      <c r="E41" s="26" t="str">
        <f>VLOOKUP($A41,薪酬明细!$A:$G,5,0)</f>
        <v>物业维修部</v>
      </c>
      <c r="F41" s="26" t="str">
        <f>VLOOKUP($A41,薪酬明细!$A:$G,6,0)</f>
        <v>方有保</v>
      </c>
      <c r="G41" s="26" t="str">
        <f>VLOOKUP($A41,薪酬明细!$A:$G,7,0)</f>
        <v>水电工程师</v>
      </c>
      <c r="H41" s="132">
        <v>43593</v>
      </c>
      <c r="I41" s="52" t="s">
        <v>458</v>
      </c>
      <c r="J41" s="133">
        <v>7500</v>
      </c>
      <c r="K41" s="134">
        <v>0</v>
      </c>
      <c r="L41" s="135">
        <f>-ROUND(J41/21.75*K41*30%,2)</f>
        <v>0</v>
      </c>
      <c r="M41" s="136">
        <v>0</v>
      </c>
      <c r="N41" s="135">
        <f t="shared" si="3"/>
        <v>0</v>
      </c>
      <c r="O41" s="137"/>
      <c r="P41" s="138"/>
      <c r="Q41" s="138"/>
      <c r="R41" s="138"/>
      <c r="S41" s="135"/>
      <c r="T41" s="137"/>
      <c r="U41" s="72">
        <v>0</v>
      </c>
      <c r="V41" s="135"/>
      <c r="W41" s="139">
        <f t="shared" si="4"/>
        <v>0</v>
      </c>
      <c r="X41" s="136">
        <v>0</v>
      </c>
      <c r="Y41" s="136">
        <v>1</v>
      </c>
      <c r="Z41" s="136">
        <v>0</v>
      </c>
      <c r="AA41" s="140">
        <v>0</v>
      </c>
      <c r="AB41" s="141">
        <v>0</v>
      </c>
      <c r="AC41" s="72">
        <v>0</v>
      </c>
      <c r="AD41" s="72">
        <v>0</v>
      </c>
      <c r="AE41" s="142">
        <v>0</v>
      </c>
      <c r="AF41" s="143" t="s">
        <v>736</v>
      </c>
      <c r="AG41" s="144">
        <v>0</v>
      </c>
      <c r="AH41" s="144" t="s">
        <v>726</v>
      </c>
      <c r="AI41" t="str">
        <f>VLOOKUP(A41,薪酬明细!A:A,1,0)</f>
        <v>弈工分健康胡金明</v>
      </c>
    </row>
    <row r="42" s="96" customFormat="1" ht="23" customHeight="1" outlineLevel="1" spans="1:35">
      <c r="A42" s="26" t="str">
        <f t="shared" si="0"/>
        <v>开弈信息杜宪</v>
      </c>
      <c r="B42" s="26" t="str">
        <f>VLOOKUP($A42,薪酬明细!$A:$G,2,0)</f>
        <v>园区-商办&amp;企业服务</v>
      </c>
      <c r="C42" s="26" t="s">
        <v>57</v>
      </c>
      <c r="D42" s="26" t="str">
        <f>VLOOKUP($A42,薪酬明细!$A:$G,4,0)</f>
        <v>正常计税</v>
      </c>
      <c r="E42" s="26" t="str">
        <f>VLOOKUP($A42,薪酬明细!$A:$G,5,0)</f>
        <v>办公&amp;企业服务</v>
      </c>
      <c r="F42" s="26" t="str">
        <f>VLOOKUP($A42,薪酬明细!$A:$G,6,0)</f>
        <v>韩喆</v>
      </c>
      <c r="G42" s="26" t="str">
        <f>VLOOKUP($A42,薪酬明细!$A:$G,7,0)</f>
        <v>业务拓展经理</v>
      </c>
      <c r="H42" s="132">
        <v>43983</v>
      </c>
      <c r="I42" s="52" t="s">
        <v>392</v>
      </c>
      <c r="J42" s="133">
        <v>14000</v>
      </c>
      <c r="K42" s="134">
        <v>0</v>
      </c>
      <c r="L42" s="135">
        <f>-ROUND(J42/21.75*K42*20%,2)</f>
        <v>0</v>
      </c>
      <c r="M42" s="136">
        <v>0</v>
      </c>
      <c r="N42" s="135">
        <f t="shared" si="3"/>
        <v>0</v>
      </c>
      <c r="O42" s="137"/>
      <c r="P42" s="138"/>
      <c r="Q42" s="138"/>
      <c r="R42" s="138"/>
      <c r="S42" s="135"/>
      <c r="T42" s="137"/>
      <c r="U42" s="72">
        <v>0</v>
      </c>
      <c r="V42" s="135"/>
      <c r="W42" s="139">
        <f t="shared" si="4"/>
        <v>0</v>
      </c>
      <c r="X42" s="136">
        <v>0</v>
      </c>
      <c r="Y42" s="136">
        <v>0</v>
      </c>
      <c r="Z42" s="136">
        <v>0</v>
      </c>
      <c r="AA42" s="140">
        <v>0</v>
      </c>
      <c r="AB42" s="141">
        <v>0</v>
      </c>
      <c r="AC42" s="72">
        <v>0</v>
      </c>
      <c r="AD42" s="72">
        <v>0</v>
      </c>
      <c r="AE42" s="142">
        <v>0</v>
      </c>
      <c r="AF42" s="143"/>
      <c r="AG42" s="144">
        <v>0</v>
      </c>
      <c r="AH42" s="144">
        <v>0</v>
      </c>
      <c r="AI42" t="str">
        <f>VLOOKUP(A42,薪酬明细!A:A,1,0)</f>
        <v>开弈信息杜宪</v>
      </c>
    </row>
    <row r="43" s="96" customFormat="1" ht="23" customHeight="1" outlineLevel="1" spans="1:35">
      <c r="A43" s="26" t="str">
        <f t="shared" si="0"/>
        <v>弈工分信息林知峰</v>
      </c>
      <c r="B43" s="26" t="str">
        <f>VLOOKUP($A43,薪酬明细!$A:$G,2,0)</f>
        <v>园区-公寓&amp;企业服务部</v>
      </c>
      <c r="C43" s="26" t="s">
        <v>72</v>
      </c>
      <c r="D43" s="26" t="str">
        <f>VLOOKUP($A43,薪酬明细!$A:$G,4,0)</f>
        <v>正常计税</v>
      </c>
      <c r="E43" s="26" t="str">
        <f>VLOOKUP($A43,薪酬明细!$A:$G,5,0)</f>
        <v>公寓&amp;企业服务部</v>
      </c>
      <c r="F43" s="26" t="str">
        <f>VLOOKUP($A43,薪酬明细!$A:$G,6,0)</f>
        <v>王倩</v>
      </c>
      <c r="G43" s="26" t="str">
        <f>VLOOKUP($A43,薪酬明细!$A:$G,7,0)</f>
        <v>公寓副总</v>
      </c>
      <c r="H43" s="132">
        <v>44166</v>
      </c>
      <c r="I43" s="52" t="s">
        <v>531</v>
      </c>
      <c r="J43" s="133">
        <v>20000</v>
      </c>
      <c r="K43" s="134">
        <v>0</v>
      </c>
      <c r="L43" s="135">
        <f>-ROUND(J43/21.75*K43*20%,2)</f>
        <v>0</v>
      </c>
      <c r="M43" s="136">
        <v>0</v>
      </c>
      <c r="N43" s="135">
        <f t="shared" si="3"/>
        <v>0</v>
      </c>
      <c r="O43" s="137"/>
      <c r="P43" s="138"/>
      <c r="Q43" s="138"/>
      <c r="R43" s="138"/>
      <c r="S43" s="135"/>
      <c r="T43" s="137"/>
      <c r="U43" s="72">
        <v>0</v>
      </c>
      <c r="V43" s="135"/>
      <c r="W43" s="139">
        <f t="shared" si="4"/>
        <v>0</v>
      </c>
      <c r="X43" s="136">
        <v>0</v>
      </c>
      <c r="Y43" s="136">
        <v>0.5</v>
      </c>
      <c r="Z43" s="136">
        <v>0</v>
      </c>
      <c r="AA43" s="140">
        <v>0</v>
      </c>
      <c r="AB43" s="141">
        <v>0</v>
      </c>
      <c r="AC43" s="72">
        <v>0</v>
      </c>
      <c r="AD43" s="72">
        <v>0</v>
      </c>
      <c r="AE43" s="142">
        <v>0</v>
      </c>
      <c r="AF43" s="143"/>
      <c r="AG43" s="144">
        <v>0</v>
      </c>
      <c r="AH43" s="144" t="s">
        <v>724</v>
      </c>
      <c r="AI43" t="str">
        <f>VLOOKUP(A43,薪酬明细!A:A,1,0)</f>
        <v>弈工分信息林知峰</v>
      </c>
    </row>
    <row r="44" s="96" customFormat="1" ht="23" customHeight="1" outlineLevel="1" spans="1:35">
      <c r="A44" s="26" t="str">
        <f t="shared" si="0"/>
        <v>开弈投资李蕾</v>
      </c>
      <c r="B44" s="26" t="str">
        <f>VLOOKUP($A44,薪酬明细!$A:$G,2,0)</f>
        <v>F-大财务部</v>
      </c>
      <c r="C44" s="26" t="s">
        <v>71</v>
      </c>
      <c r="D44" s="26" t="str">
        <f>VLOOKUP($A44,薪酬明细!$A:$G,4,0)</f>
        <v>正常计税</v>
      </c>
      <c r="E44" s="26" t="str">
        <f>VLOOKUP($A44,薪酬明细!$A:$G,5,0)</f>
        <v>财务部</v>
      </c>
      <c r="F44" s="26" t="str">
        <f>VLOOKUP($A44,薪酬明细!$A:$G,6,0)</f>
        <v>芦智蔚</v>
      </c>
      <c r="G44" s="26" t="str">
        <f>VLOOKUP($A44,薪酬明细!$A:$G,7,0)</f>
        <v>会计</v>
      </c>
      <c r="H44" s="132">
        <v>44334</v>
      </c>
      <c r="I44" s="52" t="s">
        <v>371</v>
      </c>
      <c r="J44" s="133">
        <v>10000</v>
      </c>
      <c r="K44" s="134">
        <v>0</v>
      </c>
      <c r="L44" s="135">
        <f>-ROUND(J44/21.75*K44*20%,2)</f>
        <v>0</v>
      </c>
      <c r="M44" s="136">
        <v>0</v>
      </c>
      <c r="N44" s="135">
        <f t="shared" si="3"/>
        <v>0</v>
      </c>
      <c r="O44" s="137"/>
      <c r="P44" s="138"/>
      <c r="Q44" s="138"/>
      <c r="R44" s="138"/>
      <c r="S44" s="135"/>
      <c r="T44" s="137"/>
      <c r="U44" s="72">
        <v>0</v>
      </c>
      <c r="V44" s="135"/>
      <c r="W44" s="139">
        <f t="shared" si="4"/>
        <v>0</v>
      </c>
      <c r="X44" s="136">
        <v>0</v>
      </c>
      <c r="Y44" s="136">
        <v>0</v>
      </c>
      <c r="Z44" s="136">
        <v>0</v>
      </c>
      <c r="AA44" s="140">
        <v>0</v>
      </c>
      <c r="AB44" s="141">
        <v>0</v>
      </c>
      <c r="AC44" s="72">
        <v>0</v>
      </c>
      <c r="AD44" s="72">
        <v>10</v>
      </c>
      <c r="AE44" s="142">
        <v>0</v>
      </c>
      <c r="AF44" s="143"/>
      <c r="AG44" s="144">
        <v>0</v>
      </c>
      <c r="AH44" s="144" t="s">
        <v>737</v>
      </c>
      <c r="AI44" t="str">
        <f>VLOOKUP(A44,薪酬明细!A:A,1,0)</f>
        <v>开弈投资李蕾</v>
      </c>
    </row>
    <row r="45" s="96" customFormat="1" ht="23" customHeight="1" outlineLevel="1" spans="1:35">
      <c r="A45" s="26" t="str">
        <f t="shared" si="0"/>
        <v>开弈投资王建平</v>
      </c>
      <c r="B45" s="26" t="str">
        <f>VLOOKUP($A45,薪酬明细!$A:$G,2,0)</f>
        <v>物业保洁部</v>
      </c>
      <c r="C45" s="26" t="s">
        <v>71</v>
      </c>
      <c r="D45" s="26" t="str">
        <f>VLOOKUP($A45,薪酬明细!$A:$G,4,0)</f>
        <v>正常计税</v>
      </c>
      <c r="E45" s="26" t="str">
        <f>VLOOKUP($A45,薪酬明细!$A:$G,5,0)</f>
        <v>物业保洁部</v>
      </c>
      <c r="F45" s="26" t="str">
        <f>VLOOKUP($A45,薪酬明细!$A:$G,6,0)</f>
        <v>宣国英</v>
      </c>
      <c r="G45" s="26" t="str">
        <f>VLOOKUP($A45,薪酬明细!$A:$G,7,0)</f>
        <v>保洁</v>
      </c>
      <c r="H45" s="132">
        <v>44417</v>
      </c>
      <c r="I45" s="52" t="s">
        <v>381</v>
      </c>
      <c r="J45" s="133">
        <v>6754</v>
      </c>
      <c r="K45" s="134">
        <v>0</v>
      </c>
      <c r="L45" s="135"/>
      <c r="M45" s="136">
        <v>0</v>
      </c>
      <c r="N45" s="135"/>
      <c r="O45" s="137"/>
      <c r="P45" s="138"/>
      <c r="Q45" s="138"/>
      <c r="R45" s="138"/>
      <c r="S45" s="135"/>
      <c r="T45" s="137"/>
      <c r="U45" s="72">
        <v>0</v>
      </c>
      <c r="V45" s="135"/>
      <c r="W45" s="139">
        <f t="shared" si="4"/>
        <v>0</v>
      </c>
      <c r="X45" s="136">
        <v>0</v>
      </c>
      <c r="Y45" s="136">
        <v>0</v>
      </c>
      <c r="Z45" s="136">
        <v>0</v>
      </c>
      <c r="AA45" s="140">
        <v>0</v>
      </c>
      <c r="AB45" s="141">
        <v>0</v>
      </c>
      <c r="AC45" s="72">
        <v>0</v>
      </c>
      <c r="AD45" s="72">
        <v>0</v>
      </c>
      <c r="AE45" s="142">
        <v>0</v>
      </c>
      <c r="AF45" s="143"/>
      <c r="AG45" s="144">
        <v>0</v>
      </c>
      <c r="AH45" s="144">
        <v>0</v>
      </c>
      <c r="AI45" t="str">
        <f>VLOOKUP(A45,薪酬明细!A:A,1,0)</f>
        <v>开弈投资王建平</v>
      </c>
    </row>
    <row r="46" s="96" customFormat="1" ht="23" customHeight="1" outlineLevel="1" spans="1:35">
      <c r="A46" s="26" t="str">
        <f t="shared" si="0"/>
        <v>弈工分信息王倩</v>
      </c>
      <c r="B46" s="26" t="str">
        <f>VLOOKUP($A46,薪酬明细!$A:$G,2,0)</f>
        <v>园区-公寓&amp;企业服务部</v>
      </c>
      <c r="C46" s="26" t="s">
        <v>72</v>
      </c>
      <c r="D46" s="26" t="str">
        <f>VLOOKUP($A46,薪酬明细!$A:$G,4,0)</f>
        <v>正常计税</v>
      </c>
      <c r="E46" s="26" t="str">
        <f>VLOOKUP($A46,薪酬明细!$A:$G,5,0)</f>
        <v>公寓&amp;企业服务部</v>
      </c>
      <c r="F46" s="26" t="str">
        <f>VLOOKUP($A46,薪酬明细!$A:$G,6,0)</f>
        <v>张毅</v>
      </c>
      <c r="G46" s="26" t="str">
        <f>VLOOKUP($A46,薪酬明细!$A:$G,7,0)</f>
        <v>公寓总经理</v>
      </c>
      <c r="H46" s="132">
        <v>44441</v>
      </c>
      <c r="I46" s="52" t="s">
        <v>270</v>
      </c>
      <c r="J46" s="133">
        <v>21000</v>
      </c>
      <c r="K46" s="134">
        <v>0</v>
      </c>
      <c r="L46" s="135"/>
      <c r="M46" s="136">
        <v>0</v>
      </c>
      <c r="N46" s="135"/>
      <c r="O46" s="137"/>
      <c r="P46" s="138"/>
      <c r="Q46" s="138"/>
      <c r="R46" s="138"/>
      <c r="S46" s="135"/>
      <c r="T46" s="137"/>
      <c r="U46" s="72">
        <v>0</v>
      </c>
      <c r="V46" s="135"/>
      <c r="W46" s="139">
        <f t="shared" si="4"/>
        <v>0</v>
      </c>
      <c r="X46" s="136">
        <v>0</v>
      </c>
      <c r="Y46" s="136">
        <v>0</v>
      </c>
      <c r="Z46" s="136">
        <v>0</v>
      </c>
      <c r="AA46" s="140">
        <v>0</v>
      </c>
      <c r="AB46" s="141">
        <v>0</v>
      </c>
      <c r="AC46" s="72">
        <v>0</v>
      </c>
      <c r="AD46" s="72">
        <v>0</v>
      </c>
      <c r="AE46" s="142">
        <v>0</v>
      </c>
      <c r="AF46" s="143"/>
      <c r="AG46" s="144">
        <v>0</v>
      </c>
      <c r="AH46" s="144">
        <v>0</v>
      </c>
      <c r="AI46" t="str">
        <f>VLOOKUP(A46,薪酬明细!A:A,1,0)</f>
        <v>弈工分信息王倩</v>
      </c>
    </row>
    <row r="47" s="96" customFormat="1" ht="23" customHeight="1" outlineLevel="1" spans="1:35">
      <c r="A47" s="26" t="str">
        <f t="shared" si="0"/>
        <v>开弈投资王韬</v>
      </c>
      <c r="B47" s="26" t="str">
        <f>VLOOKUP($A47,薪酬明细!$A:$G,2,0)</f>
        <v>物业管理部</v>
      </c>
      <c r="C47" s="26" t="s">
        <v>71</v>
      </c>
      <c r="D47" s="26" t="str">
        <f>VLOOKUP($A47,薪酬明细!$A:$G,4,0)</f>
        <v>正常计税</v>
      </c>
      <c r="E47" s="26" t="str">
        <f>VLOOKUP($A47,薪酬明细!$A:$G,5,0)</f>
        <v>物业管理部</v>
      </c>
      <c r="F47" s="26" t="str">
        <f>VLOOKUP($A47,薪酬明细!$A:$G,6,0)</f>
        <v>汪顺</v>
      </c>
      <c r="G47" s="26" t="str">
        <f>VLOOKUP($A47,薪酬明细!$A:$G,7,0)</f>
        <v>物业管理</v>
      </c>
      <c r="H47" s="132">
        <v>44420</v>
      </c>
      <c r="I47" s="52" t="s">
        <v>385</v>
      </c>
      <c r="J47" s="133">
        <v>12600</v>
      </c>
      <c r="K47" s="134">
        <v>0</v>
      </c>
      <c r="L47" s="135"/>
      <c r="M47" s="136">
        <v>0</v>
      </c>
      <c r="N47" s="135">
        <f t="shared" ref="N47:N59" si="5">-ROUND(J47/21.75*M47,2)</f>
        <v>0</v>
      </c>
      <c r="O47" s="137"/>
      <c r="P47" s="138"/>
      <c r="Q47" s="138"/>
      <c r="R47" s="138"/>
      <c r="S47" s="135"/>
      <c r="T47" s="137"/>
      <c r="U47" s="72">
        <v>0</v>
      </c>
      <c r="V47" s="135"/>
      <c r="W47" s="139">
        <f t="shared" si="4"/>
        <v>0</v>
      </c>
      <c r="X47" s="136">
        <v>0</v>
      </c>
      <c r="Y47" s="136">
        <v>2</v>
      </c>
      <c r="Z47" s="136">
        <v>0</v>
      </c>
      <c r="AA47" s="140">
        <v>0</v>
      </c>
      <c r="AB47" s="141">
        <v>0</v>
      </c>
      <c r="AC47" s="72">
        <v>0</v>
      </c>
      <c r="AD47" s="72">
        <v>0</v>
      </c>
      <c r="AE47" s="142">
        <v>0</v>
      </c>
      <c r="AF47" s="143"/>
      <c r="AG47" s="144">
        <v>0</v>
      </c>
      <c r="AH47" s="144" t="s">
        <v>730</v>
      </c>
      <c r="AI47" t="str">
        <f>VLOOKUP(A47,薪酬明细!A:A,1,0)</f>
        <v>开弈投资王韬</v>
      </c>
    </row>
    <row r="48" s="96" customFormat="1" ht="23" customHeight="1" outlineLevel="1" spans="1:35">
      <c r="A48" s="26" t="str">
        <f t="shared" si="0"/>
        <v>弈工分信息罗俊尧</v>
      </c>
      <c r="B48" s="26" t="str">
        <f>VLOOKUP($A48,薪酬明细!$A:$G,2,0)</f>
        <v>园区-公寓&amp;企业服务部</v>
      </c>
      <c r="C48" s="26" t="s">
        <v>72</v>
      </c>
      <c r="D48" s="26" t="str">
        <f>VLOOKUP($A48,薪酬明细!$A:$G,4,0)</f>
        <v>正常计税</v>
      </c>
      <c r="E48" s="26" t="str">
        <f>VLOOKUP($A48,薪酬明细!$A:$G,5,0)</f>
        <v>公寓&amp;企业服务部</v>
      </c>
      <c r="F48" s="26" t="str">
        <f>VLOOKUP($A48,薪酬明细!$A:$G,6,0)</f>
        <v>王倩</v>
      </c>
      <c r="G48" s="26" t="str">
        <f>VLOOKUP($A48,薪酬明细!$A:$G,7,0)</f>
        <v>公寓管家</v>
      </c>
      <c r="H48" s="132">
        <v>44682</v>
      </c>
      <c r="I48" s="52" t="s">
        <v>533</v>
      </c>
      <c r="J48" s="133">
        <v>6800</v>
      </c>
      <c r="K48" s="134">
        <v>0</v>
      </c>
      <c r="L48" s="135"/>
      <c r="M48" s="136">
        <v>0</v>
      </c>
      <c r="N48" s="135">
        <f t="shared" si="5"/>
        <v>0</v>
      </c>
      <c r="O48" s="137"/>
      <c r="P48" s="138"/>
      <c r="Q48" s="138"/>
      <c r="R48" s="138"/>
      <c r="S48" s="135"/>
      <c r="T48" s="137"/>
      <c r="U48" s="72">
        <v>0</v>
      </c>
      <c r="V48" s="135">
        <f>ROUND(J48/21.75*3,2)</f>
        <v>937.93</v>
      </c>
      <c r="W48" s="139">
        <f t="shared" si="4"/>
        <v>937.93</v>
      </c>
      <c r="X48" s="136">
        <v>0</v>
      </c>
      <c r="Y48" s="136">
        <v>0</v>
      </c>
      <c r="Z48" s="136">
        <v>0</v>
      </c>
      <c r="AA48" s="140">
        <v>0</v>
      </c>
      <c r="AB48" s="141">
        <v>0</v>
      </c>
      <c r="AC48" s="72">
        <v>0</v>
      </c>
      <c r="AD48" s="72">
        <v>0</v>
      </c>
      <c r="AE48" s="142">
        <v>0</v>
      </c>
      <c r="AF48" s="143"/>
      <c r="AG48" s="144">
        <v>0</v>
      </c>
      <c r="AH48" s="144" t="s">
        <v>738</v>
      </c>
      <c r="AI48" t="str">
        <f>VLOOKUP(A48,薪酬明细!A:A,1,0)</f>
        <v>弈工分信息罗俊尧</v>
      </c>
    </row>
    <row r="49" s="96" customFormat="1" ht="23" customHeight="1" outlineLevel="1" spans="1:35">
      <c r="A49" s="26" t="str">
        <f t="shared" si="0"/>
        <v>弈工分信息党红艳</v>
      </c>
      <c r="B49" s="26" t="str">
        <f>VLOOKUP($A49,薪酬明细!$A:$G,2,0)</f>
        <v>园区-公寓&amp;企业服务部</v>
      </c>
      <c r="C49" s="26" t="s">
        <v>72</v>
      </c>
      <c r="D49" s="26" t="str">
        <f>VLOOKUP($A49,薪酬明细!$A:$G,4,0)</f>
        <v>正常计税</v>
      </c>
      <c r="E49" s="26" t="str">
        <f>VLOOKUP($A49,薪酬明细!$A:$G,5,0)</f>
        <v>公寓&amp;企业服务部</v>
      </c>
      <c r="F49" s="26" t="str">
        <f>VLOOKUP($A49,薪酬明细!$A:$G,6,0)</f>
        <v>王倩</v>
      </c>
      <c r="G49" s="26" t="str">
        <f>VLOOKUP($A49,薪酬明细!$A:$G,7,0)</f>
        <v>公寓管家</v>
      </c>
      <c r="H49" s="132">
        <v>44682</v>
      </c>
      <c r="I49" s="52" t="s">
        <v>528</v>
      </c>
      <c r="J49" s="133">
        <v>7500</v>
      </c>
      <c r="K49" s="134">
        <v>0</v>
      </c>
      <c r="L49" s="135">
        <f>-ROUND(J49/21.75*K49*30%,2)</f>
        <v>0</v>
      </c>
      <c r="M49" s="136">
        <v>0</v>
      </c>
      <c r="N49" s="135">
        <f t="shared" si="5"/>
        <v>0</v>
      </c>
      <c r="O49" s="137"/>
      <c r="P49" s="138"/>
      <c r="Q49" s="138"/>
      <c r="R49" s="138"/>
      <c r="S49" s="135"/>
      <c r="T49" s="137"/>
      <c r="U49" s="72">
        <v>0</v>
      </c>
      <c r="V49" s="135"/>
      <c r="W49" s="139">
        <f t="shared" si="4"/>
        <v>0</v>
      </c>
      <c r="X49" s="136">
        <v>0</v>
      </c>
      <c r="Y49" s="136">
        <v>0</v>
      </c>
      <c r="Z49" s="136">
        <v>0</v>
      </c>
      <c r="AA49" s="140">
        <v>0</v>
      </c>
      <c r="AB49" s="141">
        <v>0</v>
      </c>
      <c r="AC49" s="72">
        <v>0</v>
      </c>
      <c r="AD49" s="72">
        <v>0</v>
      </c>
      <c r="AE49" s="142">
        <v>0</v>
      </c>
      <c r="AF49" s="143"/>
      <c r="AG49" s="144">
        <v>0</v>
      </c>
      <c r="AH49" s="144">
        <v>0</v>
      </c>
      <c r="AI49" t="str">
        <f>VLOOKUP(A49,薪酬明细!A:A,1,0)</f>
        <v>弈工分信息党红艳</v>
      </c>
    </row>
    <row r="50" s="96" customFormat="1" ht="23" customHeight="1" outlineLevel="1" spans="1:35">
      <c r="A50" s="26" t="str">
        <f t="shared" si="0"/>
        <v>弈工分信息吕相坠</v>
      </c>
      <c r="B50" s="26" t="str">
        <f>VLOOKUP($A50,薪酬明细!$A:$G,2,0)</f>
        <v>园区-公寓&amp;企业服务部</v>
      </c>
      <c r="C50" s="26" t="s">
        <v>72</v>
      </c>
      <c r="D50" s="26" t="str">
        <f>VLOOKUP($A50,薪酬明细!$A:$G,4,0)</f>
        <v>正常计税</v>
      </c>
      <c r="E50" s="26" t="str">
        <f>VLOOKUP($A50,薪酬明细!$A:$G,5,0)</f>
        <v>公寓&amp;企业服务部</v>
      </c>
      <c r="F50" s="26" t="str">
        <f>VLOOKUP($A50,薪酬明细!$A:$G,6,0)</f>
        <v>王倩</v>
      </c>
      <c r="G50" s="26" t="str">
        <f>VLOOKUP($A50,薪酬明细!$A:$G,7,0)</f>
        <v>万能工</v>
      </c>
      <c r="H50" s="132">
        <v>44682</v>
      </c>
      <c r="I50" s="52" t="s">
        <v>547</v>
      </c>
      <c r="J50" s="133">
        <v>6300</v>
      </c>
      <c r="K50" s="134">
        <v>0</v>
      </c>
      <c r="L50" s="135"/>
      <c r="M50" s="136">
        <v>0</v>
      </c>
      <c r="N50" s="135">
        <f t="shared" si="5"/>
        <v>0</v>
      </c>
      <c r="O50" s="137"/>
      <c r="P50" s="138"/>
      <c r="Q50" s="138"/>
      <c r="R50" s="138"/>
      <c r="S50" s="135"/>
      <c r="T50" s="137"/>
      <c r="U50" s="72">
        <v>0</v>
      </c>
      <c r="V50" s="135">
        <f>ROUND(J50/21.75*(3*2+3),2)</f>
        <v>2606.9</v>
      </c>
      <c r="W50" s="139">
        <f t="shared" si="4"/>
        <v>2606.9</v>
      </c>
      <c r="X50" s="136">
        <v>0</v>
      </c>
      <c r="Y50" s="136">
        <v>0</v>
      </c>
      <c r="Z50" s="136">
        <v>0</v>
      </c>
      <c r="AA50" s="140">
        <v>0</v>
      </c>
      <c r="AB50" s="141">
        <v>0</v>
      </c>
      <c r="AC50" s="72">
        <v>0</v>
      </c>
      <c r="AD50" s="72">
        <v>0</v>
      </c>
      <c r="AE50" s="142">
        <v>0</v>
      </c>
      <c r="AF50" s="143"/>
      <c r="AG50" s="144">
        <v>0</v>
      </c>
      <c r="AH50" s="144" t="s">
        <v>739</v>
      </c>
      <c r="AI50" t="str">
        <f>VLOOKUP(A50,薪酬明细!A:A,1,0)</f>
        <v>弈工分信息吕相坠</v>
      </c>
    </row>
    <row r="51" s="96" customFormat="1" ht="23" customHeight="1" outlineLevel="1" spans="1:35">
      <c r="A51" s="26" t="str">
        <f t="shared" si="0"/>
        <v>弈工分信息朱鑫沛</v>
      </c>
      <c r="B51" s="26" t="str">
        <f>VLOOKUP($A51,薪酬明细!$A:$G,2,0)</f>
        <v>物业保安部</v>
      </c>
      <c r="C51" s="26" t="s">
        <v>72</v>
      </c>
      <c r="D51" s="26" t="str">
        <f>VLOOKUP($A51,薪酬明细!$A:$G,4,0)</f>
        <v>劳务计税</v>
      </c>
      <c r="E51" s="26" t="str">
        <f>VLOOKUP($A51,薪酬明细!$A:$G,5,0)</f>
        <v>物业保安部</v>
      </c>
      <c r="F51" s="26" t="str">
        <f>VLOOKUP($A51,薪酬明细!$A:$G,6,0)</f>
        <v>贾飞龙</v>
      </c>
      <c r="G51" s="26" t="str">
        <f>VLOOKUP($A51,薪酬明细!$A:$G,7,0)</f>
        <v>园区保安副队长</v>
      </c>
      <c r="H51" s="132">
        <v>44682</v>
      </c>
      <c r="I51" s="52" t="s">
        <v>549</v>
      </c>
      <c r="J51" s="133">
        <v>6600</v>
      </c>
      <c r="K51" s="134">
        <v>0</v>
      </c>
      <c r="L51" s="135"/>
      <c r="M51" s="136">
        <v>0</v>
      </c>
      <c r="N51" s="135">
        <f t="shared" si="5"/>
        <v>0</v>
      </c>
      <c r="O51" s="137"/>
      <c r="P51" s="138"/>
      <c r="Q51" s="138"/>
      <c r="R51" s="138"/>
      <c r="S51" s="135"/>
      <c r="T51" s="137"/>
      <c r="U51" s="72">
        <v>0</v>
      </c>
      <c r="V51" s="135"/>
      <c r="W51" s="139">
        <f t="shared" si="4"/>
        <v>0</v>
      </c>
      <c r="X51" s="136">
        <v>0</v>
      </c>
      <c r="Y51" s="136">
        <v>0</v>
      </c>
      <c r="Z51" s="136">
        <v>0</v>
      </c>
      <c r="AA51" s="140">
        <v>5</v>
      </c>
      <c r="AB51" s="141">
        <v>0</v>
      </c>
      <c r="AC51" s="72">
        <v>0</v>
      </c>
      <c r="AD51" s="72">
        <v>0</v>
      </c>
      <c r="AE51" s="142">
        <v>0</v>
      </c>
      <c r="AF51" s="143"/>
      <c r="AG51" s="144">
        <v>0</v>
      </c>
      <c r="AH51" s="144" t="s">
        <v>740</v>
      </c>
      <c r="AI51" t="str">
        <f>VLOOKUP(A51,薪酬明细!A:A,1,0)</f>
        <v>弈工分信息朱鑫沛</v>
      </c>
    </row>
    <row r="52" s="96" customFormat="1" ht="23" customHeight="1" outlineLevel="1" spans="1:35">
      <c r="A52" s="26" t="str">
        <f t="shared" si="0"/>
        <v>弈工分信息苏坤</v>
      </c>
      <c r="B52" s="26" t="str">
        <f>VLOOKUP($A52,薪酬明细!$A:$G,2,0)</f>
        <v>园区-商办&amp;企业服务</v>
      </c>
      <c r="C52" s="26" t="s">
        <v>72</v>
      </c>
      <c r="D52" s="26" t="str">
        <f>VLOOKUP($A52,薪酬明细!$A:$G,4,0)</f>
        <v>正常计税</v>
      </c>
      <c r="E52" s="26" t="str">
        <f>VLOOKUP($A52,薪酬明细!$A:$G,5,0)</f>
        <v>办公&amp;企业服务</v>
      </c>
      <c r="F52" s="26" t="str">
        <f>VLOOKUP($A52,薪酬明细!$A:$G,6,0)</f>
        <v>韩喆</v>
      </c>
      <c r="G52" s="26" t="str">
        <f>VLOOKUP($A52,薪酬明细!$A:$G,7,0)</f>
        <v>业务拓展经理</v>
      </c>
      <c r="H52" s="132">
        <v>44713</v>
      </c>
      <c r="I52" s="52" t="s">
        <v>557</v>
      </c>
      <c r="J52" s="133">
        <v>22100</v>
      </c>
      <c r="K52" s="134">
        <v>0</v>
      </c>
      <c r="L52" s="135"/>
      <c r="M52" s="136">
        <v>0</v>
      </c>
      <c r="N52" s="135">
        <f t="shared" si="5"/>
        <v>0</v>
      </c>
      <c r="O52" s="137"/>
      <c r="P52" s="138"/>
      <c r="Q52" s="138"/>
      <c r="R52" s="138"/>
      <c r="S52" s="135"/>
      <c r="T52" s="137"/>
      <c r="U52" s="72">
        <v>0</v>
      </c>
      <c r="V52" s="135"/>
      <c r="W52" s="139">
        <f t="shared" si="4"/>
        <v>0</v>
      </c>
      <c r="X52" s="136">
        <v>0</v>
      </c>
      <c r="Y52" s="136">
        <v>0</v>
      </c>
      <c r="Z52" s="136">
        <v>0</v>
      </c>
      <c r="AA52" s="140">
        <v>0</v>
      </c>
      <c r="AB52" s="141">
        <v>0</v>
      </c>
      <c r="AC52" s="72">
        <v>0</v>
      </c>
      <c r="AD52" s="72">
        <v>0</v>
      </c>
      <c r="AE52" s="142">
        <v>0</v>
      </c>
      <c r="AF52" s="143"/>
      <c r="AG52" s="144">
        <v>0</v>
      </c>
      <c r="AH52" s="144">
        <v>0</v>
      </c>
      <c r="AI52" t="str">
        <f>VLOOKUP(A52,薪酬明细!A:A,1,0)</f>
        <v>弈工分信息苏坤</v>
      </c>
    </row>
    <row r="53" s="96" customFormat="1" ht="23" customHeight="1" outlineLevel="1" spans="1:35">
      <c r="A53" s="26" t="str">
        <f t="shared" si="0"/>
        <v>弈工分信息宣国英</v>
      </c>
      <c r="B53" s="26" t="str">
        <f>VLOOKUP($A53,薪酬明细!$A:$G,2,0)</f>
        <v>物业保洁部</v>
      </c>
      <c r="C53" s="26" t="s">
        <v>72</v>
      </c>
      <c r="D53" s="26" t="str">
        <f>VLOOKUP($A53,薪酬明细!$A:$G,4,0)</f>
        <v>正常计税</v>
      </c>
      <c r="E53" s="26" t="str">
        <f>VLOOKUP($A53,薪酬明细!$A:$G,5,0)</f>
        <v>物业保洁部</v>
      </c>
      <c r="F53" s="26" t="str">
        <f>VLOOKUP($A53,薪酬明细!$A:$G,6,0)</f>
        <v>汪顺</v>
      </c>
      <c r="G53" s="26" t="str">
        <f>VLOOKUP($A53,薪酬明细!$A:$G,7,0)</f>
        <v>保洁主管</v>
      </c>
      <c r="H53" s="132">
        <v>44735</v>
      </c>
      <c r="I53" s="52" t="s">
        <v>380</v>
      </c>
      <c r="J53" s="133">
        <v>7200</v>
      </c>
      <c r="K53" s="134">
        <v>0</v>
      </c>
      <c r="L53" s="135"/>
      <c r="M53" s="136">
        <v>0</v>
      </c>
      <c r="N53" s="135">
        <f t="shared" si="5"/>
        <v>0</v>
      </c>
      <c r="O53" s="137"/>
      <c r="P53" s="138"/>
      <c r="Q53" s="138"/>
      <c r="R53" s="138"/>
      <c r="S53" s="135"/>
      <c r="T53" s="137"/>
      <c r="U53" s="72">
        <v>0</v>
      </c>
      <c r="V53" s="135"/>
      <c r="W53" s="139">
        <f t="shared" si="4"/>
        <v>0</v>
      </c>
      <c r="X53" s="136">
        <v>0</v>
      </c>
      <c r="Y53" s="136">
        <v>0</v>
      </c>
      <c r="Z53" s="136">
        <v>0</v>
      </c>
      <c r="AA53" s="140">
        <v>0</v>
      </c>
      <c r="AB53" s="141">
        <v>0</v>
      </c>
      <c r="AC53" s="72">
        <v>0</v>
      </c>
      <c r="AD53" s="72">
        <v>0</v>
      </c>
      <c r="AE53" s="142">
        <v>0</v>
      </c>
      <c r="AF53" s="143"/>
      <c r="AG53" s="144">
        <v>0</v>
      </c>
      <c r="AH53" s="144">
        <v>0</v>
      </c>
      <c r="AI53" t="str">
        <f>VLOOKUP(A53,薪酬明细!A:A,1,0)</f>
        <v>弈工分信息宣国英</v>
      </c>
    </row>
    <row r="54" s="96" customFormat="1" ht="23" customHeight="1" outlineLevel="1" spans="1:35">
      <c r="A54" s="26" t="str">
        <f t="shared" si="0"/>
        <v>弈工分信息汪顺</v>
      </c>
      <c r="B54" s="26" t="str">
        <f>VLOOKUP($A54,薪酬明细!$A:$G,2,0)</f>
        <v>物业管理部</v>
      </c>
      <c r="C54" s="26" t="s">
        <v>72</v>
      </c>
      <c r="D54" s="26" t="str">
        <f>VLOOKUP($A54,薪酬明细!$A:$G,4,0)</f>
        <v>正常计税</v>
      </c>
      <c r="E54" s="26" t="str">
        <f>VLOOKUP($A54,薪酬明细!$A:$G,5,0)</f>
        <v>物业管理部</v>
      </c>
      <c r="F54" s="26" t="str">
        <f>VLOOKUP($A54,薪酬明细!$A:$G,6,0)</f>
        <v>张毅</v>
      </c>
      <c r="G54" s="26" t="str">
        <f>VLOOKUP($A54,薪酬明细!$A:$G,7,0)</f>
        <v>物业总经理</v>
      </c>
      <c r="H54" s="132">
        <v>44743</v>
      </c>
      <c r="I54" s="52" t="s">
        <v>383</v>
      </c>
      <c r="J54" s="133">
        <v>14000</v>
      </c>
      <c r="K54" s="134">
        <v>0</v>
      </c>
      <c r="L54" s="135">
        <f>-ROUND(J54/21.75*K54*40%,2)</f>
        <v>0</v>
      </c>
      <c r="M54" s="136">
        <v>0</v>
      </c>
      <c r="N54" s="135">
        <f t="shared" si="5"/>
        <v>0</v>
      </c>
      <c r="O54" s="137"/>
      <c r="P54" s="138"/>
      <c r="Q54" s="138"/>
      <c r="R54" s="138"/>
      <c r="S54" s="135"/>
      <c r="T54" s="137"/>
      <c r="U54" s="72">
        <v>0</v>
      </c>
      <c r="V54" s="135"/>
      <c r="W54" s="139">
        <f t="shared" si="4"/>
        <v>0</v>
      </c>
      <c r="X54" s="136">
        <v>0</v>
      </c>
      <c r="Y54" s="136">
        <v>1</v>
      </c>
      <c r="Z54" s="136">
        <v>0</v>
      </c>
      <c r="AA54" s="140">
        <v>0</v>
      </c>
      <c r="AB54" s="141">
        <v>0</v>
      </c>
      <c r="AC54" s="72">
        <v>0</v>
      </c>
      <c r="AD54" s="72">
        <v>0</v>
      </c>
      <c r="AE54" s="142">
        <v>0</v>
      </c>
      <c r="AF54" s="143"/>
      <c r="AG54" s="144">
        <v>0</v>
      </c>
      <c r="AH54" s="144" t="s">
        <v>726</v>
      </c>
      <c r="AI54" t="str">
        <f>VLOOKUP(A54,薪酬明细!A:A,1,0)</f>
        <v>弈工分信息汪顺</v>
      </c>
    </row>
    <row r="55" s="96" customFormat="1" ht="23" customHeight="1" outlineLevel="1" spans="1:35">
      <c r="A55" s="26" t="str">
        <f t="shared" si="0"/>
        <v>弈工分健康贾飞龙</v>
      </c>
      <c r="B55" s="26" t="str">
        <f>VLOOKUP($A55,薪酬明细!$A:$G,2,0)</f>
        <v>物业保安部</v>
      </c>
      <c r="C55" s="26" t="s">
        <v>73</v>
      </c>
      <c r="D55" s="26" t="str">
        <f>VLOOKUP($A55,薪酬明细!$A:$G,4,0)</f>
        <v>正常计税</v>
      </c>
      <c r="E55" s="26" t="str">
        <f>VLOOKUP($A55,薪酬明细!$A:$G,5,0)</f>
        <v>物业保安部</v>
      </c>
      <c r="F55" s="26" t="str">
        <f>VLOOKUP($A55,薪酬明细!$A:$G,6,0)</f>
        <v>汪顺</v>
      </c>
      <c r="G55" s="26" t="str">
        <f>VLOOKUP($A55,薪酬明细!$A:$G,7,0)</f>
        <v>园区保安队长</v>
      </c>
      <c r="H55" s="132">
        <v>44743</v>
      </c>
      <c r="I55" s="52" t="s">
        <v>436</v>
      </c>
      <c r="J55" s="133">
        <v>8500</v>
      </c>
      <c r="K55" s="134">
        <v>0</v>
      </c>
      <c r="L55" s="135"/>
      <c r="M55" s="136">
        <v>0</v>
      </c>
      <c r="N55" s="135">
        <f t="shared" si="5"/>
        <v>0</v>
      </c>
      <c r="O55" s="137"/>
      <c r="P55" s="138"/>
      <c r="Q55" s="138"/>
      <c r="R55" s="138"/>
      <c r="S55" s="135"/>
      <c r="T55" s="137"/>
      <c r="U55" s="72">
        <v>0</v>
      </c>
      <c r="V55" s="135">
        <f t="shared" ref="V55:V59" si="6">ROUND(J55/21.75*(3),2)</f>
        <v>1172.41</v>
      </c>
      <c r="W55" s="139">
        <f t="shared" si="4"/>
        <v>1172.41</v>
      </c>
      <c r="X55" s="136">
        <v>0</v>
      </c>
      <c r="Y55" s="136">
        <v>0</v>
      </c>
      <c r="Z55" s="136">
        <v>0</v>
      </c>
      <c r="AA55" s="140">
        <v>0</v>
      </c>
      <c r="AB55" s="141">
        <v>0</v>
      </c>
      <c r="AC55" s="72">
        <v>2</v>
      </c>
      <c r="AD55" s="72">
        <v>0</v>
      </c>
      <c r="AE55" s="142">
        <v>0</v>
      </c>
      <c r="AF55" s="143"/>
      <c r="AG55" s="144">
        <v>0</v>
      </c>
      <c r="AH55" s="144" t="s">
        <v>741</v>
      </c>
      <c r="AI55" t="str">
        <f>VLOOKUP(A55,薪酬明细!A:A,1,0)</f>
        <v>弈工分健康贾飞龙</v>
      </c>
    </row>
    <row r="56" s="96" customFormat="1" ht="23" customHeight="1" outlineLevel="1" spans="1:35">
      <c r="A56" s="26" t="str">
        <f t="shared" si="0"/>
        <v>弈工分信息董宾宾</v>
      </c>
      <c r="B56" s="26" t="str">
        <f>VLOOKUP($A56,薪酬明细!$A:$G,2,0)</f>
        <v>园区-公寓&amp;企业服务部</v>
      </c>
      <c r="C56" s="26" t="s">
        <v>72</v>
      </c>
      <c r="D56" s="26" t="str">
        <f>VLOOKUP($A56,薪酬明细!$A:$G,4,0)</f>
        <v>正常计税</v>
      </c>
      <c r="E56" s="26" t="str">
        <f>VLOOKUP($A56,薪酬明细!$A:$G,5,0)</f>
        <v>公寓&amp;企业服务部</v>
      </c>
      <c r="F56" s="26" t="str">
        <f>VLOOKUP($A56,薪酬明细!$A:$G,6,0)</f>
        <v>王倩</v>
      </c>
      <c r="G56" s="26" t="str">
        <f>VLOOKUP($A56,薪酬明细!$A:$G,7,0)</f>
        <v>万能工</v>
      </c>
      <c r="H56" s="132">
        <v>45187</v>
      </c>
      <c r="I56" s="52" t="s">
        <v>545</v>
      </c>
      <c r="J56" s="133">
        <v>7500</v>
      </c>
      <c r="K56" s="134">
        <v>0</v>
      </c>
      <c r="L56" s="135"/>
      <c r="M56" s="136">
        <v>1</v>
      </c>
      <c r="N56" s="135">
        <f t="shared" si="5"/>
        <v>-344.83</v>
      </c>
      <c r="O56" s="137"/>
      <c r="P56" s="138"/>
      <c r="Q56" s="138"/>
      <c r="R56" s="138"/>
      <c r="S56" s="135"/>
      <c r="T56" s="137"/>
      <c r="U56" s="72">
        <v>0</v>
      </c>
      <c r="V56" s="135">
        <f t="shared" si="6"/>
        <v>1034.48</v>
      </c>
      <c r="W56" s="139">
        <f t="shared" si="4"/>
        <v>689.65</v>
      </c>
      <c r="X56" s="136">
        <v>0</v>
      </c>
      <c r="Y56" s="136">
        <v>1</v>
      </c>
      <c r="Z56" s="136">
        <v>0</v>
      </c>
      <c r="AA56" s="140">
        <v>0</v>
      </c>
      <c r="AB56" s="141">
        <v>0</v>
      </c>
      <c r="AC56" s="72">
        <v>0</v>
      </c>
      <c r="AD56" s="72">
        <v>0</v>
      </c>
      <c r="AE56" s="142">
        <v>0</v>
      </c>
      <c r="AF56" s="143"/>
      <c r="AG56" s="144">
        <v>0</v>
      </c>
      <c r="AH56" s="144" t="s">
        <v>742</v>
      </c>
      <c r="AI56" t="str">
        <f>VLOOKUP(A56,薪酬明细!A:A,1,0)</f>
        <v>弈工分信息董宾宾</v>
      </c>
    </row>
    <row r="57" s="96" customFormat="1" ht="23" customHeight="1" outlineLevel="1" spans="1:35">
      <c r="A57" s="26" t="str">
        <f t="shared" si="0"/>
        <v>开弈投资邵吴慧</v>
      </c>
      <c r="B57" s="26" t="str">
        <f>VLOOKUP($A57,薪酬明细!$A:$G,2,0)</f>
        <v>园区-商办&amp;企业服务</v>
      </c>
      <c r="C57" s="26" t="s">
        <v>71</v>
      </c>
      <c r="D57" s="26" t="str">
        <f>VLOOKUP($A57,薪酬明细!$A:$G,4,0)</f>
        <v>正常计税</v>
      </c>
      <c r="E57" s="26" t="str">
        <f>VLOOKUP($A57,薪酬明细!$A:$G,5,0)</f>
        <v>办公&amp;企业服务</v>
      </c>
      <c r="F57" s="26" t="str">
        <f>VLOOKUP($A57,薪酬明细!$A:$G,6,0)</f>
        <v>韩喆</v>
      </c>
      <c r="G57" s="26" t="str">
        <f>VLOOKUP($A57,薪酬明细!$A:$G,7,0)</f>
        <v>商办账务专员</v>
      </c>
      <c r="H57" s="132">
        <v>44956</v>
      </c>
      <c r="I57" s="52" t="s">
        <v>378</v>
      </c>
      <c r="J57" s="133">
        <v>11000</v>
      </c>
      <c r="K57" s="134">
        <v>3.5</v>
      </c>
      <c r="L57" s="135">
        <f>-ROUND(J57/21.75*K57*30%,2)</f>
        <v>-531.03</v>
      </c>
      <c r="M57" s="136">
        <v>0</v>
      </c>
      <c r="N57" s="135">
        <f t="shared" si="5"/>
        <v>0</v>
      </c>
      <c r="O57" s="137"/>
      <c r="P57" s="138"/>
      <c r="Q57" s="138"/>
      <c r="R57" s="138"/>
      <c r="S57" s="135">
        <f>P57</f>
        <v>0</v>
      </c>
      <c r="T57" s="137"/>
      <c r="U57" s="72">
        <v>0</v>
      </c>
      <c r="V57" s="135"/>
      <c r="W57" s="139">
        <f t="shared" si="4"/>
        <v>-531.03</v>
      </c>
      <c r="X57" s="136">
        <v>0</v>
      </c>
      <c r="Y57" s="136">
        <v>0</v>
      </c>
      <c r="Z57" s="136">
        <v>0</v>
      </c>
      <c r="AA57" s="140">
        <v>0</v>
      </c>
      <c r="AB57" s="141">
        <v>0</v>
      </c>
      <c r="AC57" s="72">
        <v>0</v>
      </c>
      <c r="AD57" s="72">
        <v>0</v>
      </c>
      <c r="AE57" s="142">
        <v>0</v>
      </c>
      <c r="AF57" s="143"/>
      <c r="AG57" s="144">
        <v>0</v>
      </c>
      <c r="AH57" s="144" t="s">
        <v>743</v>
      </c>
      <c r="AI57" t="str">
        <f>VLOOKUP(A57,薪酬明细!A:A,1,0)</f>
        <v>开弈投资邵吴慧</v>
      </c>
    </row>
    <row r="58" s="96" customFormat="1" ht="23" customHeight="1" outlineLevel="1" spans="1:35">
      <c r="A58" s="26" t="str">
        <f t="shared" si="0"/>
        <v>微芮洺程璐</v>
      </c>
      <c r="B58" s="26" t="str">
        <f>VLOOKUP($A58,薪酬明细!$A:$G,2,0)</f>
        <v>物业管理部</v>
      </c>
      <c r="C58" s="26" t="s">
        <v>77</v>
      </c>
      <c r="D58" s="26" t="str">
        <f>VLOOKUP($A58,薪酬明细!$A:$G,4,0)</f>
        <v>正常计税</v>
      </c>
      <c r="E58" s="26" t="str">
        <f>VLOOKUP($A58,薪酬明细!$A:$G,5,0)</f>
        <v>物业管理部</v>
      </c>
      <c r="F58" s="26" t="str">
        <f>VLOOKUP($A58,薪酬明细!$A:$G,6,0)</f>
        <v>汪顺</v>
      </c>
      <c r="G58" s="26" t="str">
        <f>VLOOKUP($A58,薪酬明细!$A:$G,7,0)</f>
        <v>物业管理</v>
      </c>
      <c r="H58" s="132">
        <v>44812</v>
      </c>
      <c r="I58" s="52" t="s">
        <v>455</v>
      </c>
      <c r="J58" s="133">
        <v>7000</v>
      </c>
      <c r="K58" s="134">
        <v>0</v>
      </c>
      <c r="L58" s="135">
        <f>-ROUND(J58/21.75*K58*40%,2)</f>
        <v>0</v>
      </c>
      <c r="M58" s="136">
        <v>0</v>
      </c>
      <c r="N58" s="135">
        <f t="shared" si="5"/>
        <v>0</v>
      </c>
      <c r="O58" s="137"/>
      <c r="P58" s="138"/>
      <c r="Q58" s="138"/>
      <c r="R58" s="138"/>
      <c r="S58" s="135"/>
      <c r="T58" s="137"/>
      <c r="U58" s="72">
        <v>0</v>
      </c>
      <c r="V58" s="135"/>
      <c r="W58" s="139">
        <f t="shared" si="4"/>
        <v>0</v>
      </c>
      <c r="X58" s="136">
        <v>0</v>
      </c>
      <c r="Y58" s="136">
        <v>0</v>
      </c>
      <c r="Z58" s="136">
        <v>0</v>
      </c>
      <c r="AA58" s="140">
        <v>0</v>
      </c>
      <c r="AB58" s="141">
        <v>0</v>
      </c>
      <c r="AC58" s="72">
        <v>0</v>
      </c>
      <c r="AD58" s="72">
        <v>0</v>
      </c>
      <c r="AE58" s="142"/>
      <c r="AF58" s="143"/>
      <c r="AG58" s="144">
        <v>0</v>
      </c>
      <c r="AH58" s="144">
        <v>0</v>
      </c>
      <c r="AI58" t="str">
        <f>VLOOKUP(A58,薪酬明细!A:A,1,0)</f>
        <v>微芮洺程璐</v>
      </c>
    </row>
    <row r="59" s="96" customFormat="1" ht="23" customHeight="1" outlineLevel="1" spans="1:35">
      <c r="A59" s="26" t="str">
        <f t="shared" si="0"/>
        <v>弈工分信息贾东升</v>
      </c>
      <c r="B59" s="26" t="str">
        <f>VLOOKUP($A59,薪酬明细!$A:$G,2,0)</f>
        <v>园区-公寓&amp;企业服务部</v>
      </c>
      <c r="C59" s="26" t="s">
        <v>72</v>
      </c>
      <c r="D59" s="26" t="str">
        <f>VLOOKUP($A59,薪酬明细!$A:$G,4,0)</f>
        <v>正常计税</v>
      </c>
      <c r="E59" s="26" t="str">
        <f>VLOOKUP($A59,薪酬明细!$A:$G,5,0)</f>
        <v>公寓&amp;企业服务部</v>
      </c>
      <c r="F59" s="26" t="str">
        <f>VLOOKUP($A59,薪酬明细!$A:$G,6,0)</f>
        <v>王倩</v>
      </c>
      <c r="G59" s="26" t="str">
        <f>VLOOKUP($A59,薪酬明细!$A:$G,7,0)</f>
        <v>公寓管家</v>
      </c>
      <c r="H59" s="132">
        <v>44805</v>
      </c>
      <c r="I59" s="52" t="s">
        <v>553</v>
      </c>
      <c r="J59" s="133">
        <v>5700</v>
      </c>
      <c r="K59" s="134">
        <v>0</v>
      </c>
      <c r="L59" s="135"/>
      <c r="M59" s="136">
        <v>0</v>
      </c>
      <c r="N59" s="135">
        <f t="shared" si="5"/>
        <v>0</v>
      </c>
      <c r="O59" s="137"/>
      <c r="P59" s="138"/>
      <c r="Q59" s="138"/>
      <c r="R59" s="138"/>
      <c r="S59" s="135"/>
      <c r="T59" s="137"/>
      <c r="U59" s="72">
        <v>0</v>
      </c>
      <c r="V59" s="135">
        <f t="shared" si="6"/>
        <v>786.21</v>
      </c>
      <c r="W59" s="139">
        <f t="shared" si="4"/>
        <v>786.21</v>
      </c>
      <c r="X59" s="136">
        <v>0</v>
      </c>
      <c r="Y59" s="136">
        <v>0</v>
      </c>
      <c r="Z59" s="136">
        <v>0</v>
      </c>
      <c r="AA59" s="140">
        <v>0</v>
      </c>
      <c r="AB59" s="141">
        <v>0</v>
      </c>
      <c r="AC59" s="72">
        <v>0</v>
      </c>
      <c r="AD59" s="72">
        <v>0</v>
      </c>
      <c r="AE59" s="142">
        <v>0</v>
      </c>
      <c r="AF59" s="143"/>
      <c r="AG59" s="144">
        <v>0</v>
      </c>
      <c r="AH59" s="144" t="s">
        <v>738</v>
      </c>
      <c r="AI59" t="str">
        <f>VLOOKUP(A59,薪酬明细!A:A,1,0)</f>
        <v>弈工分信息贾东升</v>
      </c>
    </row>
    <row r="60" s="96" customFormat="1" ht="23" customHeight="1" outlineLevel="1" spans="1:35">
      <c r="A60" s="26" t="str">
        <f t="shared" si="0"/>
        <v>弈工分信息方祥</v>
      </c>
      <c r="B60" s="26" t="str">
        <f>VLOOKUP($A60,薪酬明细!$A:$G,2,0)</f>
        <v>园区-公寓&amp;企业服务部</v>
      </c>
      <c r="C60" s="26" t="s">
        <v>72</v>
      </c>
      <c r="D60" s="26" t="str">
        <f>VLOOKUP($A60,薪酬明细!$A:$G,4,0)</f>
        <v>劳务计税</v>
      </c>
      <c r="E60" s="26" t="str">
        <f>VLOOKUP($A60,薪酬明细!$A:$G,5,0)</f>
        <v>公寓&amp;企业服务部</v>
      </c>
      <c r="F60" s="26" t="str">
        <f>VLOOKUP($A60,薪酬明细!$A:$G,6,0)</f>
        <v>王倩</v>
      </c>
      <c r="G60" s="26" t="str">
        <f>VLOOKUP($A60,薪酬明细!$A:$G,7,0)</f>
        <v>空调维修</v>
      </c>
      <c r="H60" s="132">
        <v>44774</v>
      </c>
      <c r="I60" s="52" t="s">
        <v>536</v>
      </c>
      <c r="J60" s="133">
        <v>0</v>
      </c>
      <c r="K60" s="134"/>
      <c r="L60" s="135"/>
      <c r="M60" s="136"/>
      <c r="N60" s="135"/>
      <c r="O60" s="137"/>
      <c r="P60" s="138"/>
      <c r="Q60" s="138"/>
      <c r="R60" s="138"/>
      <c r="S60" s="135"/>
      <c r="T60" s="137"/>
      <c r="U60" s="72"/>
      <c r="V60" s="135"/>
      <c r="W60" s="139">
        <f t="shared" si="4"/>
        <v>0</v>
      </c>
      <c r="X60" s="136"/>
      <c r="Y60" s="136"/>
      <c r="Z60" s="136"/>
      <c r="AA60" s="140"/>
      <c r="AB60" s="141"/>
      <c r="AC60" s="72"/>
      <c r="AD60" s="72"/>
      <c r="AE60" s="142"/>
      <c r="AF60" s="143"/>
      <c r="AG60" s="144"/>
      <c r="AH60" s="144"/>
      <c r="AI60" t="str">
        <f>VLOOKUP(A60,薪酬明细!A:A,1,0)</f>
        <v>弈工分信息方祥</v>
      </c>
    </row>
    <row r="61" s="96" customFormat="1" ht="23" customHeight="1" outlineLevel="1" spans="1:35">
      <c r="A61" s="26" t="str">
        <f t="shared" si="0"/>
        <v>时代人才蒋孝峰</v>
      </c>
      <c r="B61" s="26" t="str">
        <f>VLOOKUP($A61,薪酬明细!$A:$G,2,0)</f>
        <v>G-时代人才</v>
      </c>
      <c r="C61" s="26" t="s">
        <v>78</v>
      </c>
      <c r="D61" s="26" t="str">
        <f>VLOOKUP($A61,薪酬明细!$A:$G,4,0)</f>
        <v>正常计税</v>
      </c>
      <c r="E61" s="26" t="str">
        <f>VLOOKUP($A61,薪酬明细!$A:$G,5,0)</f>
        <v>时代人才</v>
      </c>
      <c r="F61" s="26" t="str">
        <f>VLOOKUP($A61,薪酬明细!$A:$G,6,0)</f>
        <v>蔡心宇</v>
      </c>
      <c r="G61" s="26" t="str">
        <f>VLOOKUP($A61,薪酬明细!$A:$G,7,0)</f>
        <v>业务经理</v>
      </c>
      <c r="H61" s="132">
        <v>44927</v>
      </c>
      <c r="I61" s="52" t="s">
        <v>440</v>
      </c>
      <c r="J61" s="133">
        <v>11500</v>
      </c>
      <c r="K61" s="134">
        <v>0</v>
      </c>
      <c r="L61" s="135"/>
      <c r="M61" s="136">
        <v>0</v>
      </c>
      <c r="N61" s="135"/>
      <c r="O61" s="137"/>
      <c r="P61" s="138"/>
      <c r="Q61" s="138"/>
      <c r="R61" s="138"/>
      <c r="S61" s="135"/>
      <c r="T61" s="137"/>
      <c r="U61" s="72">
        <v>0</v>
      </c>
      <c r="V61" s="135"/>
      <c r="W61" s="139">
        <f t="shared" si="4"/>
        <v>0</v>
      </c>
      <c r="X61" s="136">
        <v>0</v>
      </c>
      <c r="Y61" s="136">
        <v>0</v>
      </c>
      <c r="Z61" s="136">
        <v>0</v>
      </c>
      <c r="AA61" s="140">
        <v>0</v>
      </c>
      <c r="AB61" s="141">
        <v>0</v>
      </c>
      <c r="AC61" s="72">
        <v>0</v>
      </c>
      <c r="AD61" s="72">
        <v>0</v>
      </c>
      <c r="AE61" s="142">
        <v>0</v>
      </c>
      <c r="AF61" s="143"/>
      <c r="AG61" s="144">
        <v>0</v>
      </c>
      <c r="AH61" s="144">
        <v>0</v>
      </c>
      <c r="AI61" t="str">
        <f>VLOOKUP(A61,薪酬明细!A:A,1,0)</f>
        <v>时代人才蒋孝峰</v>
      </c>
    </row>
    <row r="62" s="96" customFormat="1" ht="23" customHeight="1" outlineLevel="1" spans="1:35">
      <c r="A62" s="26" t="str">
        <f t="shared" si="0"/>
        <v>弈工分信息安东生</v>
      </c>
      <c r="B62" s="26" t="str">
        <f>VLOOKUP($A62,薪酬明细!$A:$G,2,0)</f>
        <v>物业保安部</v>
      </c>
      <c r="C62" s="26" t="s">
        <v>72</v>
      </c>
      <c r="D62" s="26" t="str">
        <f>VLOOKUP($A62,薪酬明细!$A:$G,4,0)</f>
        <v>正常计税</v>
      </c>
      <c r="E62" s="26" t="str">
        <f>VLOOKUP($A62,薪酬明细!$A:$G,5,0)</f>
        <v>物业保安部</v>
      </c>
      <c r="F62" s="26" t="str">
        <f>VLOOKUP($A62,薪酬明细!$A:$G,6,0)</f>
        <v>贾飞龙</v>
      </c>
      <c r="G62" s="26" t="str">
        <f>VLOOKUP($A62,薪酬明细!$A:$G,7,0)</f>
        <v>园区保安副队长</v>
      </c>
      <c r="H62" s="132">
        <v>44927</v>
      </c>
      <c r="I62" s="52" t="s">
        <v>438</v>
      </c>
      <c r="J62" s="133">
        <v>11400</v>
      </c>
      <c r="K62" s="134">
        <v>0</v>
      </c>
      <c r="L62" s="135">
        <f>-ROUND(J62/21.75*K62*40%,2)</f>
        <v>0</v>
      </c>
      <c r="M62" s="136">
        <v>0</v>
      </c>
      <c r="N62" s="135"/>
      <c r="O62" s="137">
        <v>50</v>
      </c>
      <c r="P62" s="138"/>
      <c r="Q62" s="138"/>
      <c r="R62" s="138"/>
      <c r="S62" s="135">
        <f>R62*O62</f>
        <v>0</v>
      </c>
      <c r="T62" s="137"/>
      <c r="U62" s="72">
        <v>0</v>
      </c>
      <c r="V62" s="135"/>
      <c r="W62" s="139">
        <f t="shared" si="4"/>
        <v>0</v>
      </c>
      <c r="X62" s="136">
        <v>0</v>
      </c>
      <c r="Y62" s="136">
        <v>0</v>
      </c>
      <c r="Z62" s="136">
        <v>0</v>
      </c>
      <c r="AA62" s="140">
        <v>0</v>
      </c>
      <c r="AB62" s="141">
        <v>0</v>
      </c>
      <c r="AC62" s="72">
        <v>0</v>
      </c>
      <c r="AD62" s="72">
        <v>0</v>
      </c>
      <c r="AE62" s="142">
        <v>0</v>
      </c>
      <c r="AF62" s="143"/>
      <c r="AG62" s="144">
        <v>0</v>
      </c>
      <c r="AH62" s="144">
        <v>0</v>
      </c>
      <c r="AI62" t="str">
        <f>VLOOKUP(A62,薪酬明细!A:A,1,0)</f>
        <v>弈工分信息安东生</v>
      </c>
    </row>
    <row r="63" s="96" customFormat="1" ht="23" customHeight="1" outlineLevel="1" spans="1:35">
      <c r="A63" s="26" t="str">
        <f t="shared" si="0"/>
        <v>时代人才常虹</v>
      </c>
      <c r="B63" s="26" t="str">
        <f>VLOOKUP($A63,薪酬明细!$A:$G,2,0)</f>
        <v>G-时代人才</v>
      </c>
      <c r="C63" s="26" t="s">
        <v>78</v>
      </c>
      <c r="D63" s="26" t="str">
        <f>VLOOKUP($A63,薪酬明细!$A:$G,4,0)</f>
        <v>正常计税</v>
      </c>
      <c r="E63" s="26" t="str">
        <f>VLOOKUP($A63,薪酬明细!$A:$G,5,0)</f>
        <v>时代人才</v>
      </c>
      <c r="F63" s="26" t="str">
        <f>VLOOKUP($A63,薪酬明细!$A:$G,6,0)</f>
        <v>蒋孝峰</v>
      </c>
      <c r="G63" s="26" t="str">
        <f>VLOOKUP($A63,薪酬明细!$A:$G,7,0)</f>
        <v>顾问</v>
      </c>
      <c r="H63" s="132">
        <v>44927</v>
      </c>
      <c r="I63" s="52" t="s">
        <v>441</v>
      </c>
      <c r="J63" s="133">
        <v>0</v>
      </c>
      <c r="K63" s="134"/>
      <c r="L63" s="135"/>
      <c r="M63" s="136"/>
      <c r="N63" s="135"/>
      <c r="O63" s="137"/>
      <c r="P63" s="138"/>
      <c r="Q63" s="138"/>
      <c r="R63" s="138"/>
      <c r="S63" s="135"/>
      <c r="T63" s="137"/>
      <c r="U63" s="72"/>
      <c r="V63" s="135"/>
      <c r="W63" s="139">
        <f t="shared" si="4"/>
        <v>0</v>
      </c>
      <c r="X63" s="136"/>
      <c r="Y63" s="136"/>
      <c r="Z63" s="136"/>
      <c r="AA63" s="140"/>
      <c r="AB63" s="141"/>
      <c r="AC63" s="72"/>
      <c r="AD63" s="72"/>
      <c r="AE63" s="142"/>
      <c r="AF63" s="143"/>
      <c r="AG63" s="144"/>
      <c r="AH63" s="144"/>
      <c r="AI63" t="str">
        <f>VLOOKUP(A63,薪酬明细!A:A,1,0)</f>
        <v>时代人才常虹</v>
      </c>
    </row>
    <row r="64" s="96" customFormat="1" ht="23" customHeight="1" outlineLevel="1" spans="1:35">
      <c r="A64" s="26" t="str">
        <f t="shared" si="0"/>
        <v>弈工分信息徐培珍</v>
      </c>
      <c r="B64" s="26" t="str">
        <f>VLOOKUP($A64,薪酬明细!$A:$G,2,0)</f>
        <v>物业保洁部</v>
      </c>
      <c r="C64" s="26" t="s">
        <v>72</v>
      </c>
      <c r="D64" s="26" t="str">
        <f>VLOOKUP($A64,薪酬明细!$A:$G,4,0)</f>
        <v>正常计税</v>
      </c>
      <c r="E64" s="26" t="str">
        <f>VLOOKUP($A64,薪酬明细!$A:$G,5,0)</f>
        <v>物业保洁部</v>
      </c>
      <c r="F64" s="26" t="str">
        <f>VLOOKUP($A64,薪酬明细!$A:$G,6,0)</f>
        <v>宣国英</v>
      </c>
      <c r="G64" s="26" t="str">
        <f>VLOOKUP($A64,薪酬明细!$A:$G,7,0)</f>
        <v>保洁</v>
      </c>
      <c r="H64" s="132">
        <v>45200</v>
      </c>
      <c r="I64" s="52" t="s">
        <v>573</v>
      </c>
      <c r="J64" s="133">
        <v>4000</v>
      </c>
      <c r="K64" s="134">
        <v>0</v>
      </c>
      <c r="L64" s="135"/>
      <c r="M64" s="136">
        <v>0</v>
      </c>
      <c r="N64" s="135"/>
      <c r="O64" s="137"/>
      <c r="P64" s="138"/>
      <c r="Q64" s="138"/>
      <c r="R64" s="138"/>
      <c r="S64" s="135"/>
      <c r="T64" s="137"/>
      <c r="U64" s="72">
        <v>0</v>
      </c>
      <c r="V64" s="135">
        <v>200</v>
      </c>
      <c r="W64" s="139">
        <f t="shared" si="4"/>
        <v>200</v>
      </c>
      <c r="X64" s="136">
        <v>0</v>
      </c>
      <c r="Y64" s="136">
        <v>0</v>
      </c>
      <c r="Z64" s="136"/>
      <c r="AA64" s="140">
        <v>0</v>
      </c>
      <c r="AB64" s="141">
        <v>0</v>
      </c>
      <c r="AC64" s="72">
        <v>0</v>
      </c>
      <c r="AD64" s="72">
        <v>0</v>
      </c>
      <c r="AE64" s="142">
        <v>0</v>
      </c>
      <c r="AF64" s="143"/>
      <c r="AG64" s="144">
        <v>0</v>
      </c>
      <c r="AH64" s="144" t="s">
        <v>744</v>
      </c>
      <c r="AI64" t="str">
        <f>VLOOKUP(A64,薪酬明细!A:A,1,0)</f>
        <v>弈工分信息徐培珍</v>
      </c>
    </row>
    <row r="65" s="96" customFormat="1" ht="23" customHeight="1" outlineLevel="1" spans="1:35">
      <c r="A65" s="26" t="str">
        <f t="shared" si="0"/>
        <v>弈工分信息翟建设</v>
      </c>
      <c r="B65" s="26" t="str">
        <f>VLOOKUP($A65,薪酬明细!$A:$G,2,0)</f>
        <v>物业保洁部</v>
      </c>
      <c r="C65" s="26" t="s">
        <v>72</v>
      </c>
      <c r="D65" s="26" t="str">
        <f>VLOOKUP($A65,薪酬明细!$A:$G,4,0)</f>
        <v>正常计税</v>
      </c>
      <c r="E65" s="26" t="str">
        <f>VLOOKUP($A65,薪酬明细!$A:$G,5,0)</f>
        <v>物业保洁部</v>
      </c>
      <c r="F65" s="26" t="str">
        <f>VLOOKUP($A65,薪酬明细!$A:$G,6,0)</f>
        <v>宣国英</v>
      </c>
      <c r="G65" s="26" t="str">
        <f>VLOOKUP($A65,薪酬明细!$A:$G,7,0)</f>
        <v>保洁</v>
      </c>
      <c r="H65" s="132">
        <v>45200</v>
      </c>
      <c r="I65" s="52" t="s">
        <v>571</v>
      </c>
      <c r="J65" s="133">
        <v>4000</v>
      </c>
      <c r="K65" s="134">
        <v>0</v>
      </c>
      <c r="L65" s="135"/>
      <c r="M65" s="136">
        <v>0</v>
      </c>
      <c r="N65" s="135"/>
      <c r="O65" s="137"/>
      <c r="P65" s="138"/>
      <c r="Q65" s="138"/>
      <c r="R65" s="138"/>
      <c r="S65" s="135"/>
      <c r="T65" s="137"/>
      <c r="U65" s="72">
        <v>0</v>
      </c>
      <c r="V65" s="135"/>
      <c r="W65" s="139">
        <f t="shared" si="4"/>
        <v>0</v>
      </c>
      <c r="X65" s="136">
        <v>0</v>
      </c>
      <c r="Y65" s="136">
        <v>0</v>
      </c>
      <c r="Z65" s="136"/>
      <c r="AA65" s="140">
        <v>0</v>
      </c>
      <c r="AB65" s="141">
        <v>0</v>
      </c>
      <c r="AC65" s="72">
        <v>0</v>
      </c>
      <c r="AD65" s="72">
        <v>0</v>
      </c>
      <c r="AE65" s="142">
        <v>0</v>
      </c>
      <c r="AF65" s="143"/>
      <c r="AG65" s="144">
        <v>0</v>
      </c>
      <c r="AH65" s="144">
        <v>0</v>
      </c>
      <c r="AI65" t="str">
        <f>VLOOKUP(A65,薪酬明细!A:A,1,0)</f>
        <v>弈工分信息翟建设</v>
      </c>
    </row>
    <row r="66" s="96" customFormat="1" ht="23" customHeight="1" outlineLevel="1" spans="1:35">
      <c r="A66" s="26" t="str">
        <f t="shared" si="0"/>
        <v>弈工分信息于爱丽</v>
      </c>
      <c r="B66" s="26" t="str">
        <f>VLOOKUP($A66,薪酬明细!$A:$G,2,0)</f>
        <v>物业保洁部</v>
      </c>
      <c r="C66" s="26" t="s">
        <v>72</v>
      </c>
      <c r="D66" s="26" t="str">
        <f>VLOOKUP($A66,薪酬明细!$A:$G,4,0)</f>
        <v>正常计税</v>
      </c>
      <c r="E66" s="26" t="str">
        <f>VLOOKUP($A66,薪酬明细!$A:$G,5,0)</f>
        <v>物业保洁部</v>
      </c>
      <c r="F66" s="26" t="str">
        <f>VLOOKUP($A66,薪酬明细!$A:$G,6,0)</f>
        <v>宣国英</v>
      </c>
      <c r="G66" s="26" t="str">
        <f>VLOOKUP($A66,薪酬明细!$A:$G,7,0)</f>
        <v>保洁</v>
      </c>
      <c r="H66" s="132">
        <v>45206</v>
      </c>
      <c r="I66" s="52" t="s">
        <v>577</v>
      </c>
      <c r="J66" s="133">
        <v>4000</v>
      </c>
      <c r="K66" s="134">
        <v>0</v>
      </c>
      <c r="L66" s="135"/>
      <c r="M66" s="136">
        <v>0</v>
      </c>
      <c r="N66" s="135"/>
      <c r="O66" s="137"/>
      <c r="P66" s="138"/>
      <c r="Q66" s="138"/>
      <c r="R66" s="138"/>
      <c r="S66" s="135"/>
      <c r="T66" s="137"/>
      <c r="U66" s="72">
        <v>2</v>
      </c>
      <c r="V66" s="135">
        <f>ROUND(J66/26*10-J66,2)</f>
        <v>-2461.54</v>
      </c>
      <c r="W66" s="139">
        <f t="shared" si="4"/>
        <v>-2461.54</v>
      </c>
      <c r="X66" s="136">
        <v>0</v>
      </c>
      <c r="Y66" s="136">
        <v>0</v>
      </c>
      <c r="Z66" s="136"/>
      <c r="AA66" s="140">
        <v>0</v>
      </c>
      <c r="AB66" s="141">
        <v>0</v>
      </c>
      <c r="AC66" s="72">
        <v>0</v>
      </c>
      <c r="AD66" s="72">
        <v>0</v>
      </c>
      <c r="AE66" s="142">
        <v>0</v>
      </c>
      <c r="AF66" s="143"/>
      <c r="AG66" s="144" t="s">
        <v>745</v>
      </c>
      <c r="AH66" s="144" t="s">
        <v>746</v>
      </c>
      <c r="AI66" t="str">
        <f>VLOOKUP(A66,薪酬明细!A:A,1,0)</f>
        <v>弈工分信息于爱丽</v>
      </c>
    </row>
    <row r="67" s="96" customFormat="1" ht="23" customHeight="1" outlineLevel="1" spans="1:35">
      <c r="A67" s="26" t="str">
        <f t="shared" si="0"/>
        <v>弈工分信息宋卫东</v>
      </c>
      <c r="B67" s="26" t="str">
        <f>VLOOKUP($A67,薪酬明细!$A:$G,2,0)</f>
        <v>物业保洁部</v>
      </c>
      <c r="C67" s="26" t="s">
        <v>72</v>
      </c>
      <c r="D67" s="26" t="str">
        <f>VLOOKUP($A67,薪酬明细!$A:$G,4,0)</f>
        <v>正常计税</v>
      </c>
      <c r="E67" s="26" t="str">
        <f>VLOOKUP($A67,薪酬明细!$A:$G,5,0)</f>
        <v>物业保洁部</v>
      </c>
      <c r="F67" s="26" t="str">
        <f>VLOOKUP($A67,薪酬明细!$A:$G,6,0)</f>
        <v>宣国英</v>
      </c>
      <c r="G67" s="26" t="str">
        <f>VLOOKUP($A67,薪酬明细!$A:$G,7,0)</f>
        <v>保洁</v>
      </c>
      <c r="H67" s="132">
        <v>45206</v>
      </c>
      <c r="I67" s="52" t="s">
        <v>555</v>
      </c>
      <c r="J67" s="133">
        <v>4000</v>
      </c>
      <c r="K67" s="134">
        <v>0</v>
      </c>
      <c r="L67" s="135"/>
      <c r="M67" s="136">
        <v>1</v>
      </c>
      <c r="N67" s="135"/>
      <c r="O67" s="137"/>
      <c r="P67" s="138"/>
      <c r="Q67" s="138"/>
      <c r="R67" s="138"/>
      <c r="S67" s="135"/>
      <c r="T67" s="137"/>
      <c r="U67" s="72">
        <v>11</v>
      </c>
      <c r="V67" s="135">
        <f>ROUND(J67/26*1-J67,2)</f>
        <v>-3846.15</v>
      </c>
      <c r="W67" s="139">
        <f t="shared" si="4"/>
        <v>-3846.15</v>
      </c>
      <c r="X67" s="136">
        <v>0</v>
      </c>
      <c r="Y67" s="136">
        <v>0</v>
      </c>
      <c r="Z67" s="136"/>
      <c r="AA67" s="140">
        <v>0</v>
      </c>
      <c r="AB67" s="141">
        <v>0</v>
      </c>
      <c r="AC67" s="72">
        <v>0</v>
      </c>
      <c r="AD67" s="72">
        <v>0</v>
      </c>
      <c r="AE67" s="142">
        <v>0</v>
      </c>
      <c r="AF67" s="143"/>
      <c r="AG67" s="144" t="s">
        <v>745</v>
      </c>
      <c r="AH67" s="144" t="s">
        <v>747</v>
      </c>
      <c r="AI67" t="str">
        <f>VLOOKUP(A67,薪酬明细!A:A,1,0)</f>
        <v>弈工分信息宋卫东</v>
      </c>
    </row>
    <row r="68" s="96" customFormat="1" ht="23" customHeight="1" outlineLevel="1" spans="1:35">
      <c r="A68" s="26" t="str">
        <f t="shared" ref="A68:A73" si="7">C68&amp;I68</f>
        <v>弈工分健康殷德昌</v>
      </c>
      <c r="B68" s="26" t="str">
        <f>VLOOKUP($A68,薪酬明细!$A:$G,2,0)</f>
        <v>物业保洁部</v>
      </c>
      <c r="C68" s="26" t="s">
        <v>73</v>
      </c>
      <c r="D68" s="26" t="str">
        <f>VLOOKUP($A68,薪酬明细!$A:$G,4,0)</f>
        <v>正常计税</v>
      </c>
      <c r="E68" s="26" t="str">
        <f>VLOOKUP($A68,薪酬明细!$A:$G,5,0)</f>
        <v>物业保洁部</v>
      </c>
      <c r="F68" s="26" t="str">
        <f>VLOOKUP($A68,薪酬明细!$A:$G,6,0)</f>
        <v>宣国英</v>
      </c>
      <c r="G68" s="26" t="str">
        <f>VLOOKUP($A68,薪酬明细!$A:$G,7,0)</f>
        <v>保洁</v>
      </c>
      <c r="H68" s="132">
        <v>45302</v>
      </c>
      <c r="I68" s="52" t="s">
        <v>464</v>
      </c>
      <c r="J68" s="133">
        <v>4000</v>
      </c>
      <c r="K68" s="134">
        <v>0</v>
      </c>
      <c r="L68" s="135"/>
      <c r="M68" s="136">
        <v>0</v>
      </c>
      <c r="N68" s="135"/>
      <c r="O68" s="137"/>
      <c r="P68" s="138"/>
      <c r="Q68" s="138"/>
      <c r="R68" s="138"/>
      <c r="S68" s="135"/>
      <c r="T68" s="137"/>
      <c r="U68" s="72">
        <v>0</v>
      </c>
      <c r="V68" s="135">
        <v>200</v>
      </c>
      <c r="W68" s="139">
        <f t="shared" si="4"/>
        <v>200</v>
      </c>
      <c r="X68" s="136">
        <v>0</v>
      </c>
      <c r="Y68" s="136">
        <v>0</v>
      </c>
      <c r="Z68" s="136"/>
      <c r="AA68" s="140">
        <v>0</v>
      </c>
      <c r="AB68" s="141">
        <v>0</v>
      </c>
      <c r="AC68" s="72">
        <v>0</v>
      </c>
      <c r="AD68" s="72">
        <v>0</v>
      </c>
      <c r="AE68" s="142">
        <v>0</v>
      </c>
      <c r="AF68" s="143"/>
      <c r="AG68" s="144">
        <v>0</v>
      </c>
      <c r="AH68" s="144" t="s">
        <v>744</v>
      </c>
      <c r="AI68" t="str">
        <f>VLOOKUP(A68,薪酬明细!A:A,1,0)</f>
        <v>弈工分健康殷德昌</v>
      </c>
    </row>
    <row r="69" s="96" customFormat="1" ht="23" customHeight="1" outlineLevel="1" spans="1:35">
      <c r="A69" s="26" t="str">
        <f t="shared" si="7"/>
        <v>弈工分健康孙建芳</v>
      </c>
      <c r="B69" s="26" t="str">
        <f>VLOOKUP($A69,薪酬明细!$A:$G,2,0)</f>
        <v>物业保洁部</v>
      </c>
      <c r="C69" s="26" t="s">
        <v>73</v>
      </c>
      <c r="D69" s="26" t="str">
        <f>VLOOKUP($A69,薪酬明细!$A:$G,4,0)</f>
        <v>正常计税</v>
      </c>
      <c r="E69" s="26" t="str">
        <f>VLOOKUP($A69,薪酬明细!$A:$G,5,0)</f>
        <v>物业保洁部</v>
      </c>
      <c r="F69" s="26" t="str">
        <f>VLOOKUP($A69,薪酬明细!$A:$G,6,0)</f>
        <v>宣国英</v>
      </c>
      <c r="G69" s="26" t="str">
        <f>VLOOKUP($A69,薪酬明细!$A:$G,7,0)</f>
        <v>保洁</v>
      </c>
      <c r="H69" s="132">
        <v>45302</v>
      </c>
      <c r="I69" s="52" t="s">
        <v>471</v>
      </c>
      <c r="J69" s="133">
        <v>4000</v>
      </c>
      <c r="K69" s="134">
        <v>0</v>
      </c>
      <c r="L69" s="135"/>
      <c r="M69" s="136">
        <v>0</v>
      </c>
      <c r="N69" s="135">
        <f>-ROUND(J69/26*M69,2)</f>
        <v>0</v>
      </c>
      <c r="O69" s="137"/>
      <c r="P69" s="138"/>
      <c r="Q69" s="138"/>
      <c r="R69" s="138"/>
      <c r="S69" s="135"/>
      <c r="T69" s="137"/>
      <c r="U69" s="72">
        <v>0</v>
      </c>
      <c r="V69" s="135">
        <f>ROUND(J69/26*2,2)+200</f>
        <v>507.69</v>
      </c>
      <c r="W69" s="139">
        <f t="shared" si="4"/>
        <v>507.69</v>
      </c>
      <c r="X69" s="136">
        <v>0</v>
      </c>
      <c r="Y69" s="136">
        <v>0</v>
      </c>
      <c r="Z69" s="136"/>
      <c r="AA69" s="140">
        <v>0</v>
      </c>
      <c r="AB69" s="141">
        <v>0</v>
      </c>
      <c r="AC69" s="72">
        <v>0</v>
      </c>
      <c r="AD69" s="72">
        <v>0</v>
      </c>
      <c r="AE69" s="142">
        <v>0</v>
      </c>
      <c r="AF69" s="143"/>
      <c r="AG69" s="144">
        <v>0</v>
      </c>
      <c r="AH69" s="144" t="s">
        <v>748</v>
      </c>
      <c r="AI69" t="str">
        <f>VLOOKUP(A69,薪酬明细!A:A,1,0)</f>
        <v>弈工分健康孙建芳</v>
      </c>
    </row>
    <row r="70" s="96" customFormat="1" ht="23" customHeight="1" outlineLevel="1" spans="1:35">
      <c r="A70" s="26" t="str">
        <f t="shared" si="7"/>
        <v>开弈信息蔡心宇</v>
      </c>
      <c r="B70" s="26" t="str">
        <f>VLOOKUP($A70,薪酬明细!$A:$G,2,0)</f>
        <v>F-大财务部</v>
      </c>
      <c r="C70" s="26" t="s">
        <v>57</v>
      </c>
      <c r="D70" s="26" t="str">
        <f>VLOOKUP($A70,薪酬明细!$A:$G,4,0)</f>
        <v>正常计税</v>
      </c>
      <c r="E70" s="26" t="str">
        <f>VLOOKUP($A70,薪酬明细!$A:$G,5,0)</f>
        <v>财务部</v>
      </c>
      <c r="F70" s="26" t="str">
        <f>VLOOKUP($A70,薪酬明细!$A:$G,6,0)</f>
        <v>张毅</v>
      </c>
      <c r="G70" s="26" t="str">
        <f>VLOOKUP($A70,薪酬明细!$A:$G,7,0)</f>
        <v>财务经理</v>
      </c>
      <c r="H70" s="132">
        <v>45474</v>
      </c>
      <c r="I70" s="52" t="s">
        <v>341</v>
      </c>
      <c r="J70" s="133">
        <v>20000</v>
      </c>
      <c r="K70" s="134">
        <v>0</v>
      </c>
      <c r="L70" s="135"/>
      <c r="M70" s="136">
        <v>0</v>
      </c>
      <c r="N70" s="135"/>
      <c r="O70" s="137"/>
      <c r="P70" s="138"/>
      <c r="Q70" s="138"/>
      <c r="R70" s="138"/>
      <c r="S70" s="135"/>
      <c r="T70" s="137"/>
      <c r="U70" s="72">
        <v>0</v>
      </c>
      <c r="V70" s="135"/>
      <c r="W70" s="139">
        <f t="shared" si="4"/>
        <v>0</v>
      </c>
      <c r="X70" s="136">
        <v>0</v>
      </c>
      <c r="Y70" s="136">
        <v>0</v>
      </c>
      <c r="Z70" s="136"/>
      <c r="AA70" s="140">
        <v>0</v>
      </c>
      <c r="AB70" s="141">
        <v>0</v>
      </c>
      <c r="AC70" s="72">
        <v>0</v>
      </c>
      <c r="AD70" s="72">
        <v>0</v>
      </c>
      <c r="AE70" s="142">
        <v>0</v>
      </c>
      <c r="AF70" s="143"/>
      <c r="AG70" s="144">
        <v>0</v>
      </c>
      <c r="AH70" s="144">
        <v>0</v>
      </c>
      <c r="AI70" t="str">
        <f>VLOOKUP(A70,薪酬明细!A:A,1,0)</f>
        <v>开弈信息蔡心宇</v>
      </c>
    </row>
    <row r="71" s="96" customFormat="1" ht="23" customHeight="1" outlineLevel="1" spans="1:35">
      <c r="A71" s="26" t="str">
        <f t="shared" si="7"/>
        <v>开弈信息黄燕婷</v>
      </c>
      <c r="B71" s="26" t="str">
        <f>VLOOKUP($A71,薪酬明细!$A:$G,2,0)</f>
        <v>C-大后台-人事</v>
      </c>
      <c r="C71" s="26" t="s">
        <v>57</v>
      </c>
      <c r="D71" s="26" t="str">
        <f>VLOOKUP($A71,薪酬明细!$A:$G,4,0)</f>
        <v>正常计税</v>
      </c>
      <c r="E71" s="26" t="str">
        <f>VLOOKUP($A71,薪酬明细!$A:$G,5,0)</f>
        <v>人事部</v>
      </c>
      <c r="F71" s="26" t="str">
        <f>VLOOKUP($A71,薪酬明细!$A:$G,6,0)</f>
        <v>王妤扬</v>
      </c>
      <c r="G71" s="26" t="str">
        <f>VLOOKUP($A71,薪酬明细!$A:$G,7,0)</f>
        <v>人事专员</v>
      </c>
      <c r="H71" s="132">
        <v>45939</v>
      </c>
      <c r="I71" s="52" t="s">
        <v>108</v>
      </c>
      <c r="J71" s="133">
        <v>8500</v>
      </c>
      <c r="K71" s="134">
        <v>0</v>
      </c>
      <c r="L71" s="135">
        <f>-ROUND(J71/21.75*K71*40%,2)</f>
        <v>0</v>
      </c>
      <c r="M71" s="136">
        <v>0</v>
      </c>
      <c r="N71" s="135"/>
      <c r="O71" s="137"/>
      <c r="P71" s="138"/>
      <c r="Q71" s="138"/>
      <c r="R71" s="138"/>
      <c r="S71" s="135"/>
      <c r="T71" s="137"/>
      <c r="U71" s="72">
        <v>0</v>
      </c>
      <c r="V71" s="135">
        <f>200*21</f>
        <v>4200</v>
      </c>
      <c r="W71" s="139">
        <f t="shared" si="4"/>
        <v>4200</v>
      </c>
      <c r="X71" s="136">
        <v>0</v>
      </c>
      <c r="Y71" s="136">
        <v>0</v>
      </c>
      <c r="Z71" s="136"/>
      <c r="AA71" s="140">
        <v>0</v>
      </c>
      <c r="AB71" s="141">
        <v>0</v>
      </c>
      <c r="AC71" s="72">
        <v>0</v>
      </c>
      <c r="AD71" s="72">
        <v>0</v>
      </c>
      <c r="AE71" s="142">
        <v>0</v>
      </c>
      <c r="AF71" s="143"/>
      <c r="AG71" s="144">
        <v>0</v>
      </c>
      <c r="AH71" s="144" t="s">
        <v>749</v>
      </c>
      <c r="AI71" t="str">
        <f>VLOOKUP(A71,薪酬明细!A:A,1,0)</f>
        <v>开弈信息黄燕婷</v>
      </c>
    </row>
    <row r="72" s="96" customFormat="1" ht="23" customHeight="1" outlineLevel="1" spans="1:35">
      <c r="A72" s="26" t="str">
        <f t="shared" si="7"/>
        <v>弈工分健康高玉玲</v>
      </c>
      <c r="B72" s="26" t="str">
        <f>VLOOKUP($A72,薪酬明细!$A:$G,2,0)</f>
        <v>物业保洁部</v>
      </c>
      <c r="C72" s="26" t="s">
        <v>73</v>
      </c>
      <c r="D72" s="26" t="str">
        <f>VLOOKUP($A72,薪酬明细!$A:$G,4,0)</f>
        <v>正常计税</v>
      </c>
      <c r="E72" s="26" t="str">
        <f>VLOOKUP($A72,薪酬明细!$A:$G,5,0)</f>
        <v>物业保洁部</v>
      </c>
      <c r="F72" s="26" t="str">
        <f>VLOOKUP($A72,薪酬明细!$A:$G,6,0)</f>
        <v>宣国英</v>
      </c>
      <c r="G72" s="26" t="str">
        <f>VLOOKUP($A72,薪酬明细!$A:$G,7,0)</f>
        <v>保洁</v>
      </c>
      <c r="H72" s="132">
        <v>45368</v>
      </c>
      <c r="I72" s="52" t="s">
        <v>467</v>
      </c>
      <c r="J72" s="133">
        <v>4000</v>
      </c>
      <c r="K72" s="134">
        <v>0</v>
      </c>
      <c r="L72" s="135"/>
      <c r="M72" s="136">
        <v>0</v>
      </c>
      <c r="N72" s="135">
        <f>-ROUND(J72/26*M72,2)</f>
        <v>0</v>
      </c>
      <c r="O72" s="137"/>
      <c r="P72" s="138"/>
      <c r="Q72" s="138"/>
      <c r="R72" s="138"/>
      <c r="S72" s="135"/>
      <c r="T72" s="137"/>
      <c r="U72" s="72">
        <v>0</v>
      </c>
      <c r="V72" s="135"/>
      <c r="W72" s="139">
        <f t="shared" si="4"/>
        <v>0</v>
      </c>
      <c r="X72" s="136">
        <v>0</v>
      </c>
      <c r="Y72" s="136">
        <v>0</v>
      </c>
      <c r="Z72" s="136"/>
      <c r="AA72" s="140">
        <v>0</v>
      </c>
      <c r="AB72" s="141">
        <v>0</v>
      </c>
      <c r="AC72" s="72">
        <v>0</v>
      </c>
      <c r="AD72" s="72">
        <v>0</v>
      </c>
      <c r="AE72" s="142">
        <v>0</v>
      </c>
      <c r="AF72" s="143"/>
      <c r="AG72" s="144">
        <v>0</v>
      </c>
      <c r="AH72" s="144">
        <v>0</v>
      </c>
      <c r="AI72" t="str">
        <f>VLOOKUP(A72,薪酬明细!A:A,1,0)</f>
        <v>弈工分健康高玉玲</v>
      </c>
    </row>
    <row r="73" s="96" customFormat="1" ht="23" customHeight="1" outlineLevel="1" spans="1:35">
      <c r="A73" s="26" t="str">
        <f t="shared" si="7"/>
        <v>弈工分健康黄连兵</v>
      </c>
      <c r="B73" s="26" t="str">
        <f>VLOOKUP($A73,薪酬明细!$A:$G,2,0)</f>
        <v>物业保安部</v>
      </c>
      <c r="C73" s="26" t="s">
        <v>73</v>
      </c>
      <c r="D73" s="26" t="str">
        <f>VLOOKUP($A73,薪酬明细!$A:$G,4,0)</f>
        <v>正常计税</v>
      </c>
      <c r="E73" s="26" t="str">
        <f>VLOOKUP($A73,薪酬明细!$A:$G,5,0)</f>
        <v>物业保安部</v>
      </c>
      <c r="F73" s="26" t="str">
        <f>VLOOKUP($A73,薪酬明细!$A:$G,6,0)</f>
        <v>贾飞龙</v>
      </c>
      <c r="G73" s="26" t="str">
        <f>VLOOKUP($A73,薪酬明细!$A:$G,7,0)</f>
        <v>园区保安</v>
      </c>
      <c r="H73" s="132">
        <v>45505</v>
      </c>
      <c r="I73" s="52" t="s">
        <v>474</v>
      </c>
      <c r="J73" s="133">
        <v>6500</v>
      </c>
      <c r="K73" s="134">
        <v>0</v>
      </c>
      <c r="L73" s="135"/>
      <c r="M73" s="136">
        <v>0</v>
      </c>
      <c r="N73" s="135"/>
      <c r="O73" s="137"/>
      <c r="P73" s="138"/>
      <c r="Q73" s="138"/>
      <c r="R73" s="138"/>
      <c r="S73" s="135"/>
      <c r="T73" s="137"/>
      <c r="U73" s="72">
        <v>0</v>
      </c>
      <c r="V73" s="135">
        <f t="shared" ref="V73:V77" si="8">ROUND(J73/30*(2),2)</f>
        <v>433.33</v>
      </c>
      <c r="W73" s="139">
        <f t="shared" si="4"/>
        <v>433.33</v>
      </c>
      <c r="X73" s="136">
        <v>0</v>
      </c>
      <c r="Y73" s="136">
        <v>0</v>
      </c>
      <c r="Z73" s="136"/>
      <c r="AA73" s="140">
        <v>0</v>
      </c>
      <c r="AB73" s="141">
        <v>0</v>
      </c>
      <c r="AC73" s="72">
        <v>0</v>
      </c>
      <c r="AD73" s="72">
        <v>0</v>
      </c>
      <c r="AE73" s="142">
        <v>0</v>
      </c>
      <c r="AF73" s="143"/>
      <c r="AG73" s="144">
        <v>0</v>
      </c>
      <c r="AH73" s="144" t="s">
        <v>750</v>
      </c>
      <c r="AI73" t="str">
        <f>VLOOKUP(A73,薪酬明细!A:A,1,0)</f>
        <v>弈工分健康黄连兵</v>
      </c>
    </row>
    <row r="74" s="96" customFormat="1" ht="23" customHeight="1" outlineLevel="1" spans="1:35">
      <c r="A74" s="26" t="s">
        <v>751</v>
      </c>
      <c r="B74" s="26" t="s">
        <v>752</v>
      </c>
      <c r="C74" s="26" t="s">
        <v>72</v>
      </c>
      <c r="D74" s="26" t="s">
        <v>252</v>
      </c>
      <c r="E74" s="26" t="s">
        <v>753</v>
      </c>
      <c r="F74" s="26" t="s">
        <v>400</v>
      </c>
      <c r="G74" s="26" t="s">
        <v>559</v>
      </c>
      <c r="H74" s="132">
        <v>46160</v>
      </c>
      <c r="I74" s="52" t="s">
        <v>560</v>
      </c>
      <c r="J74" s="133">
        <f>10000*0.8</f>
        <v>8000</v>
      </c>
      <c r="K74" s="134">
        <v>0</v>
      </c>
      <c r="L74" s="135"/>
      <c r="M74" s="136">
        <v>0</v>
      </c>
      <c r="N74" s="135">
        <f>-ROUND(J74/21.75*M74,2)</f>
        <v>0</v>
      </c>
      <c r="O74" s="137"/>
      <c r="P74" s="138"/>
      <c r="Q74" s="138"/>
      <c r="R74" s="138"/>
      <c r="S74" s="135"/>
      <c r="T74" s="137"/>
      <c r="U74" s="72">
        <v>0</v>
      </c>
      <c r="V74" s="135">
        <f>200*21</f>
        <v>4200</v>
      </c>
      <c r="W74" s="139">
        <f t="shared" si="4"/>
        <v>4200</v>
      </c>
      <c r="X74" s="136"/>
      <c r="Y74" s="136">
        <v>0</v>
      </c>
      <c r="Z74" s="136"/>
      <c r="AA74" s="140">
        <v>0</v>
      </c>
      <c r="AB74" s="141">
        <v>0</v>
      </c>
      <c r="AC74" s="72">
        <v>0</v>
      </c>
      <c r="AD74" s="72">
        <v>0</v>
      </c>
      <c r="AE74" s="142"/>
      <c r="AF74" s="143"/>
      <c r="AG74" s="144">
        <v>0</v>
      </c>
      <c r="AH74" s="144" t="s">
        <v>749</v>
      </c>
      <c r="AI74" t="str">
        <f>VLOOKUP(A74,薪酬明细!A:A,1,0)</f>
        <v>弈工分信息陈圆</v>
      </c>
    </row>
    <row r="75" s="96" customFormat="1" ht="23" customHeight="1" outlineLevel="1" spans="1:35">
      <c r="A75" s="26" t="str">
        <f t="shared" ref="A75:A89" si="9">C75&amp;I75</f>
        <v>弈工分健康庄艳林</v>
      </c>
      <c r="B75" s="26" t="str">
        <f>VLOOKUP($A75,薪酬明细!$A:$G,2,0)</f>
        <v>物业保安部</v>
      </c>
      <c r="C75" s="26" t="s">
        <v>73</v>
      </c>
      <c r="D75" s="26" t="str">
        <f>VLOOKUP($A75,薪酬明细!$A:$G,4,0)</f>
        <v>正常计税</v>
      </c>
      <c r="E75" s="26" t="str">
        <f>VLOOKUP($A75,薪酬明细!$A:$G,5,0)</f>
        <v>物业保安部</v>
      </c>
      <c r="F75" s="26" t="str">
        <f>VLOOKUP($A75,薪酬明细!$A:$G,6,0)</f>
        <v>贾飞龙</v>
      </c>
      <c r="G75" s="26" t="str">
        <f>VLOOKUP($A75,薪酬明细!$A:$G,7,0)</f>
        <v>园区保安</v>
      </c>
      <c r="H75" s="132">
        <v>45505</v>
      </c>
      <c r="I75" s="52" t="s">
        <v>477</v>
      </c>
      <c r="J75" s="133">
        <v>6500</v>
      </c>
      <c r="K75" s="134">
        <v>0</v>
      </c>
      <c r="L75" s="135"/>
      <c r="M75" s="136">
        <v>0</v>
      </c>
      <c r="N75" s="135">
        <f>-J75/30*M75</f>
        <v>0</v>
      </c>
      <c r="O75" s="137"/>
      <c r="P75" s="138"/>
      <c r="Q75" s="138"/>
      <c r="R75" s="138"/>
      <c r="S75" s="135"/>
      <c r="T75" s="137"/>
      <c r="U75" s="72">
        <v>0</v>
      </c>
      <c r="V75" s="135">
        <f t="shared" si="8"/>
        <v>433.33</v>
      </c>
      <c r="W75" s="139">
        <f t="shared" si="4"/>
        <v>433.33</v>
      </c>
      <c r="X75" s="136">
        <v>0</v>
      </c>
      <c r="Y75" s="136">
        <v>0</v>
      </c>
      <c r="Z75" s="136"/>
      <c r="AA75" s="140">
        <v>0</v>
      </c>
      <c r="AB75" s="141">
        <v>0</v>
      </c>
      <c r="AC75" s="72">
        <v>0</v>
      </c>
      <c r="AD75" s="72">
        <v>0</v>
      </c>
      <c r="AE75" s="142">
        <v>0</v>
      </c>
      <c r="AF75" s="143"/>
      <c r="AG75" s="144">
        <v>0</v>
      </c>
      <c r="AH75" s="144" t="s">
        <v>750</v>
      </c>
      <c r="AI75" t="str">
        <f>VLOOKUP(A75,薪酬明细!A:A,1,0)</f>
        <v>弈工分健康庄艳林</v>
      </c>
    </row>
    <row r="76" s="96" customFormat="1" ht="23" customHeight="1" outlineLevel="1" spans="1:35">
      <c r="A76" s="26" t="str">
        <f t="shared" si="9"/>
        <v>弈工分健康谢小强</v>
      </c>
      <c r="B76" s="26" t="str">
        <f>VLOOKUP($A76,薪酬明细!$A:$G,2,0)</f>
        <v>物业保安部</v>
      </c>
      <c r="C76" s="26" t="s">
        <v>73</v>
      </c>
      <c r="D76" s="26" t="str">
        <f>VLOOKUP($A76,薪酬明细!$A:$G,4,0)</f>
        <v>正常计税</v>
      </c>
      <c r="E76" s="26" t="str">
        <f>VLOOKUP($A76,薪酬明细!$A:$G,5,0)</f>
        <v>物业保安部</v>
      </c>
      <c r="F76" s="26" t="str">
        <f>VLOOKUP($A76,薪酬明细!$A:$G,6,0)</f>
        <v>贾飞龙</v>
      </c>
      <c r="G76" s="26" t="str">
        <f>VLOOKUP($A76,薪酬明细!$A:$G,7,0)</f>
        <v>园区保安</v>
      </c>
      <c r="H76" s="132">
        <v>45505</v>
      </c>
      <c r="I76" s="52" t="s">
        <v>479</v>
      </c>
      <c r="J76" s="133">
        <v>6500</v>
      </c>
      <c r="K76" s="134">
        <v>0</v>
      </c>
      <c r="L76" s="135"/>
      <c r="M76" s="136">
        <v>0</v>
      </c>
      <c r="N76" s="135">
        <f>-ROUND(J76/30*M76,2)</f>
        <v>0</v>
      </c>
      <c r="O76" s="137"/>
      <c r="P76" s="138"/>
      <c r="Q76" s="138"/>
      <c r="R76" s="138"/>
      <c r="S76" s="135"/>
      <c r="T76" s="137"/>
      <c r="U76" s="72">
        <v>0</v>
      </c>
      <c r="V76" s="135">
        <f t="shared" si="8"/>
        <v>433.33</v>
      </c>
      <c r="W76" s="139">
        <f t="shared" si="4"/>
        <v>433.33</v>
      </c>
      <c r="X76" s="136">
        <v>0</v>
      </c>
      <c r="Y76" s="136">
        <v>0</v>
      </c>
      <c r="Z76" s="136"/>
      <c r="AA76" s="140">
        <v>0</v>
      </c>
      <c r="AB76" s="141">
        <v>0</v>
      </c>
      <c r="AC76" s="72">
        <v>0</v>
      </c>
      <c r="AD76" s="72">
        <v>0</v>
      </c>
      <c r="AE76" s="142">
        <v>0</v>
      </c>
      <c r="AF76" s="143"/>
      <c r="AG76" s="144">
        <v>0</v>
      </c>
      <c r="AH76" s="144" t="s">
        <v>750</v>
      </c>
      <c r="AI76" t="str">
        <f>VLOOKUP(A76,薪酬明细!A:A,1,0)</f>
        <v>弈工分健康谢小强</v>
      </c>
    </row>
    <row r="77" s="96" customFormat="1" ht="23" customHeight="1" outlineLevel="1" spans="1:35">
      <c r="A77" s="26" t="str">
        <f t="shared" si="9"/>
        <v>弈工分健康史文奎</v>
      </c>
      <c r="B77" s="26" t="str">
        <f>VLOOKUP($A77,薪酬明细!$A:$G,2,0)</f>
        <v>物业保安部</v>
      </c>
      <c r="C77" s="26" t="s">
        <v>73</v>
      </c>
      <c r="D77" s="26" t="str">
        <f>VLOOKUP($A77,薪酬明细!$A:$G,4,0)</f>
        <v>正常计税</v>
      </c>
      <c r="E77" s="26" t="str">
        <f>VLOOKUP($A77,薪酬明细!$A:$G,5,0)</f>
        <v>物业保安部</v>
      </c>
      <c r="F77" s="26" t="str">
        <f>VLOOKUP($A77,薪酬明细!$A:$G,6,0)</f>
        <v>贾飞龙</v>
      </c>
      <c r="G77" s="26" t="str">
        <f>VLOOKUP($A77,薪酬明细!$A:$G,7,0)</f>
        <v>园区保安</v>
      </c>
      <c r="H77" s="132">
        <v>46104</v>
      </c>
      <c r="I77" s="52" t="s">
        <v>481</v>
      </c>
      <c r="J77" s="133">
        <v>6300</v>
      </c>
      <c r="K77" s="134">
        <v>0</v>
      </c>
      <c r="L77" s="135">
        <f>-ROUND(J77/30*K77*40%,2)</f>
        <v>0</v>
      </c>
      <c r="M77" s="136">
        <v>0</v>
      </c>
      <c r="N77" s="135">
        <f>-ROUND(J77/30*M77,2)</f>
        <v>0</v>
      </c>
      <c r="O77" s="137"/>
      <c r="P77" s="138"/>
      <c r="Q77" s="138"/>
      <c r="R77" s="138"/>
      <c r="S77" s="135"/>
      <c r="T77" s="137"/>
      <c r="U77" s="72">
        <v>0</v>
      </c>
      <c r="V77" s="135">
        <f t="shared" si="8"/>
        <v>420</v>
      </c>
      <c r="W77" s="139">
        <f t="shared" si="4"/>
        <v>420</v>
      </c>
      <c r="X77" s="136">
        <v>0</v>
      </c>
      <c r="Y77" s="136">
        <v>0</v>
      </c>
      <c r="Z77" s="136"/>
      <c r="AA77" s="140">
        <v>0</v>
      </c>
      <c r="AB77" s="141">
        <v>0</v>
      </c>
      <c r="AC77" s="72">
        <v>0</v>
      </c>
      <c r="AD77" s="72">
        <v>0</v>
      </c>
      <c r="AE77" s="142">
        <v>0</v>
      </c>
      <c r="AF77" s="143"/>
      <c r="AG77" s="144">
        <v>0</v>
      </c>
      <c r="AH77" s="144" t="s">
        <v>750</v>
      </c>
      <c r="AI77" t="str">
        <f>VLOOKUP(A77,薪酬明细!A:A,1,0)</f>
        <v>弈工分健康史文奎</v>
      </c>
    </row>
    <row r="78" s="96" customFormat="1" ht="23" customHeight="1" outlineLevel="1" spans="1:35">
      <c r="A78" s="26" t="str">
        <f t="shared" si="9"/>
        <v>开弈投资周凯楠</v>
      </c>
      <c r="B78" s="26" t="str">
        <f>VLOOKUP($A78,薪酬明细!$A:$G,2,0)</f>
        <v>C-大后台-行政</v>
      </c>
      <c r="C78" s="26" t="s">
        <v>71</v>
      </c>
      <c r="D78" s="26" t="str">
        <f>VLOOKUP($A78,薪酬明细!$A:$G,4,0)</f>
        <v>正常计税</v>
      </c>
      <c r="E78" s="26" t="str">
        <f>VLOOKUP($A78,薪酬明细!$A:$G,5,0)</f>
        <v>行政部</v>
      </c>
      <c r="F78" s="26" t="str">
        <f>VLOOKUP($A78,薪酬明细!$A:$G,6,0)</f>
        <v>蔡心宇</v>
      </c>
      <c r="G78" s="26" t="str">
        <f>VLOOKUP($A78,薪酬明细!$A:$G,7,0)</f>
        <v>人事助理</v>
      </c>
      <c r="H78" s="132">
        <v>45575</v>
      </c>
      <c r="I78" s="52" t="s">
        <v>361</v>
      </c>
      <c r="J78" s="133">
        <v>6500</v>
      </c>
      <c r="K78" s="134">
        <v>0</v>
      </c>
      <c r="L78" s="135"/>
      <c r="M78" s="136">
        <v>0</v>
      </c>
      <c r="N78" s="135">
        <f>-ROUND(J78/21.75*M78,2)</f>
        <v>0</v>
      </c>
      <c r="O78" s="137"/>
      <c r="P78" s="138"/>
      <c r="Q78" s="138"/>
      <c r="R78" s="138"/>
      <c r="S78" s="135"/>
      <c r="T78" s="137"/>
      <c r="U78" s="72">
        <v>0</v>
      </c>
      <c r="V78" s="135"/>
      <c r="W78" s="139">
        <f t="shared" si="4"/>
        <v>0</v>
      </c>
      <c r="X78" s="136">
        <v>0</v>
      </c>
      <c r="Y78" s="136">
        <v>1</v>
      </c>
      <c r="Z78" s="136"/>
      <c r="AA78" s="140">
        <v>0</v>
      </c>
      <c r="AB78" s="141">
        <v>0</v>
      </c>
      <c r="AC78" s="72">
        <v>0</v>
      </c>
      <c r="AD78" s="72">
        <v>0</v>
      </c>
      <c r="AE78" s="142">
        <v>0</v>
      </c>
      <c r="AF78" s="143"/>
      <c r="AG78" s="144">
        <v>0</v>
      </c>
      <c r="AH78" s="144" t="s">
        <v>726</v>
      </c>
      <c r="AI78" t="str">
        <f>VLOOKUP(A78,薪酬明细!A:A,1,0)</f>
        <v>开弈投资周凯楠</v>
      </c>
    </row>
    <row r="79" s="96" customFormat="1" ht="23" customHeight="1" outlineLevel="1" spans="1:35">
      <c r="A79" s="26" t="str">
        <f t="shared" si="9"/>
        <v>开弈投资韩喆</v>
      </c>
      <c r="B79" s="26" t="str">
        <f>VLOOKUP($A79,薪酬明细!$A:$G,2,0)</f>
        <v>园区-商办&amp;企业服务</v>
      </c>
      <c r="C79" s="26" t="s">
        <v>71</v>
      </c>
      <c r="D79" s="26" t="str">
        <f>VLOOKUP($A79,薪酬明细!$A:$G,4,0)</f>
        <v>劳务计税</v>
      </c>
      <c r="E79" s="26" t="str">
        <f>VLOOKUP($A79,薪酬明细!$A:$G,5,0)</f>
        <v>办公&amp;企业服务</v>
      </c>
      <c r="F79" s="26" t="str">
        <f>VLOOKUP($A79,薪酬明细!$A:$G,6,0)</f>
        <v>张毅</v>
      </c>
      <c r="G79" s="26" t="str">
        <f>VLOOKUP($A79,薪酬明细!$A:$G,7,0)</f>
        <v>商办总经理</v>
      </c>
      <c r="H79" s="132">
        <v>45726</v>
      </c>
      <c r="I79" s="52" t="s">
        <v>352</v>
      </c>
      <c r="J79" s="133">
        <v>50000</v>
      </c>
      <c r="K79" s="134">
        <v>0</v>
      </c>
      <c r="L79" s="135"/>
      <c r="M79" s="136">
        <v>10</v>
      </c>
      <c r="N79" s="135">
        <f>-ROUND(J79/21.75*M79,2)</f>
        <v>-22988.51</v>
      </c>
      <c r="O79" s="137"/>
      <c r="P79" s="138"/>
      <c r="Q79" s="138"/>
      <c r="R79" s="138"/>
      <c r="S79" s="135"/>
      <c r="T79" s="137"/>
      <c r="U79" s="72">
        <v>0</v>
      </c>
      <c r="V79" s="135"/>
      <c r="W79" s="139">
        <f t="shared" ref="W79:W88" si="10">L79+N79+S79+V79</f>
        <v>-22988.51</v>
      </c>
      <c r="X79" s="136"/>
      <c r="Y79" s="136">
        <v>6</v>
      </c>
      <c r="Z79" s="136"/>
      <c r="AA79" s="140">
        <v>0</v>
      </c>
      <c r="AB79" s="141">
        <v>0</v>
      </c>
      <c r="AC79" s="72">
        <v>0</v>
      </c>
      <c r="AD79" s="72">
        <v>0</v>
      </c>
      <c r="AE79" s="142">
        <v>0</v>
      </c>
      <c r="AF79" s="143"/>
      <c r="AG79" s="144">
        <v>0</v>
      </c>
      <c r="AH79" s="144" t="s">
        <v>754</v>
      </c>
      <c r="AI79" t="str">
        <f>VLOOKUP(A79,薪酬明细!A:A,1,0)</f>
        <v>开弈投资韩喆</v>
      </c>
    </row>
    <row r="80" s="96" customFormat="1" ht="23" customHeight="1" outlineLevel="1" spans="1:35">
      <c r="A80" s="26" t="str">
        <f t="shared" si="9"/>
        <v>弈工分信息吴立军</v>
      </c>
      <c r="B80" s="26" t="str">
        <f>VLOOKUP($A80,薪酬明细!$A:$G,2,0)</f>
        <v>园区-公寓&amp;企业服务部</v>
      </c>
      <c r="C80" s="26" t="s">
        <v>72</v>
      </c>
      <c r="D80" s="26" t="str">
        <f>VLOOKUP($A80,薪酬明细!$A:$G,4,0)</f>
        <v>正常计税</v>
      </c>
      <c r="E80" s="26" t="str">
        <f>VLOOKUP($A80,薪酬明细!$A:$G,5,0)</f>
        <v>公寓&amp;企业服务部</v>
      </c>
      <c r="F80" s="26" t="str">
        <f>VLOOKUP($A80,薪酬明细!$A:$G,6,0)</f>
        <v>王倩</v>
      </c>
      <c r="G80" s="26" t="str">
        <f>VLOOKUP($A80,薪酬明细!$A:$G,7,0)</f>
        <v>公寓管家</v>
      </c>
      <c r="H80" s="132">
        <v>45728</v>
      </c>
      <c r="I80" s="52" t="s">
        <v>542</v>
      </c>
      <c r="J80" s="133">
        <v>5500</v>
      </c>
      <c r="K80" s="134">
        <v>0</v>
      </c>
      <c r="L80" s="135"/>
      <c r="M80" s="136">
        <v>0</v>
      </c>
      <c r="N80" s="135">
        <f>-ROUND(J80/21.75*M80,2)</f>
        <v>0</v>
      </c>
      <c r="O80" s="137"/>
      <c r="P80" s="138"/>
      <c r="Q80" s="138"/>
      <c r="R80" s="138"/>
      <c r="S80" s="135"/>
      <c r="T80" s="137"/>
      <c r="U80" s="72">
        <v>0</v>
      </c>
      <c r="V80" s="135"/>
      <c r="W80" s="139">
        <f t="shared" si="10"/>
        <v>0</v>
      </c>
      <c r="X80" s="136">
        <v>0</v>
      </c>
      <c r="Y80" s="136">
        <v>0</v>
      </c>
      <c r="Z80" s="136"/>
      <c r="AA80" s="140">
        <v>0</v>
      </c>
      <c r="AB80" s="141">
        <v>0</v>
      </c>
      <c r="AC80" s="72">
        <v>0</v>
      </c>
      <c r="AD80" s="72">
        <v>0</v>
      </c>
      <c r="AE80" s="142">
        <v>0</v>
      </c>
      <c r="AF80" s="143"/>
      <c r="AG80" s="144">
        <v>0</v>
      </c>
      <c r="AH80" s="144">
        <v>0</v>
      </c>
      <c r="AI80" t="str">
        <f>VLOOKUP(A80,薪酬明细!A:A,1,0)</f>
        <v>弈工分信息吴立军</v>
      </c>
    </row>
    <row r="81" s="96" customFormat="1" ht="23" customHeight="1" outlineLevel="1" spans="1:35">
      <c r="A81" s="26" t="str">
        <f t="shared" si="9"/>
        <v>弈工分健康施玉芹</v>
      </c>
      <c r="B81" s="26" t="str">
        <f>VLOOKUP($A81,薪酬明细!$A:$G,2,0)</f>
        <v>物业保洁部</v>
      </c>
      <c r="C81" s="26" t="s">
        <v>73</v>
      </c>
      <c r="D81" s="26" t="str">
        <f>VLOOKUP($A81,薪酬明细!$A:$G,4,0)</f>
        <v>正常计税</v>
      </c>
      <c r="E81" s="26" t="str">
        <f>VLOOKUP($A81,薪酬明细!$A:$G,5,0)</f>
        <v>物业保洁部</v>
      </c>
      <c r="F81" s="26" t="str">
        <f>VLOOKUP($A81,薪酬明细!$A:$G,6,0)</f>
        <v>宣国英</v>
      </c>
      <c r="G81" s="26" t="str">
        <f>VLOOKUP($A81,薪酬明细!$A:$G,7,0)</f>
        <v>保洁</v>
      </c>
      <c r="H81" s="132">
        <v>45554</v>
      </c>
      <c r="I81" s="52" t="s">
        <v>575</v>
      </c>
      <c r="J81" s="133">
        <v>4000</v>
      </c>
      <c r="K81" s="134">
        <v>0</v>
      </c>
      <c r="L81" s="135"/>
      <c r="M81" s="136">
        <v>0</v>
      </c>
      <c r="N81" s="135">
        <f>-ROUND(J81/26*M81,2)</f>
        <v>0</v>
      </c>
      <c r="O81" s="137"/>
      <c r="P81" s="138"/>
      <c r="Q81" s="138"/>
      <c r="R81" s="138"/>
      <c r="S81" s="135"/>
      <c r="T81" s="137"/>
      <c r="U81" s="72">
        <v>0</v>
      </c>
      <c r="V81" s="135">
        <f>ROUND(J81/26*3,2)+200</f>
        <v>661.54</v>
      </c>
      <c r="W81" s="139">
        <f t="shared" si="10"/>
        <v>661.54</v>
      </c>
      <c r="X81" s="136">
        <v>0</v>
      </c>
      <c r="Y81" s="136">
        <v>0</v>
      </c>
      <c r="Z81" s="136"/>
      <c r="AA81" s="140">
        <v>0</v>
      </c>
      <c r="AB81" s="141">
        <v>0</v>
      </c>
      <c r="AC81" s="72">
        <v>0</v>
      </c>
      <c r="AD81" s="72">
        <v>0</v>
      </c>
      <c r="AE81" s="142">
        <v>0</v>
      </c>
      <c r="AF81" s="143"/>
      <c r="AG81" s="144">
        <v>0</v>
      </c>
      <c r="AH81" s="144" t="s">
        <v>755</v>
      </c>
      <c r="AI81" t="str">
        <f>VLOOKUP(A81,薪酬明细!A:A,1,0)</f>
        <v>弈工分健康施玉芹</v>
      </c>
    </row>
    <row r="82" s="96" customFormat="1" ht="23" customHeight="1" outlineLevel="1" spans="1:35">
      <c r="A82" s="26" t="str">
        <f t="shared" si="9"/>
        <v>老龙馄饨-灵工谢志毅</v>
      </c>
      <c r="B82" s="26" t="str">
        <f>VLOOKUP($A82,薪酬明细!$A:$G,2,0)</f>
        <v>老龙馄饨</v>
      </c>
      <c r="C82" s="26" t="s">
        <v>79</v>
      </c>
      <c r="D82" s="26" t="str">
        <f>VLOOKUP($A82,薪酬明细!$A:$G,4,0)</f>
        <v>正常计税</v>
      </c>
      <c r="E82" s="26" t="str">
        <f>VLOOKUP($A82,薪酬明细!$A:$G,5,0)</f>
        <v>老龙馄饨</v>
      </c>
      <c r="F82" s="26" t="str">
        <f>VLOOKUP($A82,薪酬明细!$A:$G,6,0)</f>
        <v>蔡心宇</v>
      </c>
      <c r="G82" s="26" t="str">
        <f>VLOOKUP($A82,薪酬明细!$A:$G,7,0)</f>
        <v>厨师</v>
      </c>
      <c r="H82" s="132">
        <v>45658</v>
      </c>
      <c r="I82" s="52" t="s">
        <v>364</v>
      </c>
      <c r="J82" s="133">
        <v>12000</v>
      </c>
      <c r="K82" s="134"/>
      <c r="L82" s="135"/>
      <c r="M82" s="136"/>
      <c r="N82" s="135"/>
      <c r="O82" s="137"/>
      <c r="P82" s="138"/>
      <c r="Q82" s="138"/>
      <c r="R82" s="138"/>
      <c r="S82" s="135"/>
      <c r="T82" s="137"/>
      <c r="U82" s="72"/>
      <c r="V82" s="135"/>
      <c r="W82" s="139">
        <f t="shared" si="10"/>
        <v>0</v>
      </c>
      <c r="X82" s="136"/>
      <c r="Y82" s="136"/>
      <c r="Z82" s="136"/>
      <c r="AA82" s="140"/>
      <c r="AB82" s="141"/>
      <c r="AC82" s="72"/>
      <c r="AD82" s="72"/>
      <c r="AE82" s="142"/>
      <c r="AF82" s="143"/>
      <c r="AG82" s="144"/>
      <c r="AH82" s="144"/>
      <c r="AI82" t="str">
        <f>VLOOKUP(A82,薪酬明细!A:A,1,0)</f>
        <v>老龙馄饨-灵工谢志毅</v>
      </c>
    </row>
    <row r="83" s="96" customFormat="1" ht="23" customHeight="1" outlineLevel="1" spans="1:35">
      <c r="A83" s="26" t="str">
        <f t="shared" si="9"/>
        <v>老龙馄饨-灵工钱玉连</v>
      </c>
      <c r="B83" s="26" t="str">
        <f>VLOOKUP($A83,薪酬明细!$A:$G,2,0)</f>
        <v>老龙馄饨</v>
      </c>
      <c r="C83" s="26" t="s">
        <v>79</v>
      </c>
      <c r="D83" s="26" t="str">
        <f>VLOOKUP($A83,薪酬明细!$A:$G,4,0)</f>
        <v>正常计税</v>
      </c>
      <c r="E83" s="26" t="str">
        <f>VLOOKUP($A83,薪酬明细!$A:$G,5,0)</f>
        <v>老龙馄饨</v>
      </c>
      <c r="F83" s="26" t="str">
        <f>VLOOKUP($A83,薪酬明细!$A:$G,6,0)</f>
        <v>蔡心宇</v>
      </c>
      <c r="G83" s="26" t="str">
        <f>VLOOKUP($A83,薪酬明细!$A:$G,7,0)</f>
        <v>保洁</v>
      </c>
      <c r="H83" s="132">
        <v>45658</v>
      </c>
      <c r="I83" s="52" t="s">
        <v>367</v>
      </c>
      <c r="J83" s="133">
        <v>6000</v>
      </c>
      <c r="K83" s="134"/>
      <c r="L83" s="135"/>
      <c r="M83" s="136"/>
      <c r="N83" s="135"/>
      <c r="O83" s="137"/>
      <c r="P83" s="138"/>
      <c r="Q83" s="138"/>
      <c r="R83" s="138"/>
      <c r="S83" s="135"/>
      <c r="T83" s="137"/>
      <c r="U83" s="72"/>
      <c r="V83" s="135"/>
      <c r="W83" s="139">
        <f t="shared" si="10"/>
        <v>0</v>
      </c>
      <c r="X83" s="136"/>
      <c r="Y83" s="136"/>
      <c r="Z83" s="136"/>
      <c r="AA83" s="140"/>
      <c r="AB83" s="141"/>
      <c r="AC83" s="72"/>
      <c r="AD83" s="72"/>
      <c r="AE83" s="142"/>
      <c r="AF83" s="143"/>
      <c r="AG83" s="144"/>
      <c r="AH83" s="144"/>
      <c r="AI83" t="str">
        <f>VLOOKUP(A83,薪酬明细!A:A,1,0)</f>
        <v>老龙馄饨-灵工钱玉连</v>
      </c>
    </row>
    <row r="84" s="96" customFormat="1" ht="23" customHeight="1" outlineLevel="1" spans="1:35">
      <c r="A84" s="26" t="str">
        <f t="shared" si="9"/>
        <v>老龙馄饨-灵工蔡明燕</v>
      </c>
      <c r="B84" s="26" t="str">
        <f>VLOOKUP($A84,薪酬明细!$A:$G,2,0)</f>
        <v>老龙馄饨</v>
      </c>
      <c r="C84" s="26" t="s">
        <v>79</v>
      </c>
      <c r="D84" s="26" t="str">
        <f>VLOOKUP($A84,薪酬明细!$A:$G,4,0)</f>
        <v>正常计税</v>
      </c>
      <c r="E84" s="26" t="str">
        <f>VLOOKUP($A84,薪酬明细!$A:$G,5,0)</f>
        <v>老龙馄饨</v>
      </c>
      <c r="F84" s="26" t="str">
        <f>VLOOKUP($A84,薪酬明细!$A:$G,6,0)</f>
        <v>蔡心宇</v>
      </c>
      <c r="G84" s="26" t="str">
        <f>VLOOKUP($A84,薪酬明细!$A:$G,7,0)</f>
        <v>保洁</v>
      </c>
      <c r="H84" s="132">
        <v>45968</v>
      </c>
      <c r="I84" s="52" t="s">
        <v>369</v>
      </c>
      <c r="J84" s="133">
        <v>6500</v>
      </c>
      <c r="K84" s="134"/>
      <c r="L84" s="135"/>
      <c r="M84" s="136"/>
      <c r="N84" s="135"/>
      <c r="O84" s="137"/>
      <c r="P84" s="138"/>
      <c r="Q84" s="138"/>
      <c r="R84" s="138"/>
      <c r="S84" s="135"/>
      <c r="T84" s="137"/>
      <c r="U84" s="72"/>
      <c r="V84" s="135"/>
      <c r="W84" s="139">
        <f t="shared" si="10"/>
        <v>0</v>
      </c>
      <c r="X84" s="136"/>
      <c r="Y84" s="136"/>
      <c r="Z84" s="136"/>
      <c r="AA84" s="140"/>
      <c r="AB84" s="141"/>
      <c r="AC84" s="72"/>
      <c r="AD84" s="72"/>
      <c r="AE84" s="142"/>
      <c r="AF84" s="143"/>
      <c r="AG84" s="144"/>
      <c r="AH84" s="144"/>
      <c r="AI84" t="str">
        <f>VLOOKUP(A84,薪酬明细!A:A,1,0)</f>
        <v>老龙馄饨-灵工蔡明燕</v>
      </c>
    </row>
    <row r="85" s="96" customFormat="1" ht="23" customHeight="1" outlineLevel="1" spans="1:35">
      <c r="A85" s="26" t="str">
        <f t="shared" si="9"/>
        <v>弈工分健康刘顺兰</v>
      </c>
      <c r="B85" s="26" t="str">
        <f>VLOOKUP($A85,薪酬明细!$A:$G,2,0)</f>
        <v>C-大后台-行政</v>
      </c>
      <c r="C85" s="26" t="s">
        <v>73</v>
      </c>
      <c r="D85" s="26" t="str">
        <f>VLOOKUP($A85,薪酬明细!$A:$G,4,0)</f>
        <v>正常计税</v>
      </c>
      <c r="E85" s="26" t="str">
        <f>VLOOKUP($A85,薪酬明细!$A:$G,5,0)</f>
        <v>行政部</v>
      </c>
      <c r="F85" s="26" t="str">
        <f>VLOOKUP($A85,薪酬明细!$A:$G,6,0)</f>
        <v>宣国英</v>
      </c>
      <c r="G85" s="26" t="str">
        <f>VLOOKUP($A85,薪酬明细!$A:$G,7,0)</f>
        <v>保洁</v>
      </c>
      <c r="H85" s="132">
        <v>46148</v>
      </c>
      <c r="I85" s="52" t="s">
        <v>576</v>
      </c>
      <c r="J85" s="133">
        <v>4000</v>
      </c>
      <c r="K85" s="134">
        <v>0</v>
      </c>
      <c r="L85" s="135"/>
      <c r="M85" s="136">
        <v>0</v>
      </c>
      <c r="N85" s="135"/>
      <c r="O85" s="137"/>
      <c r="P85" s="138"/>
      <c r="Q85" s="138"/>
      <c r="R85" s="138"/>
      <c r="S85" s="135"/>
      <c r="T85" s="137"/>
      <c r="U85" s="72">
        <v>0</v>
      </c>
      <c r="V85" s="135"/>
      <c r="W85" s="139">
        <f t="shared" si="10"/>
        <v>0</v>
      </c>
      <c r="X85" s="136"/>
      <c r="Y85" s="136">
        <v>0</v>
      </c>
      <c r="Z85" s="136"/>
      <c r="AA85" s="140">
        <v>0</v>
      </c>
      <c r="AB85" s="141">
        <v>0</v>
      </c>
      <c r="AC85" s="72">
        <v>0</v>
      </c>
      <c r="AD85" s="72">
        <v>0</v>
      </c>
      <c r="AE85" s="142">
        <v>0</v>
      </c>
      <c r="AF85" s="143"/>
      <c r="AG85" s="144">
        <v>0</v>
      </c>
      <c r="AH85" s="144">
        <v>0</v>
      </c>
      <c r="AI85" t="str">
        <f>VLOOKUP(A85,薪酬明细!A:A,1,0)</f>
        <v>弈工分健康刘顺兰</v>
      </c>
    </row>
    <row r="86" s="96" customFormat="1" ht="23" customHeight="1" outlineLevel="1" spans="1:35">
      <c r="A86" s="26" t="str">
        <f t="shared" si="9"/>
        <v>弈工分健康丁成英</v>
      </c>
      <c r="B86" s="26" t="str">
        <f>VLOOKUP($A86,薪酬明细!$A:$G,2,0)</f>
        <v>物业保洁部</v>
      </c>
      <c r="C86" s="26" t="s">
        <v>73</v>
      </c>
      <c r="D86" s="26" t="str">
        <f>VLOOKUP($A86,薪酬明细!$A:$G,4,0)</f>
        <v>正常计税</v>
      </c>
      <c r="E86" s="26" t="str">
        <f>VLOOKUP($A86,薪酬明细!$A:$G,5,0)</f>
        <v>物业保洁部</v>
      </c>
      <c r="F86" s="26" t="str">
        <f>VLOOKUP($A86,薪酬明细!$A:$G,6,0)</f>
        <v>宣国英</v>
      </c>
      <c r="G86" s="26" t="str">
        <f>VLOOKUP($A86,薪酬明细!$A:$G,7,0)</f>
        <v>保洁</v>
      </c>
      <c r="H86" s="132">
        <v>45352</v>
      </c>
      <c r="I86" s="52" t="s">
        <v>469</v>
      </c>
      <c r="J86" s="133">
        <v>4000</v>
      </c>
      <c r="K86" s="134">
        <v>0</v>
      </c>
      <c r="L86" s="135"/>
      <c r="M86" s="136">
        <v>0</v>
      </c>
      <c r="N86" s="135">
        <f>-ROUND(J86/26*M86,2)</f>
        <v>0</v>
      </c>
      <c r="O86" s="137"/>
      <c r="P86" s="138"/>
      <c r="Q86" s="138"/>
      <c r="R86" s="138"/>
      <c r="S86" s="135"/>
      <c r="T86" s="137"/>
      <c r="U86" s="72">
        <v>0</v>
      </c>
      <c r="V86" s="135"/>
      <c r="W86" s="139">
        <f t="shared" si="10"/>
        <v>0</v>
      </c>
      <c r="X86" s="136">
        <v>0</v>
      </c>
      <c r="Y86" s="136">
        <v>0</v>
      </c>
      <c r="Z86" s="136"/>
      <c r="AA86" s="140">
        <v>0</v>
      </c>
      <c r="AB86" s="141">
        <v>0</v>
      </c>
      <c r="AC86" s="72">
        <v>0</v>
      </c>
      <c r="AD86" s="72">
        <v>0</v>
      </c>
      <c r="AE86" s="142">
        <v>0</v>
      </c>
      <c r="AF86" s="143"/>
      <c r="AG86" s="144">
        <v>0</v>
      </c>
      <c r="AH86" s="144">
        <v>0</v>
      </c>
      <c r="AI86" t="str">
        <f>VLOOKUP(A86,薪酬明细!A:A,1,0)</f>
        <v>弈工分健康丁成英</v>
      </c>
    </row>
    <row r="87" s="96" customFormat="1" ht="23" customHeight="1" outlineLevel="1" spans="1:35">
      <c r="A87" s="26" t="str">
        <f t="shared" si="9"/>
        <v>弈工分信息赵柳文</v>
      </c>
      <c r="B87" s="26" t="str">
        <f>VLOOKUP($A87,薪酬明细!$A:$G,2,0)</f>
        <v>C-大后台-法务</v>
      </c>
      <c r="C87" s="26" t="s">
        <v>72</v>
      </c>
      <c r="D87" s="26" t="str">
        <f>VLOOKUP($A87,薪酬明细!$A:$G,4,0)</f>
        <v>正常计税</v>
      </c>
      <c r="E87" s="26" t="str">
        <f>VLOOKUP($A87,薪酬明细!$A:$G,5,0)</f>
        <v>法务部</v>
      </c>
      <c r="F87" s="26" t="str">
        <f>VLOOKUP($A87,薪酬明细!$A:$G,6,0)</f>
        <v>王妤扬</v>
      </c>
      <c r="G87" s="26" t="str">
        <f>VLOOKUP($A87,薪酬明细!$A:$G,7,0)</f>
        <v>法务专员</v>
      </c>
      <c r="H87" s="132">
        <v>46125</v>
      </c>
      <c r="I87" s="52" t="s">
        <v>461</v>
      </c>
      <c r="J87" s="133">
        <v>8000</v>
      </c>
      <c r="K87" s="134">
        <v>0</v>
      </c>
      <c r="L87" s="135"/>
      <c r="M87" s="136">
        <v>0</v>
      </c>
      <c r="N87" s="135"/>
      <c r="O87" s="137"/>
      <c r="P87" s="138"/>
      <c r="Q87" s="138"/>
      <c r="R87" s="138"/>
      <c r="S87" s="135"/>
      <c r="T87" s="137"/>
      <c r="U87" s="72">
        <v>0</v>
      </c>
      <c r="V87" s="135"/>
      <c r="W87" s="139">
        <f t="shared" si="10"/>
        <v>0</v>
      </c>
      <c r="X87" s="136"/>
      <c r="Y87" s="136">
        <v>0</v>
      </c>
      <c r="Z87" s="136"/>
      <c r="AA87" s="140">
        <v>0</v>
      </c>
      <c r="AB87" s="141">
        <v>0</v>
      </c>
      <c r="AC87" s="72">
        <v>0</v>
      </c>
      <c r="AD87" s="72">
        <v>0</v>
      </c>
      <c r="AE87" s="142"/>
      <c r="AF87" s="143"/>
      <c r="AG87" s="144">
        <v>0</v>
      </c>
      <c r="AH87" s="144">
        <v>0</v>
      </c>
      <c r="AI87" t="str">
        <f>VLOOKUP(A87,薪酬明细!A:A,1,0)</f>
        <v>弈工分信息赵柳文</v>
      </c>
    </row>
    <row r="88" s="96" customFormat="1" ht="23" customHeight="1" outlineLevel="1" spans="1:35">
      <c r="A88" s="26" t="str">
        <f t="shared" ref="A88:A95" si="11">C88&amp;I88</f>
        <v>弈工分信息安子玥</v>
      </c>
      <c r="B88" s="26" t="str">
        <f>VLOOKUP($A88,薪酬明细!$A:$G,2,0)</f>
        <v>G-管培生</v>
      </c>
      <c r="C88" s="26" t="s">
        <v>72</v>
      </c>
      <c r="D88" s="26" t="str">
        <f>VLOOKUP($A88,薪酬明细!$A:$G,4,0)</f>
        <v>正常计税</v>
      </c>
      <c r="E88" s="26" t="str">
        <f>VLOOKUP($A88,薪酬明细!$A:$G,5,0)</f>
        <v>管培生</v>
      </c>
      <c r="F88" s="26" t="str">
        <f>VLOOKUP($A88,薪酬明细!$A:$G,6,0)</f>
        <v>王妤扬</v>
      </c>
      <c r="G88" s="26" t="str">
        <f>VLOOKUP($A88,薪酬明细!$A:$G,7,0)</f>
        <v>管培生</v>
      </c>
      <c r="H88" s="132">
        <v>46174</v>
      </c>
      <c r="I88" s="52" t="s">
        <v>562</v>
      </c>
      <c r="J88" s="133">
        <v>8000</v>
      </c>
      <c r="K88" s="134">
        <v>0</v>
      </c>
      <c r="L88" s="135"/>
      <c r="M88" s="136">
        <v>1</v>
      </c>
      <c r="N88" s="135">
        <f t="shared" ref="N88:N90" si="12">-ROUND(J88/21.75*M88,2)</f>
        <v>-367.82</v>
      </c>
      <c r="O88" s="137"/>
      <c r="P88" s="138"/>
      <c r="Q88" s="138"/>
      <c r="R88" s="138"/>
      <c r="S88" s="135"/>
      <c r="T88" s="137"/>
      <c r="U88" s="72">
        <v>0</v>
      </c>
      <c r="V88" s="135"/>
      <c r="W88" s="139">
        <f t="shared" ref="W88:W95" si="13">L88+N88+S88+V88</f>
        <v>-367.82</v>
      </c>
      <c r="X88" s="136"/>
      <c r="Y88" s="136">
        <v>0</v>
      </c>
      <c r="Z88" s="136"/>
      <c r="AA88" s="140">
        <v>0</v>
      </c>
      <c r="AB88" s="141">
        <v>0</v>
      </c>
      <c r="AC88" s="72">
        <v>0</v>
      </c>
      <c r="AD88" s="72">
        <v>0</v>
      </c>
      <c r="AE88" s="142"/>
      <c r="AF88" s="143"/>
      <c r="AG88" s="144" t="s">
        <v>756</v>
      </c>
      <c r="AH88" s="144" t="s">
        <v>757</v>
      </c>
      <c r="AI88" t="str">
        <f>VLOOKUP(A88,薪酬明细!A:A,1,0)</f>
        <v>弈工分信息安子玥</v>
      </c>
    </row>
    <row r="89" s="96" customFormat="1" ht="23" customHeight="1" outlineLevel="1" spans="1:35">
      <c r="A89" s="26" t="str">
        <f t="shared" si="11"/>
        <v>弈工分信息陈双杰</v>
      </c>
      <c r="B89" s="26" t="str">
        <f>VLOOKUP($A89,薪酬明细!$A:$G,2,0)</f>
        <v>G-管培生</v>
      </c>
      <c r="C89" s="26" t="s">
        <v>72</v>
      </c>
      <c r="D89" s="26" t="str">
        <f>VLOOKUP($A89,薪酬明细!$A:$G,4,0)</f>
        <v>正常计税</v>
      </c>
      <c r="E89" s="26" t="str">
        <f>VLOOKUP($A89,薪酬明细!$A:$G,5,0)</f>
        <v>管培生</v>
      </c>
      <c r="F89" s="26" t="str">
        <f>VLOOKUP($A89,薪酬明细!$A:$G,6,0)</f>
        <v>王妤扬</v>
      </c>
      <c r="G89" s="26" t="str">
        <f>VLOOKUP($A89,薪酬明细!$A:$G,7,0)</f>
        <v>管培生</v>
      </c>
      <c r="H89" s="132">
        <v>46174</v>
      </c>
      <c r="I89" s="52" t="s">
        <v>563</v>
      </c>
      <c r="J89" s="133">
        <v>8000</v>
      </c>
      <c r="K89" s="134">
        <v>0</v>
      </c>
      <c r="L89" s="135"/>
      <c r="M89" s="136">
        <v>1</v>
      </c>
      <c r="N89" s="135">
        <f t="shared" si="12"/>
        <v>-367.82</v>
      </c>
      <c r="O89" s="137"/>
      <c r="P89" s="138"/>
      <c r="Q89" s="138"/>
      <c r="R89" s="138"/>
      <c r="S89" s="135"/>
      <c r="T89" s="137"/>
      <c r="U89" s="72">
        <v>0</v>
      </c>
      <c r="V89" s="135"/>
      <c r="W89" s="139">
        <f t="shared" si="13"/>
        <v>-367.82</v>
      </c>
      <c r="X89" s="136"/>
      <c r="Y89" s="136">
        <v>0</v>
      </c>
      <c r="Z89" s="136"/>
      <c r="AA89" s="140">
        <v>0</v>
      </c>
      <c r="AB89" s="141">
        <v>0</v>
      </c>
      <c r="AC89" s="72">
        <v>0</v>
      </c>
      <c r="AD89" s="72">
        <v>0</v>
      </c>
      <c r="AE89" s="142"/>
      <c r="AF89" s="143"/>
      <c r="AG89" s="144" t="s">
        <v>756</v>
      </c>
      <c r="AH89" s="144" t="s">
        <v>757</v>
      </c>
      <c r="AI89" t="str">
        <f>VLOOKUP(A89,薪酬明细!A:A,1,0)</f>
        <v>弈工分信息陈双杰</v>
      </c>
    </row>
    <row r="90" s="96" customFormat="1" ht="23" customHeight="1" outlineLevel="1" spans="1:35">
      <c r="A90" s="26" t="str">
        <f t="shared" si="11"/>
        <v>弈工分信息陈锦</v>
      </c>
      <c r="B90" s="26" t="str">
        <f>VLOOKUP($A90,薪酬明细!$A:$G,2,0)</f>
        <v>G-管培生</v>
      </c>
      <c r="C90" s="26" t="s">
        <v>72</v>
      </c>
      <c r="D90" s="26" t="str">
        <f>VLOOKUP($A90,薪酬明细!$A:$G,4,0)</f>
        <v>正常计税</v>
      </c>
      <c r="E90" s="26" t="str">
        <f>VLOOKUP($A90,薪酬明细!$A:$G,5,0)</f>
        <v>管培生</v>
      </c>
      <c r="F90" s="26" t="str">
        <f>VLOOKUP($A90,薪酬明细!$A:$G,6,0)</f>
        <v>王妤扬</v>
      </c>
      <c r="G90" s="26" t="str">
        <f>VLOOKUP($A90,薪酬明细!$A:$G,7,0)</f>
        <v>管培生</v>
      </c>
      <c r="H90" s="132">
        <v>46174</v>
      </c>
      <c r="I90" s="52" t="s">
        <v>564</v>
      </c>
      <c r="J90" s="133">
        <v>8000</v>
      </c>
      <c r="K90" s="134">
        <v>0</v>
      </c>
      <c r="L90" s="135"/>
      <c r="M90" s="136">
        <v>2</v>
      </c>
      <c r="N90" s="135">
        <f t="shared" si="12"/>
        <v>-735.63</v>
      </c>
      <c r="O90" s="137"/>
      <c r="P90" s="138"/>
      <c r="Q90" s="138"/>
      <c r="R90" s="138"/>
      <c r="S90" s="135"/>
      <c r="T90" s="137"/>
      <c r="U90" s="72">
        <v>0</v>
      </c>
      <c r="V90" s="135"/>
      <c r="W90" s="139">
        <f t="shared" si="13"/>
        <v>-735.63</v>
      </c>
      <c r="X90" s="136"/>
      <c r="Y90" s="136">
        <v>0</v>
      </c>
      <c r="Z90" s="136"/>
      <c r="AA90" s="140">
        <v>0</v>
      </c>
      <c r="AB90" s="141">
        <v>0</v>
      </c>
      <c r="AC90" s="72">
        <v>0</v>
      </c>
      <c r="AD90" s="72">
        <v>0</v>
      </c>
      <c r="AE90" s="142"/>
      <c r="AF90" s="143"/>
      <c r="AG90" s="144" t="s">
        <v>756</v>
      </c>
      <c r="AH90" s="144" t="s">
        <v>758</v>
      </c>
      <c r="AI90" t="str">
        <f>VLOOKUP(A90,薪酬明细!A:A,1,0)</f>
        <v>弈工分信息陈锦</v>
      </c>
    </row>
    <row r="91" s="96" customFormat="1" ht="23" customHeight="1" outlineLevel="1" spans="1:35">
      <c r="A91" s="26" t="str">
        <f t="shared" si="11"/>
        <v>开弈中国-美元任梦超</v>
      </c>
      <c r="B91" s="26" t="str">
        <f>VLOOKUP($A91,薪酬明细!$A:$G,2,0)</f>
        <v>G-管培生</v>
      </c>
      <c r="C91" s="26" t="s">
        <v>59</v>
      </c>
      <c r="D91" s="26" t="str">
        <f>VLOOKUP($A91,薪酬明细!$A:$G,4,0)</f>
        <v>正常计税</v>
      </c>
      <c r="E91" s="26" t="str">
        <f>VLOOKUP($A91,薪酬明细!$A:$G,5,0)</f>
        <v>管培生</v>
      </c>
      <c r="F91" s="26" t="str">
        <f>VLOOKUP($A91,薪酬明细!$A:$G,6,0)</f>
        <v>王妤扬</v>
      </c>
      <c r="G91" s="26" t="str">
        <f>VLOOKUP($A91,薪酬明细!$A:$G,7,0)</f>
        <v>管培生</v>
      </c>
      <c r="H91" s="132">
        <v>46174</v>
      </c>
      <c r="I91" s="52" t="s">
        <v>565</v>
      </c>
      <c r="J91" s="133"/>
      <c r="K91" s="134">
        <v>0</v>
      </c>
      <c r="L91" s="135"/>
      <c r="M91" s="136">
        <v>0</v>
      </c>
      <c r="N91" s="135"/>
      <c r="O91" s="137"/>
      <c r="P91" s="138"/>
      <c r="Q91" s="138"/>
      <c r="R91" s="138"/>
      <c r="S91" s="135"/>
      <c r="T91" s="137"/>
      <c r="U91" s="72">
        <v>0</v>
      </c>
      <c r="V91" s="135">
        <f>500*(4+2/5)</f>
        <v>2200</v>
      </c>
      <c r="W91" s="139">
        <f t="shared" si="13"/>
        <v>2200</v>
      </c>
      <c r="X91" s="136"/>
      <c r="Y91" s="136">
        <v>0</v>
      </c>
      <c r="Z91" s="136"/>
      <c r="AA91" s="140">
        <v>0</v>
      </c>
      <c r="AB91" s="141">
        <v>0</v>
      </c>
      <c r="AC91" s="72">
        <v>0</v>
      </c>
      <c r="AD91" s="72">
        <v>0</v>
      </c>
      <c r="AE91" s="142"/>
      <c r="AF91" s="143"/>
      <c r="AG91" s="144" t="s">
        <v>756</v>
      </c>
      <c r="AH91" s="144" t="s">
        <v>759</v>
      </c>
      <c r="AI91" t="str">
        <f>VLOOKUP(A91,薪酬明细!A:A,1,0)</f>
        <v>开弈中国-美元任梦超</v>
      </c>
    </row>
    <row r="92" s="96" customFormat="1" ht="23" customHeight="1" outlineLevel="1" spans="1:35">
      <c r="A92" s="26" t="str">
        <f t="shared" si="11"/>
        <v>弈工分健康高光付</v>
      </c>
      <c r="B92" s="26" t="str">
        <f>VLOOKUP($A92,薪酬明细!$A:$G,2,0)</f>
        <v>物业保洁部</v>
      </c>
      <c r="C92" s="26" t="s">
        <v>73</v>
      </c>
      <c r="D92" s="26" t="str">
        <f>VLOOKUP($A92,薪酬明细!$A:$G,4,0)</f>
        <v>正常计税</v>
      </c>
      <c r="E92" s="26" t="str">
        <f>VLOOKUP($A92,薪酬明细!$A:$G,5,0)</f>
        <v>物业保洁部</v>
      </c>
      <c r="F92" s="26" t="str">
        <f>VLOOKUP($A92,薪酬明细!$A:$G,6,0)</f>
        <v>宣国英</v>
      </c>
      <c r="G92" s="26" t="str">
        <f>VLOOKUP($A92,薪酬明细!$A:$G,7,0)</f>
        <v>保洁</v>
      </c>
      <c r="H92" s="132">
        <v>46185</v>
      </c>
      <c r="I92" s="52" t="s">
        <v>566</v>
      </c>
      <c r="J92" s="133">
        <v>4000</v>
      </c>
      <c r="K92" s="134">
        <v>0</v>
      </c>
      <c r="L92" s="135"/>
      <c r="M92" s="136">
        <v>0</v>
      </c>
      <c r="N92" s="135"/>
      <c r="O92" s="137"/>
      <c r="P92" s="138"/>
      <c r="Q92" s="138"/>
      <c r="R92" s="138"/>
      <c r="S92" s="135"/>
      <c r="T92" s="137"/>
      <c r="U92" s="72">
        <v>0</v>
      </c>
      <c r="V92" s="135">
        <f>ROUND(J92/26*17-J92,2)</f>
        <v>-1384.62</v>
      </c>
      <c r="W92" s="139">
        <f t="shared" si="13"/>
        <v>-1384.62</v>
      </c>
      <c r="X92" s="136"/>
      <c r="Y92" s="136">
        <v>0</v>
      </c>
      <c r="Z92" s="136"/>
      <c r="AA92" s="140">
        <v>0</v>
      </c>
      <c r="AB92" s="141">
        <v>0</v>
      </c>
      <c r="AC92" s="72">
        <v>0</v>
      </c>
      <c r="AD92" s="72">
        <v>0</v>
      </c>
      <c r="AE92" s="142"/>
      <c r="AF92" s="143"/>
      <c r="AG92" s="144" t="s">
        <v>760</v>
      </c>
      <c r="AH92" s="144" t="s">
        <v>761</v>
      </c>
      <c r="AI92" t="str">
        <f>VLOOKUP(A92,薪酬明细!A:A,1,0)</f>
        <v>弈工分健康高光付</v>
      </c>
    </row>
    <row r="93" s="96" customFormat="1" ht="23" customHeight="1" outlineLevel="1" spans="1:35">
      <c r="A93" s="26" t="str">
        <f t="shared" si="11"/>
        <v>弈工分健康肖德云</v>
      </c>
      <c r="B93" s="26" t="str">
        <f>VLOOKUP($A93,薪酬明细!$A:$G,2,0)</f>
        <v>物业保洁部</v>
      </c>
      <c r="C93" s="26" t="s">
        <v>73</v>
      </c>
      <c r="D93" s="26" t="str">
        <f>VLOOKUP($A93,薪酬明细!$A:$G,4,0)</f>
        <v>正常计税</v>
      </c>
      <c r="E93" s="26" t="str">
        <f>VLOOKUP($A93,薪酬明细!$A:$G,5,0)</f>
        <v>物业保洁部</v>
      </c>
      <c r="F93" s="26" t="str">
        <f>VLOOKUP($A93,薪酬明细!$A:$G,6,0)</f>
        <v>宣国英</v>
      </c>
      <c r="G93" s="26" t="str">
        <f>VLOOKUP($A93,薪酬明细!$A:$G,7,0)</f>
        <v>保洁</v>
      </c>
      <c r="H93" s="132">
        <v>46193</v>
      </c>
      <c r="I93" s="52" t="s">
        <v>567</v>
      </c>
      <c r="J93" s="133">
        <v>4000</v>
      </c>
      <c r="K93" s="134">
        <v>0</v>
      </c>
      <c r="L93" s="135"/>
      <c r="M93" s="136">
        <v>0</v>
      </c>
      <c r="N93" s="135"/>
      <c r="O93" s="137"/>
      <c r="P93" s="138"/>
      <c r="Q93" s="138"/>
      <c r="R93" s="138"/>
      <c r="S93" s="135"/>
      <c r="T93" s="137"/>
      <c r="U93" s="72">
        <v>0</v>
      </c>
      <c r="V93" s="135">
        <f>ROUND(J93/26*9-J93,2)</f>
        <v>-2615.38</v>
      </c>
      <c r="W93" s="139">
        <f t="shared" si="13"/>
        <v>-2615.38</v>
      </c>
      <c r="X93" s="136"/>
      <c r="Y93" s="136">
        <v>0</v>
      </c>
      <c r="Z93" s="136"/>
      <c r="AA93" s="140">
        <v>0</v>
      </c>
      <c r="AB93" s="141">
        <v>0</v>
      </c>
      <c r="AC93" s="72">
        <v>0</v>
      </c>
      <c r="AD93" s="72">
        <v>0</v>
      </c>
      <c r="AE93" s="142"/>
      <c r="AF93" s="143"/>
      <c r="AG93" s="144" t="s">
        <v>762</v>
      </c>
      <c r="AH93" s="144" t="s">
        <v>763</v>
      </c>
      <c r="AI93" t="str">
        <f>VLOOKUP(A93,薪酬明细!A:A,1,0)</f>
        <v>弈工分健康肖德云</v>
      </c>
    </row>
    <row r="94" s="96" customFormat="1" ht="23" customHeight="1" outlineLevel="1" spans="1:35">
      <c r="A94" s="26" t="str">
        <f t="shared" si="11"/>
        <v>弈工分健康韦兆斌</v>
      </c>
      <c r="B94" s="26" t="str">
        <f>VLOOKUP($A94,薪酬明细!$A:$G,2,0)</f>
        <v>物业保洁部</v>
      </c>
      <c r="C94" s="26" t="s">
        <v>73</v>
      </c>
      <c r="D94" s="26" t="str">
        <f>VLOOKUP($A94,薪酬明细!$A:$G,4,0)</f>
        <v>劳务计税</v>
      </c>
      <c r="E94" s="26" t="str">
        <f>VLOOKUP($A94,薪酬明细!$A:$G,5,0)</f>
        <v>物业保洁部</v>
      </c>
      <c r="F94" s="26" t="str">
        <f>VLOOKUP($A94,薪酬明细!$A:$G,6,0)</f>
        <v>宣国英</v>
      </c>
      <c r="G94" s="26" t="str">
        <f>VLOOKUP($A94,薪酬明细!$A:$G,7,0)</f>
        <v>保洁</v>
      </c>
      <c r="H94" s="132">
        <v>46178</v>
      </c>
      <c r="I94" s="52" t="s">
        <v>568</v>
      </c>
      <c r="J94" s="133">
        <v>4000</v>
      </c>
      <c r="K94" s="134">
        <v>0</v>
      </c>
      <c r="L94" s="135"/>
      <c r="M94" s="136">
        <v>0</v>
      </c>
      <c r="N94" s="135"/>
      <c r="O94" s="137"/>
      <c r="P94" s="138"/>
      <c r="Q94" s="138"/>
      <c r="R94" s="138"/>
      <c r="S94" s="135"/>
      <c r="T94" s="137"/>
      <c r="U94" s="72">
        <v>0</v>
      </c>
      <c r="V94" s="135">
        <f>ROUND(J94/26*6-J94,2)</f>
        <v>-3076.92</v>
      </c>
      <c r="W94" s="139">
        <f t="shared" si="13"/>
        <v>-3076.92</v>
      </c>
      <c r="X94" s="136"/>
      <c r="Y94" s="136">
        <v>0</v>
      </c>
      <c r="Z94" s="136"/>
      <c r="AA94" s="140">
        <v>0</v>
      </c>
      <c r="AB94" s="141">
        <v>0</v>
      </c>
      <c r="AC94" s="72">
        <v>0</v>
      </c>
      <c r="AD94" s="72">
        <v>0</v>
      </c>
      <c r="AE94" s="142"/>
      <c r="AF94" s="143"/>
      <c r="AG94" s="144" t="s">
        <v>764</v>
      </c>
      <c r="AH94" s="144" t="s">
        <v>765</v>
      </c>
      <c r="AI94" t="str">
        <f>VLOOKUP(A94,薪酬明细!A:A,1,0)</f>
        <v>弈工分健康韦兆斌</v>
      </c>
    </row>
    <row r="95" s="96" customFormat="1" ht="23" customHeight="1" outlineLevel="1" spans="1:35">
      <c r="A95" s="26" t="str">
        <f t="shared" si="11"/>
        <v>开弈中国賴淑賢</v>
      </c>
      <c r="B95" s="26" t="str">
        <f>VLOOKUP($A95,薪酬明细!$A:$G,2,0)</f>
        <v>G-香港办</v>
      </c>
      <c r="C95" s="26" t="s">
        <v>58</v>
      </c>
      <c r="D95" s="26" t="str">
        <f>VLOOKUP($A95,薪酬明细!$A:$G,4,0)</f>
        <v>国内不计税</v>
      </c>
      <c r="E95" s="26" t="str">
        <f>VLOOKUP($A95,薪酬明细!$A:$G,5,0)</f>
        <v>香港办</v>
      </c>
      <c r="F95" s="26" t="str">
        <f>VLOOKUP($A95,薪酬明细!$A:$G,6,0)</f>
        <v>Jenny</v>
      </c>
      <c r="G95" s="26" t="str">
        <f>VLOOKUP($A95,薪酬明细!$A:$G,7,0)</f>
        <v>财务经理</v>
      </c>
      <c r="H95" s="132">
        <v>45981</v>
      </c>
      <c r="I95" s="52" t="s">
        <v>423</v>
      </c>
      <c r="J95" s="133">
        <v>30000</v>
      </c>
      <c r="K95" s="134">
        <v>0</v>
      </c>
      <c r="L95" s="135"/>
      <c r="M95" s="136">
        <v>0</v>
      </c>
      <c r="N95" s="135">
        <f>-ROUND(J95/8*M95,2)</f>
        <v>0</v>
      </c>
      <c r="O95" s="137"/>
      <c r="P95" s="138"/>
      <c r="Q95" s="138"/>
      <c r="R95" s="138"/>
      <c r="S95" s="135"/>
      <c r="T95" s="137"/>
      <c r="U95" s="72">
        <v>0</v>
      </c>
      <c r="V95" s="135"/>
      <c r="W95" s="139">
        <f t="shared" si="13"/>
        <v>0</v>
      </c>
      <c r="X95" s="136"/>
      <c r="Y95" s="136">
        <v>0</v>
      </c>
      <c r="Z95" s="136"/>
      <c r="AA95" s="140">
        <v>0</v>
      </c>
      <c r="AB95" s="141">
        <v>0</v>
      </c>
      <c r="AC95" s="72">
        <v>0</v>
      </c>
      <c r="AD95" s="72">
        <v>0</v>
      </c>
      <c r="AE95" s="142">
        <v>0</v>
      </c>
      <c r="AF95" s="143"/>
      <c r="AG95" s="144">
        <v>0</v>
      </c>
      <c r="AH95" s="144">
        <v>0</v>
      </c>
      <c r="AI95" t="str">
        <f>VLOOKUP(A95,薪酬明细!A:A,1,0)</f>
        <v>开弈中国賴淑賢</v>
      </c>
    </row>
    <row r="96" spans="1:35">
      <c r="AF96" s="97"/>
      <c r="AG96" s="97"/>
      <c r="AH96" s="97"/>
    </row>
    <row r="97" ht="31.25" customHeight="1" spans="1:35">
      <c r="I97"/>
      <c r="J97"/>
      <c r="K97" s="145">
        <f t="shared" ref="K97:AG97" si="14">SUM(K4:K95)</f>
        <v>27</v>
      </c>
      <c r="L97" s="145">
        <f t="shared" si="14"/>
        <v>-2055.38</v>
      </c>
      <c r="M97" s="145">
        <f t="shared" si="14"/>
        <v>16</v>
      </c>
      <c r="N97" s="145">
        <f t="shared" si="14"/>
        <v>-24804.61</v>
      </c>
      <c r="O97" s="145">
        <f t="shared" si="14"/>
        <v>330</v>
      </c>
      <c r="P97" s="145">
        <f t="shared" si="14"/>
        <v>0</v>
      </c>
      <c r="Q97" s="145">
        <f t="shared" si="14"/>
        <v>0</v>
      </c>
      <c r="R97" s="145">
        <f t="shared" si="14"/>
        <v>63</v>
      </c>
      <c r="S97" s="145">
        <f t="shared" si="14"/>
        <v>1890</v>
      </c>
      <c r="T97" s="145">
        <f t="shared" si="14"/>
        <v>0</v>
      </c>
      <c r="U97" s="145">
        <f t="shared" si="14"/>
        <v>13</v>
      </c>
      <c r="V97" s="145">
        <f t="shared" si="14"/>
        <v>7042.54</v>
      </c>
      <c r="W97" s="145">
        <f t="shared" si="14"/>
        <v>-17927.45</v>
      </c>
      <c r="X97" s="145">
        <f t="shared" si="14"/>
        <v>0</v>
      </c>
      <c r="Y97" s="145">
        <f t="shared" si="14"/>
        <v>31.5</v>
      </c>
      <c r="Z97" s="145">
        <f t="shared" si="14"/>
        <v>0</v>
      </c>
      <c r="AA97" s="145">
        <f t="shared" si="14"/>
        <v>6.5</v>
      </c>
      <c r="AB97" s="145">
        <f t="shared" si="14"/>
        <v>0</v>
      </c>
      <c r="AC97" s="145">
        <f t="shared" si="14"/>
        <v>2</v>
      </c>
      <c r="AD97" s="145">
        <f t="shared" si="14"/>
        <v>10</v>
      </c>
      <c r="AE97" s="145">
        <f t="shared" si="14"/>
        <v>0</v>
      </c>
      <c r="AF97" s="145">
        <f t="shared" si="14"/>
        <v>0</v>
      </c>
      <c r="AG97" s="145">
        <f t="shared" si="14"/>
        <v>0</v>
      </c>
      <c r="AH97" s="145">
        <f>SUM(AH4:AH86)</f>
        <v>0</v>
      </c>
    </row>
    <row r="98" ht="18.35" spans="1:35">
      <c r="G98" s="98"/>
      <c r="H98" s="103"/>
      <c r="I98" s="146"/>
      <c r="J98" s="99"/>
      <c r="K98" s="100"/>
      <c r="L98" s="99"/>
      <c r="M98" s="100"/>
      <c r="T98" s="101"/>
      <c r="U98" s="100"/>
      <c r="V98" s="102"/>
      <c r="W98" s="99"/>
      <c r="AB98" s="101"/>
      <c r="AD98" s="99"/>
      <c r="AE98"/>
      <c r="AF98"/>
      <c r="AG98" s="97"/>
      <c r="AH98"/>
      <c r="AI98" s="97"/>
    </row>
    <row r="99" spans="1:35">
      <c r="G99" s="98"/>
      <c r="H99" s="103"/>
      <c r="I99" s="146"/>
      <c r="J99" s="99"/>
      <c r="K99" s="100"/>
      <c r="L99" s="99"/>
      <c r="M99" s="100"/>
      <c r="T99" s="101"/>
      <c r="U99" s="100"/>
      <c r="V99" s="102"/>
      <c r="W99" s="99"/>
      <c r="AB99" s="101"/>
      <c r="AD99" s="99"/>
      <c r="AE99"/>
      <c r="AF99"/>
      <c r="AG99" s="97"/>
      <c r="AH99"/>
      <c r="AI99" s="97"/>
    </row>
    <row r="100" spans="1:35">
      <c r="AF100"/>
      <c r="AG100"/>
      <c r="AH100" s="97"/>
    </row>
    <row r="101" spans="1:35">
      <c r="A101" s="147"/>
      <c r="B101" s="147"/>
      <c r="C101" s="147"/>
      <c r="D101" s="147"/>
      <c r="E101" s="147"/>
      <c r="F101" s="147"/>
      <c r="G101" s="147"/>
    </row>
  </sheetData>
  <autoFilter xmlns:etc="http://www.wps.cn/officeDocument/2017/etCustomData" ref="A3:AI97" etc:filterBottomFollowUsedRange="0">
    <extLst/>
  </autoFilter>
  <mergeCells count="3">
    <mergeCell ref="K2:L2"/>
    <mergeCell ref="M2:N2"/>
    <mergeCell ref="O2:S2"/>
  </mergeCells>
  <conditionalFormatting sqref="A3:F3">
    <cfRule type="duplicateValues" dxfId="15" priority="122"/>
  </conditionalFormatting>
  <conditionalFormatting sqref="U3">
    <cfRule type="duplicateValues" dxfId="15" priority="2"/>
  </conditionalFormatting>
  <conditionalFormatting sqref="AC3:AD3">
    <cfRule type="duplicateValues" dxfId="15" priority="10"/>
  </conditionalFormatting>
  <conditionalFormatting sqref="AE3">
    <cfRule type="duplicateValues" dxfId="15" priority="3"/>
  </conditionalFormatting>
  <conditionalFormatting sqref="AH3">
    <cfRule type="duplicateValues" dxfId="15" priority="121"/>
  </conditionalFormatting>
  <conditionalFormatting sqref="J3:T3 V3:AB3 AF3:AG3 H3">
    <cfRule type="duplicateValues" dxfId="15" priority="123"/>
  </conditionalFormatting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R110"/>
  <sheetViews>
    <sheetView workbookViewId="0">
      <pane xSplit="1" ySplit="2" topLeftCell="Z65" activePane="bottomRight" state="frozen"/>
      <selection/>
      <selection pane="topRight"/>
      <selection pane="bottomLeft"/>
      <selection pane="bottomRight" activeCell="AQ93" sqref="AP2:AQ93"/>
    </sheetView>
  </sheetViews>
  <sheetFormatPr defaultColWidth="9" defaultRowHeight="17.6"/>
  <cols>
    <col min="1" max="1" width="9.375" style="77" customWidth="1"/>
    <col min="2" max="13" width="5.88333333333333" style="78" customWidth="1"/>
    <col min="14" max="14" width="25.375" style="78" customWidth="1"/>
    <col min="15" max="15" width="2.25" style="79" customWidth="1"/>
    <col min="16" max="16" width="7.5" style="80" customWidth="1"/>
    <col min="17" max="28" width="4.88333333333333" style="80" customWidth="1"/>
    <col min="29" max="29" width="21" style="80" customWidth="1"/>
    <col min="30" max="30" width="2.375" style="81" customWidth="1"/>
    <col min="31" max="43" width="9.25" style="82" customWidth="1"/>
    <col min="44" max="46" width="11.5" style="82"/>
    <col min="47" max="16384" width="9" style="82"/>
  </cols>
  <sheetData>
    <row r="1" spans="1:43">
      <c r="A1" s="77" t="s">
        <v>766</v>
      </c>
      <c r="B1" s="83">
        <v>2</v>
      </c>
      <c r="C1" s="83">
        <v>3</v>
      </c>
      <c r="D1" s="83">
        <v>4</v>
      </c>
      <c r="E1" s="83">
        <v>5</v>
      </c>
      <c r="F1" s="83">
        <v>6</v>
      </c>
      <c r="G1" s="83">
        <v>7</v>
      </c>
      <c r="H1" s="83">
        <v>8</v>
      </c>
      <c r="I1" s="83">
        <v>9</v>
      </c>
      <c r="J1" s="83">
        <v>10</v>
      </c>
      <c r="K1" s="83">
        <v>11</v>
      </c>
      <c r="L1" s="83">
        <v>12</v>
      </c>
      <c r="M1" s="83">
        <v>13</v>
      </c>
      <c r="N1" s="83">
        <v>14</v>
      </c>
      <c r="Q1" s="80" t="e">
        <f t="shared" ref="Q1:AC1" si="0">VLOOKUP($P1,$A:$N,B$1,0)</f>
        <v>#N/A</v>
      </c>
      <c r="R1" s="80" t="e">
        <f t="shared" si="0"/>
        <v>#N/A</v>
      </c>
      <c r="S1" s="80" t="e">
        <f t="shared" si="0"/>
        <v>#N/A</v>
      </c>
      <c r="T1" s="80" t="e">
        <f t="shared" si="0"/>
        <v>#N/A</v>
      </c>
      <c r="U1" s="80" t="e">
        <f t="shared" si="0"/>
        <v>#N/A</v>
      </c>
      <c r="V1" s="80" t="e">
        <f t="shared" si="0"/>
        <v>#N/A</v>
      </c>
      <c r="W1" s="80" t="e">
        <f t="shared" si="0"/>
        <v>#N/A</v>
      </c>
      <c r="X1" s="80" t="e">
        <f t="shared" si="0"/>
        <v>#N/A</v>
      </c>
      <c r="Y1" s="80" t="e">
        <f t="shared" si="0"/>
        <v>#N/A</v>
      </c>
      <c r="Z1" s="80" t="e">
        <f t="shared" si="0"/>
        <v>#N/A</v>
      </c>
      <c r="AA1" s="80" t="e">
        <f t="shared" si="0"/>
        <v>#N/A</v>
      </c>
      <c r="AB1" s="80" t="e">
        <f t="shared" si="0"/>
        <v>#N/A</v>
      </c>
      <c r="AC1" s="80" t="e">
        <f t="shared" si="0"/>
        <v>#N/A</v>
      </c>
      <c r="AE1" s="84" t="s">
        <v>767</v>
      </c>
      <c r="AF1" s="84" t="s">
        <v>768</v>
      </c>
      <c r="AG1" s="84" t="s">
        <v>695</v>
      </c>
      <c r="AH1" s="84" t="s">
        <v>696</v>
      </c>
      <c r="AI1" s="84" t="s">
        <v>718</v>
      </c>
      <c r="AJ1" s="84" t="s">
        <v>712</v>
      </c>
      <c r="AK1" s="84" t="s">
        <v>714</v>
      </c>
      <c r="AL1" s="84" t="s">
        <v>715</v>
      </c>
      <c r="AM1" s="84" t="s">
        <v>716</v>
      </c>
      <c r="AN1" s="84" t="s">
        <v>717</v>
      </c>
      <c r="AO1" s="84" t="s">
        <v>709</v>
      </c>
      <c r="AP1" s="84" t="s">
        <v>769</v>
      </c>
      <c r="AQ1" s="84" t="s">
        <v>721</v>
      </c>
    </row>
    <row r="2" spans="1:43">
      <c r="A2" s="85" t="s">
        <v>191</v>
      </c>
      <c r="B2" s="86" t="s">
        <v>770</v>
      </c>
      <c r="C2" s="85" t="s">
        <v>771</v>
      </c>
      <c r="D2" s="85" t="s">
        <v>695</v>
      </c>
      <c r="E2" s="85" t="s">
        <v>696</v>
      </c>
      <c r="F2" s="85" t="s">
        <v>718</v>
      </c>
      <c r="G2" s="85" t="s">
        <v>712</v>
      </c>
      <c r="H2" s="85" t="s">
        <v>714</v>
      </c>
      <c r="I2" s="85" t="s">
        <v>715</v>
      </c>
      <c r="J2" s="85" t="s">
        <v>716</v>
      </c>
      <c r="K2" s="85" t="s">
        <v>717</v>
      </c>
      <c r="L2" s="85" t="s">
        <v>709</v>
      </c>
      <c r="M2" s="85" t="s">
        <v>769</v>
      </c>
      <c r="N2" s="85" t="s">
        <v>721</v>
      </c>
      <c r="P2" s="87" t="s">
        <v>134</v>
      </c>
      <c r="Q2" s="80" t="e">
        <f t="shared" ref="Q2:AC2" si="1">VLOOKUP($P2,$A:$N,B$1,0)</f>
        <v>#N/A</v>
      </c>
      <c r="R2" s="80" t="e">
        <f t="shared" si="1"/>
        <v>#N/A</v>
      </c>
      <c r="S2" s="80" t="e">
        <f t="shared" si="1"/>
        <v>#N/A</v>
      </c>
      <c r="T2" s="80" t="e">
        <f t="shared" si="1"/>
        <v>#N/A</v>
      </c>
      <c r="U2" s="80" t="e">
        <f t="shared" si="1"/>
        <v>#N/A</v>
      </c>
      <c r="V2" s="80" t="e">
        <f t="shared" si="1"/>
        <v>#N/A</v>
      </c>
      <c r="W2" s="80" t="e">
        <f t="shared" si="1"/>
        <v>#N/A</v>
      </c>
      <c r="X2" s="80" t="e">
        <f t="shared" si="1"/>
        <v>#N/A</v>
      </c>
      <c r="Y2" s="80" t="e">
        <f t="shared" si="1"/>
        <v>#N/A</v>
      </c>
      <c r="Z2" s="80" t="e">
        <f t="shared" si="1"/>
        <v>#N/A</v>
      </c>
      <c r="AA2" s="80" t="e">
        <f t="shared" si="1"/>
        <v>#N/A</v>
      </c>
      <c r="AB2" s="80" t="e">
        <f t="shared" si="1"/>
        <v>#N/A</v>
      </c>
      <c r="AC2" s="80" t="e">
        <f t="shared" si="1"/>
        <v>#N/A</v>
      </c>
      <c r="AE2" s="88"/>
      <c r="AF2" s="79"/>
      <c r="AG2" s="85"/>
      <c r="AH2" s="89"/>
      <c r="AI2" s="90"/>
      <c r="AJ2" s="88"/>
      <c r="AK2" s="79"/>
      <c r="AL2" s="91"/>
      <c r="AM2" s="91"/>
      <c r="AN2" s="91"/>
      <c r="AO2" s="85"/>
      <c r="AP2" s="92"/>
      <c r="AQ2" s="92"/>
    </row>
    <row r="3" spans="1:43">
      <c r="A3" s="93" t="s">
        <v>517</v>
      </c>
      <c r="B3" s="2"/>
      <c r="C3" s="2"/>
      <c r="D3" s="93">
        <v>0</v>
      </c>
      <c r="E3" s="93">
        <v>0</v>
      </c>
      <c r="F3" s="93"/>
      <c r="G3" s="93">
        <v>0</v>
      </c>
      <c r="H3" s="93">
        <v>0</v>
      </c>
      <c r="I3" s="93"/>
      <c r="J3" s="93"/>
      <c r="K3" s="93"/>
      <c r="L3" s="93"/>
      <c r="M3" s="93"/>
      <c r="N3" s="93"/>
      <c r="P3" s="87" t="s">
        <v>400</v>
      </c>
      <c r="Q3" s="80">
        <f t="shared" ref="Q3:AC3" si="2">VLOOKUP($P3,$A:$N,B$1,0)</f>
        <v>0</v>
      </c>
      <c r="R3" s="80">
        <f t="shared" si="2"/>
        <v>0</v>
      </c>
      <c r="S3" s="80">
        <f t="shared" si="2"/>
        <v>0</v>
      </c>
      <c r="T3" s="80">
        <f t="shared" si="2"/>
        <v>0</v>
      </c>
      <c r="U3" s="80">
        <f t="shared" si="2"/>
        <v>0</v>
      </c>
      <c r="V3" s="80">
        <f t="shared" si="2"/>
        <v>1</v>
      </c>
      <c r="W3" s="80">
        <f t="shared" si="2"/>
        <v>0.5</v>
      </c>
      <c r="X3" s="80">
        <f t="shared" si="2"/>
        <v>0</v>
      </c>
      <c r="Y3" s="80">
        <f t="shared" si="2"/>
        <v>0</v>
      </c>
      <c r="Z3" s="80">
        <f t="shared" si="2"/>
        <v>0</v>
      </c>
      <c r="AA3" s="80">
        <f t="shared" si="2"/>
        <v>0</v>
      </c>
      <c r="AB3" s="80">
        <f t="shared" si="2"/>
        <v>0</v>
      </c>
      <c r="AC3" s="80" t="str">
        <f t="shared" si="2"/>
        <v>年假1天，调休0.5天</v>
      </c>
      <c r="AE3" s="88">
        <v>0</v>
      </c>
      <c r="AF3" s="79">
        <v>0</v>
      </c>
      <c r="AG3" s="85">
        <v>0</v>
      </c>
      <c r="AH3" s="89">
        <v>0</v>
      </c>
      <c r="AI3" s="90">
        <v>0</v>
      </c>
      <c r="AJ3" s="88">
        <v>1</v>
      </c>
      <c r="AK3" s="79">
        <v>0.5</v>
      </c>
      <c r="AL3" s="91">
        <v>0</v>
      </c>
      <c r="AM3" s="91">
        <v>0</v>
      </c>
      <c r="AN3" s="91">
        <v>0</v>
      </c>
      <c r="AO3" s="85">
        <v>0</v>
      </c>
      <c r="AP3" s="92">
        <v>0</v>
      </c>
      <c r="AQ3" s="92" t="s">
        <v>722</v>
      </c>
    </row>
    <row r="4" spans="1:43">
      <c r="A4" s="93" t="s">
        <v>440</v>
      </c>
      <c r="B4" s="2"/>
      <c r="C4" s="2"/>
      <c r="D4" s="93">
        <v>0</v>
      </c>
      <c r="E4" s="93">
        <v>0</v>
      </c>
      <c r="F4" s="93"/>
      <c r="G4" s="93">
        <v>0</v>
      </c>
      <c r="H4" s="93">
        <v>0</v>
      </c>
      <c r="I4" s="93"/>
      <c r="J4" s="93"/>
      <c r="K4" s="93"/>
      <c r="L4" s="93"/>
      <c r="M4" s="93"/>
      <c r="N4" s="93"/>
      <c r="P4" s="87" t="s">
        <v>400</v>
      </c>
      <c r="Q4" s="80">
        <f t="shared" ref="Q4:AC4" si="3">VLOOKUP($P4,$A:$N,B$1,0)</f>
        <v>0</v>
      </c>
      <c r="R4" s="80">
        <f t="shared" si="3"/>
        <v>0</v>
      </c>
      <c r="S4" s="80">
        <f t="shared" si="3"/>
        <v>0</v>
      </c>
      <c r="T4" s="80">
        <f t="shared" si="3"/>
        <v>0</v>
      </c>
      <c r="U4" s="80">
        <f t="shared" si="3"/>
        <v>0</v>
      </c>
      <c r="V4" s="80">
        <f t="shared" si="3"/>
        <v>1</v>
      </c>
      <c r="W4" s="80">
        <f t="shared" si="3"/>
        <v>0.5</v>
      </c>
      <c r="X4" s="80">
        <f t="shared" si="3"/>
        <v>0</v>
      </c>
      <c r="Y4" s="80">
        <f t="shared" si="3"/>
        <v>0</v>
      </c>
      <c r="Z4" s="80">
        <f t="shared" si="3"/>
        <v>0</v>
      </c>
      <c r="AA4" s="80">
        <f t="shared" si="3"/>
        <v>0</v>
      </c>
      <c r="AB4" s="80">
        <f t="shared" si="3"/>
        <v>0</v>
      </c>
      <c r="AC4" s="80" t="str">
        <f t="shared" si="3"/>
        <v>年假1天，调休0.5天</v>
      </c>
      <c r="AE4" s="88">
        <v>0</v>
      </c>
      <c r="AF4" s="79">
        <v>0</v>
      </c>
      <c r="AG4" s="85">
        <v>0</v>
      </c>
      <c r="AH4" s="89">
        <v>0</v>
      </c>
      <c r="AI4" s="90">
        <v>0</v>
      </c>
      <c r="AJ4" s="88">
        <v>1</v>
      </c>
      <c r="AK4" s="79">
        <v>0.5</v>
      </c>
      <c r="AL4" s="91">
        <v>0</v>
      </c>
      <c r="AM4" s="91">
        <v>0</v>
      </c>
      <c r="AN4" s="91">
        <v>0</v>
      </c>
      <c r="AO4" s="85">
        <v>0</v>
      </c>
      <c r="AP4" s="92">
        <v>0</v>
      </c>
      <c r="AQ4" s="92" t="s">
        <v>722</v>
      </c>
    </row>
    <row r="5" spans="1:43">
      <c r="A5" s="93" t="s">
        <v>423</v>
      </c>
      <c r="B5" s="2"/>
      <c r="C5" s="2"/>
      <c r="D5" s="93">
        <v>0</v>
      </c>
      <c r="E5" s="93">
        <v>0</v>
      </c>
      <c r="F5" s="93"/>
      <c r="G5" s="93">
        <v>0</v>
      </c>
      <c r="H5" s="93">
        <v>0</v>
      </c>
      <c r="I5" s="93"/>
      <c r="J5" s="93"/>
      <c r="K5" s="93"/>
      <c r="L5" s="93"/>
      <c r="M5" s="93"/>
      <c r="N5" s="93"/>
      <c r="P5" s="87" t="s">
        <v>427</v>
      </c>
      <c r="Q5" s="80">
        <f t="shared" ref="Q5:AC5" si="4">VLOOKUP($P5,$A:$N,B$1,0)</f>
        <v>0</v>
      </c>
      <c r="R5" s="80">
        <f t="shared" si="4"/>
        <v>0</v>
      </c>
      <c r="S5" s="80">
        <f t="shared" si="4"/>
        <v>0</v>
      </c>
      <c r="T5" s="80">
        <f t="shared" si="4"/>
        <v>0</v>
      </c>
      <c r="U5" s="80">
        <f t="shared" si="4"/>
        <v>0</v>
      </c>
      <c r="V5" s="80">
        <f t="shared" si="4"/>
        <v>0</v>
      </c>
      <c r="W5" s="80">
        <f t="shared" si="4"/>
        <v>0</v>
      </c>
      <c r="X5" s="80">
        <f t="shared" si="4"/>
        <v>0</v>
      </c>
      <c r="Y5" s="80">
        <f t="shared" si="4"/>
        <v>0</v>
      </c>
      <c r="Z5" s="80">
        <f t="shared" si="4"/>
        <v>0</v>
      </c>
      <c r="AA5" s="80">
        <f t="shared" si="4"/>
        <v>0</v>
      </c>
      <c r="AB5" s="80">
        <f t="shared" si="4"/>
        <v>0</v>
      </c>
      <c r="AC5" s="80">
        <f t="shared" si="4"/>
        <v>0</v>
      </c>
      <c r="AE5" s="88">
        <v>0</v>
      </c>
      <c r="AF5" s="79">
        <v>0</v>
      </c>
      <c r="AG5" s="85">
        <v>0</v>
      </c>
      <c r="AH5" s="89">
        <v>0</v>
      </c>
      <c r="AI5" s="90">
        <v>0</v>
      </c>
      <c r="AJ5" s="88">
        <v>0</v>
      </c>
      <c r="AK5" s="79">
        <v>0</v>
      </c>
      <c r="AL5" s="91">
        <v>0</v>
      </c>
      <c r="AM5" s="91">
        <v>0</v>
      </c>
      <c r="AN5" s="91">
        <v>0</v>
      </c>
      <c r="AO5" s="85">
        <v>0</v>
      </c>
      <c r="AP5" s="92">
        <v>0</v>
      </c>
      <c r="AQ5" s="92">
        <v>0</v>
      </c>
    </row>
    <row r="6" spans="1:43">
      <c r="A6" s="93" t="s">
        <v>397</v>
      </c>
      <c r="B6" s="2"/>
      <c r="C6" s="2"/>
      <c r="D6" s="93">
        <v>0</v>
      </c>
      <c r="E6" s="93">
        <v>0</v>
      </c>
      <c r="F6" s="93"/>
      <c r="G6" s="93">
        <v>0.5</v>
      </c>
      <c r="H6" s="93">
        <v>0</v>
      </c>
      <c r="I6" s="93"/>
      <c r="J6" s="93"/>
      <c r="K6" s="93"/>
      <c r="L6" s="93"/>
      <c r="M6" s="93"/>
      <c r="N6" s="93" t="s">
        <v>724</v>
      </c>
      <c r="P6" s="87" t="s">
        <v>121</v>
      </c>
      <c r="Q6" s="80">
        <f t="shared" ref="Q6:AC6" si="5">VLOOKUP($P6,$A:$N,B$1,0)</f>
        <v>0</v>
      </c>
      <c r="R6" s="80">
        <f t="shared" si="5"/>
        <v>0</v>
      </c>
      <c r="S6" s="80">
        <f t="shared" si="5"/>
        <v>0</v>
      </c>
      <c r="T6" s="80">
        <f t="shared" si="5"/>
        <v>0</v>
      </c>
      <c r="U6" s="80">
        <f t="shared" si="5"/>
        <v>0</v>
      </c>
      <c r="V6" s="80">
        <f t="shared" si="5"/>
        <v>0</v>
      </c>
      <c r="W6" s="80">
        <f t="shared" si="5"/>
        <v>0</v>
      </c>
      <c r="X6" s="80">
        <f t="shared" si="5"/>
        <v>0</v>
      </c>
      <c r="Y6" s="80">
        <f t="shared" si="5"/>
        <v>0</v>
      </c>
      <c r="Z6" s="80">
        <f t="shared" si="5"/>
        <v>0</v>
      </c>
      <c r="AA6" s="80">
        <f t="shared" si="5"/>
        <v>0</v>
      </c>
      <c r="AB6" s="80">
        <f t="shared" si="5"/>
        <v>0</v>
      </c>
      <c r="AC6" s="80">
        <f t="shared" si="5"/>
        <v>0</v>
      </c>
      <c r="AE6" s="88">
        <v>0</v>
      </c>
      <c r="AF6" s="79">
        <v>0</v>
      </c>
      <c r="AG6" s="85">
        <v>0</v>
      </c>
      <c r="AH6" s="89">
        <v>0</v>
      </c>
      <c r="AI6" s="90">
        <v>0</v>
      </c>
      <c r="AJ6" s="88">
        <v>0</v>
      </c>
      <c r="AK6" s="79">
        <v>0</v>
      </c>
      <c r="AL6" s="91">
        <v>0</v>
      </c>
      <c r="AM6" s="91">
        <v>0</v>
      </c>
      <c r="AN6" s="91">
        <v>0</v>
      </c>
      <c r="AO6" s="85">
        <v>0</v>
      </c>
      <c r="AP6" s="92">
        <v>0</v>
      </c>
      <c r="AQ6" s="92">
        <v>0</v>
      </c>
    </row>
    <row r="7" spans="1:43">
      <c r="A7" s="93" t="s">
        <v>461</v>
      </c>
      <c r="B7" s="2"/>
      <c r="C7" s="2"/>
      <c r="D7" s="93">
        <v>0</v>
      </c>
      <c r="E7" s="93">
        <v>0</v>
      </c>
      <c r="F7" s="93"/>
      <c r="G7" s="93">
        <v>0</v>
      </c>
      <c r="H7" s="93">
        <v>0</v>
      </c>
      <c r="I7" s="93"/>
      <c r="J7" s="93"/>
      <c r="K7" s="93"/>
      <c r="L7" s="93"/>
      <c r="M7" s="93"/>
      <c r="N7" s="93"/>
      <c r="P7" s="87" t="s">
        <v>312</v>
      </c>
      <c r="Q7" s="80" t="e">
        <f t="shared" ref="Q7:AC7" si="6">VLOOKUP($P7,$A:$N,B$1,0)</f>
        <v>#N/A</v>
      </c>
      <c r="R7" s="80" t="e">
        <f t="shared" si="6"/>
        <v>#N/A</v>
      </c>
      <c r="S7" s="80" t="e">
        <f t="shared" si="6"/>
        <v>#N/A</v>
      </c>
      <c r="T7" s="80" t="e">
        <f t="shared" si="6"/>
        <v>#N/A</v>
      </c>
      <c r="U7" s="80" t="e">
        <f t="shared" si="6"/>
        <v>#N/A</v>
      </c>
      <c r="V7" s="80" t="e">
        <f t="shared" si="6"/>
        <v>#N/A</v>
      </c>
      <c r="W7" s="80" t="e">
        <f t="shared" si="6"/>
        <v>#N/A</v>
      </c>
      <c r="X7" s="80" t="e">
        <f t="shared" si="6"/>
        <v>#N/A</v>
      </c>
      <c r="Y7" s="80" t="e">
        <f t="shared" si="6"/>
        <v>#N/A</v>
      </c>
      <c r="Z7" s="80" t="e">
        <f t="shared" si="6"/>
        <v>#N/A</v>
      </c>
      <c r="AA7" s="80" t="e">
        <f t="shared" si="6"/>
        <v>#N/A</v>
      </c>
      <c r="AB7" s="80" t="e">
        <f t="shared" si="6"/>
        <v>#N/A</v>
      </c>
      <c r="AC7" s="80" t="e">
        <f t="shared" si="6"/>
        <v>#N/A</v>
      </c>
      <c r="AE7" s="88"/>
      <c r="AF7" s="79"/>
      <c r="AG7" s="85"/>
      <c r="AH7" s="89"/>
      <c r="AI7" s="90"/>
      <c r="AJ7" s="88"/>
      <c r="AK7" s="79"/>
      <c r="AL7" s="91"/>
      <c r="AM7" s="91"/>
      <c r="AN7" s="91"/>
      <c r="AO7" s="85"/>
      <c r="AP7" s="92"/>
      <c r="AQ7" s="92"/>
    </row>
    <row r="8" spans="1:43">
      <c r="A8" s="93" t="s">
        <v>562</v>
      </c>
      <c r="B8" s="2"/>
      <c r="C8" s="2"/>
      <c r="D8" s="93">
        <v>0</v>
      </c>
      <c r="E8" s="93">
        <v>1</v>
      </c>
      <c r="F8" s="93"/>
      <c r="G8" s="93">
        <v>0</v>
      </c>
      <c r="H8" s="93">
        <v>0</v>
      </c>
      <c r="I8" s="93"/>
      <c r="J8" s="93"/>
      <c r="K8" s="93"/>
      <c r="L8" s="93"/>
      <c r="M8" s="93" t="s">
        <v>756</v>
      </c>
      <c r="N8" s="93" t="s">
        <v>757</v>
      </c>
      <c r="P8" s="87" t="s">
        <v>306</v>
      </c>
      <c r="Q8" s="80">
        <f t="shared" ref="Q8:AC8" si="7">VLOOKUP($P8,$A:$N,B$1,0)</f>
        <v>0</v>
      </c>
      <c r="R8" s="80">
        <f t="shared" si="7"/>
        <v>0</v>
      </c>
      <c r="S8" s="80">
        <f t="shared" si="7"/>
        <v>0</v>
      </c>
      <c r="T8" s="80">
        <f t="shared" si="7"/>
        <v>0</v>
      </c>
      <c r="U8" s="80">
        <f t="shared" si="7"/>
        <v>0</v>
      </c>
      <c r="V8" s="80">
        <f t="shared" si="7"/>
        <v>0</v>
      </c>
      <c r="W8" s="80">
        <f t="shared" si="7"/>
        <v>0</v>
      </c>
      <c r="X8" s="80">
        <f t="shared" si="7"/>
        <v>0</v>
      </c>
      <c r="Y8" s="80">
        <f t="shared" si="7"/>
        <v>0</v>
      </c>
      <c r="Z8" s="80">
        <f t="shared" si="7"/>
        <v>0</v>
      </c>
      <c r="AA8" s="80">
        <f t="shared" si="7"/>
        <v>0</v>
      </c>
      <c r="AB8" s="80">
        <f t="shared" si="7"/>
        <v>0</v>
      </c>
      <c r="AC8" s="80">
        <f t="shared" si="7"/>
        <v>0</v>
      </c>
      <c r="AE8" s="88">
        <v>0</v>
      </c>
      <c r="AF8" s="79">
        <v>0</v>
      </c>
      <c r="AG8" s="85">
        <v>0</v>
      </c>
      <c r="AH8" s="89">
        <v>0</v>
      </c>
      <c r="AI8" s="90">
        <v>0</v>
      </c>
      <c r="AJ8" s="88">
        <v>0</v>
      </c>
      <c r="AK8" s="79">
        <v>0</v>
      </c>
      <c r="AL8" s="91">
        <v>0</v>
      </c>
      <c r="AM8" s="91">
        <v>0</v>
      </c>
      <c r="AN8" s="91">
        <v>0</v>
      </c>
      <c r="AO8" s="85">
        <v>0</v>
      </c>
      <c r="AP8" s="92">
        <v>0</v>
      </c>
      <c r="AQ8" s="92">
        <v>0</v>
      </c>
    </row>
    <row r="9" spans="1:43">
      <c r="A9" s="93" t="s">
        <v>108</v>
      </c>
      <c r="B9" s="2"/>
      <c r="C9" s="2"/>
      <c r="D9" s="93">
        <v>0</v>
      </c>
      <c r="E9" s="93">
        <v>0</v>
      </c>
      <c r="F9" s="93"/>
      <c r="G9" s="93">
        <v>0</v>
      </c>
      <c r="H9" s="93">
        <v>0</v>
      </c>
      <c r="I9" s="93"/>
      <c r="J9" s="93"/>
      <c r="K9" s="93"/>
      <c r="L9" s="93"/>
      <c r="M9" s="93"/>
      <c r="N9" s="93" t="s">
        <v>749</v>
      </c>
      <c r="P9" s="87" t="s">
        <v>326</v>
      </c>
      <c r="Q9" s="80">
        <f t="shared" ref="Q9:AC9" si="8">VLOOKUP($P9,$A:$N,B$1,0)</f>
        <v>0</v>
      </c>
      <c r="R9" s="80">
        <f t="shared" si="8"/>
        <v>0</v>
      </c>
      <c r="S9" s="80">
        <f t="shared" si="8"/>
        <v>0</v>
      </c>
      <c r="T9" s="80">
        <f t="shared" si="8"/>
        <v>0</v>
      </c>
      <c r="U9" s="80">
        <f t="shared" si="8"/>
        <v>0</v>
      </c>
      <c r="V9" s="80">
        <f t="shared" si="8"/>
        <v>0</v>
      </c>
      <c r="W9" s="80">
        <f t="shared" si="8"/>
        <v>0</v>
      </c>
      <c r="X9" s="80">
        <f t="shared" si="8"/>
        <v>0</v>
      </c>
      <c r="Y9" s="80">
        <f t="shared" si="8"/>
        <v>0</v>
      </c>
      <c r="Z9" s="80">
        <f t="shared" si="8"/>
        <v>0</v>
      </c>
      <c r="AA9" s="80">
        <f t="shared" si="8"/>
        <v>0</v>
      </c>
      <c r="AB9" s="80">
        <f t="shared" si="8"/>
        <v>0</v>
      </c>
      <c r="AC9" s="80">
        <f t="shared" si="8"/>
        <v>0</v>
      </c>
      <c r="AE9" s="88">
        <v>0</v>
      </c>
      <c r="AF9" s="79">
        <v>0</v>
      </c>
      <c r="AG9" s="85">
        <v>0</v>
      </c>
      <c r="AH9" s="89">
        <v>0</v>
      </c>
      <c r="AI9" s="90">
        <v>0</v>
      </c>
      <c r="AJ9" s="88">
        <v>0</v>
      </c>
      <c r="AK9" s="79">
        <v>0</v>
      </c>
      <c r="AL9" s="91">
        <v>0</v>
      </c>
      <c r="AM9" s="91">
        <v>0</v>
      </c>
      <c r="AN9" s="91">
        <v>0</v>
      </c>
      <c r="AO9" s="85">
        <v>0</v>
      </c>
      <c r="AP9" s="92">
        <v>0</v>
      </c>
      <c r="AQ9" s="92">
        <v>0</v>
      </c>
    </row>
    <row r="10" spans="1:43">
      <c r="A10" s="93" t="s">
        <v>563</v>
      </c>
      <c r="B10" s="2"/>
      <c r="C10" s="2"/>
      <c r="D10" s="93">
        <v>0</v>
      </c>
      <c r="E10" s="93">
        <v>1</v>
      </c>
      <c r="F10" s="93"/>
      <c r="G10" s="93">
        <v>0</v>
      </c>
      <c r="H10" s="93">
        <v>0</v>
      </c>
      <c r="I10" s="93"/>
      <c r="J10" s="93"/>
      <c r="K10" s="93"/>
      <c r="L10" s="93"/>
      <c r="M10" s="93" t="s">
        <v>756</v>
      </c>
      <c r="N10" s="93" t="s">
        <v>757</v>
      </c>
      <c r="P10" s="87" t="s">
        <v>330</v>
      </c>
      <c r="Q10" s="80">
        <f t="shared" ref="Q10:AC10" si="9">VLOOKUP($P10,$A:$N,B$1,0)</f>
        <v>0</v>
      </c>
      <c r="R10" s="80">
        <f t="shared" si="9"/>
        <v>0</v>
      </c>
      <c r="S10" s="80">
        <f t="shared" si="9"/>
        <v>0</v>
      </c>
      <c r="T10" s="80">
        <f t="shared" si="9"/>
        <v>0</v>
      </c>
      <c r="U10" s="80">
        <f t="shared" si="9"/>
        <v>0</v>
      </c>
      <c r="V10" s="80">
        <f t="shared" si="9"/>
        <v>0.5</v>
      </c>
      <c r="W10" s="80">
        <f t="shared" si="9"/>
        <v>0</v>
      </c>
      <c r="X10" s="80">
        <f t="shared" si="9"/>
        <v>0</v>
      </c>
      <c r="Y10" s="80">
        <f t="shared" si="9"/>
        <v>0</v>
      </c>
      <c r="Z10" s="80">
        <f t="shared" si="9"/>
        <v>0</v>
      </c>
      <c r="AA10" s="80">
        <f t="shared" si="9"/>
        <v>0</v>
      </c>
      <c r="AB10" s="80">
        <f t="shared" si="9"/>
        <v>0</v>
      </c>
      <c r="AC10" s="80" t="str">
        <f t="shared" si="9"/>
        <v>年假0.5天</v>
      </c>
      <c r="AE10" s="88">
        <v>0</v>
      </c>
      <c r="AF10" s="79">
        <v>0</v>
      </c>
      <c r="AG10" s="85">
        <v>0</v>
      </c>
      <c r="AH10" s="89">
        <v>0</v>
      </c>
      <c r="AI10" s="90">
        <v>0</v>
      </c>
      <c r="AJ10" s="88">
        <v>0.5</v>
      </c>
      <c r="AK10" s="79">
        <v>0</v>
      </c>
      <c r="AL10" s="91">
        <v>0</v>
      </c>
      <c r="AM10" s="91">
        <v>0</v>
      </c>
      <c r="AN10" s="91">
        <v>0</v>
      </c>
      <c r="AO10" s="85">
        <v>0</v>
      </c>
      <c r="AP10" s="92">
        <v>0</v>
      </c>
      <c r="AQ10" s="92" t="s">
        <v>724</v>
      </c>
    </row>
    <row r="11" spans="1:43">
      <c r="A11" s="93" t="s">
        <v>560</v>
      </c>
      <c r="B11" s="2"/>
      <c r="C11" s="2"/>
      <c r="D11" s="93">
        <v>0</v>
      </c>
      <c r="E11" s="93">
        <v>0</v>
      </c>
      <c r="F11" s="93"/>
      <c r="G11" s="93">
        <v>0</v>
      </c>
      <c r="H11" s="93">
        <v>0</v>
      </c>
      <c r="I11" s="93"/>
      <c r="J11" s="93"/>
      <c r="K11" s="93"/>
      <c r="L11" s="93"/>
      <c r="M11" s="93"/>
      <c r="N11" s="93" t="s">
        <v>749</v>
      </c>
      <c r="P11" s="87" t="s">
        <v>262</v>
      </c>
      <c r="Q11" s="80">
        <f t="shared" ref="Q11:AC11" si="10">VLOOKUP($P11,$A:$N,B$1,0)</f>
        <v>0</v>
      </c>
      <c r="R11" s="80">
        <f t="shared" si="10"/>
        <v>0</v>
      </c>
      <c r="S11" s="80">
        <f t="shared" si="10"/>
        <v>0</v>
      </c>
      <c r="T11" s="80">
        <f t="shared" si="10"/>
        <v>0</v>
      </c>
      <c r="U11" s="80">
        <f t="shared" si="10"/>
        <v>0</v>
      </c>
      <c r="V11" s="80">
        <f t="shared" si="10"/>
        <v>0</v>
      </c>
      <c r="W11" s="80">
        <f t="shared" si="10"/>
        <v>0</v>
      </c>
      <c r="X11" s="80">
        <f t="shared" si="10"/>
        <v>0</v>
      </c>
      <c r="Y11" s="80">
        <f t="shared" si="10"/>
        <v>0</v>
      </c>
      <c r="Z11" s="80">
        <f t="shared" si="10"/>
        <v>0</v>
      </c>
      <c r="AA11" s="80">
        <f t="shared" si="10"/>
        <v>0</v>
      </c>
      <c r="AB11" s="80">
        <f t="shared" si="10"/>
        <v>0</v>
      </c>
      <c r="AC11" s="80">
        <f t="shared" si="10"/>
        <v>0</v>
      </c>
      <c r="AE11" s="88">
        <v>0</v>
      </c>
      <c r="AF11" s="79">
        <v>0</v>
      </c>
      <c r="AG11" s="85">
        <v>0</v>
      </c>
      <c r="AH11" s="89">
        <v>0</v>
      </c>
      <c r="AI11" s="90">
        <v>0</v>
      </c>
      <c r="AJ11" s="88">
        <v>0</v>
      </c>
      <c r="AK11" s="79">
        <v>0</v>
      </c>
      <c r="AL11" s="91">
        <v>0</v>
      </c>
      <c r="AM11" s="91">
        <v>0</v>
      </c>
      <c r="AN11" s="91">
        <v>0</v>
      </c>
      <c r="AO11" s="85">
        <v>0</v>
      </c>
      <c r="AP11" s="92">
        <v>0</v>
      </c>
      <c r="AQ11" s="92">
        <v>0</v>
      </c>
    </row>
    <row r="12" spans="1:43">
      <c r="A12" s="93" t="s">
        <v>565</v>
      </c>
      <c r="B12" s="2"/>
      <c r="C12" s="2"/>
      <c r="D12" s="93">
        <v>0</v>
      </c>
      <c r="E12" s="93">
        <v>0</v>
      </c>
      <c r="F12" s="93"/>
      <c r="G12" s="93">
        <v>0</v>
      </c>
      <c r="H12" s="93">
        <v>0</v>
      </c>
      <c r="I12" s="93"/>
      <c r="J12" s="93"/>
      <c r="K12" s="93"/>
      <c r="L12" s="93"/>
      <c r="M12" s="93" t="s">
        <v>756</v>
      </c>
      <c r="N12" s="93" t="s">
        <v>759</v>
      </c>
      <c r="P12" s="87" t="s">
        <v>298</v>
      </c>
      <c r="Q12" s="80" t="e">
        <f t="shared" ref="Q12:AC12" si="11">VLOOKUP($P12,$A:$N,B$1,0)</f>
        <v>#N/A</v>
      </c>
      <c r="R12" s="80" t="e">
        <f t="shared" si="11"/>
        <v>#N/A</v>
      </c>
      <c r="S12" s="80" t="e">
        <f t="shared" si="11"/>
        <v>#N/A</v>
      </c>
      <c r="T12" s="80" t="e">
        <f t="shared" si="11"/>
        <v>#N/A</v>
      </c>
      <c r="U12" s="80" t="e">
        <f t="shared" si="11"/>
        <v>#N/A</v>
      </c>
      <c r="V12" s="80" t="e">
        <f t="shared" si="11"/>
        <v>#N/A</v>
      </c>
      <c r="W12" s="80" t="e">
        <f t="shared" si="11"/>
        <v>#N/A</v>
      </c>
      <c r="X12" s="80" t="e">
        <f t="shared" si="11"/>
        <v>#N/A</v>
      </c>
      <c r="Y12" s="80" t="e">
        <f t="shared" si="11"/>
        <v>#N/A</v>
      </c>
      <c r="Z12" s="80" t="e">
        <f t="shared" si="11"/>
        <v>#N/A</v>
      </c>
      <c r="AA12" s="80" t="e">
        <f t="shared" si="11"/>
        <v>#N/A</v>
      </c>
      <c r="AB12" s="80" t="e">
        <f t="shared" si="11"/>
        <v>#N/A</v>
      </c>
      <c r="AC12" s="80" t="e">
        <f t="shared" si="11"/>
        <v>#N/A</v>
      </c>
      <c r="AE12" s="88"/>
      <c r="AF12" s="79"/>
      <c r="AG12" s="85"/>
      <c r="AH12" s="89"/>
      <c r="AI12" s="90"/>
      <c r="AJ12" s="88"/>
      <c r="AK12" s="79"/>
      <c r="AL12" s="91"/>
      <c r="AM12" s="91"/>
      <c r="AN12" s="91"/>
      <c r="AO12" s="85"/>
      <c r="AP12" s="92"/>
      <c r="AQ12" s="92"/>
    </row>
    <row r="13" spans="1:43">
      <c r="A13" s="93" t="s">
        <v>341</v>
      </c>
      <c r="B13" s="2"/>
      <c r="C13" s="2"/>
      <c r="D13" s="93">
        <v>0</v>
      </c>
      <c r="E13" s="93">
        <v>0</v>
      </c>
      <c r="F13" s="93"/>
      <c r="G13" s="93">
        <v>0</v>
      </c>
      <c r="H13" s="93">
        <v>0</v>
      </c>
      <c r="I13" s="93"/>
      <c r="J13" s="93"/>
      <c r="K13" s="93"/>
      <c r="L13" s="93"/>
      <c r="M13" s="93"/>
      <c r="N13" s="93"/>
      <c r="P13" s="87" t="s">
        <v>397</v>
      </c>
      <c r="Q13" s="80">
        <f t="shared" ref="Q13:AC13" si="12">VLOOKUP($P13,$A:$N,B$1,0)</f>
        <v>0</v>
      </c>
      <c r="R13" s="80">
        <f t="shared" si="12"/>
        <v>0</v>
      </c>
      <c r="S13" s="80">
        <f t="shared" si="12"/>
        <v>0</v>
      </c>
      <c r="T13" s="80">
        <f t="shared" si="12"/>
        <v>0</v>
      </c>
      <c r="U13" s="80">
        <f t="shared" si="12"/>
        <v>0</v>
      </c>
      <c r="V13" s="80">
        <f t="shared" si="12"/>
        <v>0.5</v>
      </c>
      <c r="W13" s="80">
        <f t="shared" si="12"/>
        <v>0</v>
      </c>
      <c r="X13" s="80">
        <f t="shared" si="12"/>
        <v>0</v>
      </c>
      <c r="Y13" s="80">
        <f t="shared" si="12"/>
        <v>0</v>
      </c>
      <c r="Z13" s="80">
        <f t="shared" si="12"/>
        <v>0</v>
      </c>
      <c r="AA13" s="80">
        <f t="shared" si="12"/>
        <v>0</v>
      </c>
      <c r="AB13" s="80">
        <f t="shared" si="12"/>
        <v>0</v>
      </c>
      <c r="AC13" s="80" t="str">
        <f t="shared" si="12"/>
        <v>年假0.5天</v>
      </c>
      <c r="AE13" s="88">
        <v>0</v>
      </c>
      <c r="AF13" s="79">
        <v>0</v>
      </c>
      <c r="AG13" s="85">
        <v>0</v>
      </c>
      <c r="AH13" s="89">
        <v>0</v>
      </c>
      <c r="AI13" s="90">
        <v>0</v>
      </c>
      <c r="AJ13" s="88">
        <v>0.5</v>
      </c>
      <c r="AK13" s="79">
        <v>0</v>
      </c>
      <c r="AL13" s="91">
        <v>0</v>
      </c>
      <c r="AM13" s="91">
        <v>0</v>
      </c>
      <c r="AN13" s="91">
        <v>0</v>
      </c>
      <c r="AO13" s="85">
        <v>0</v>
      </c>
      <c r="AP13" s="92">
        <v>0</v>
      </c>
      <c r="AQ13" s="92" t="s">
        <v>724</v>
      </c>
    </row>
    <row r="14" spans="1:43">
      <c r="A14" s="93" t="s">
        <v>387</v>
      </c>
      <c r="B14" s="2"/>
      <c r="C14" s="2"/>
      <c r="D14" s="93">
        <v>0</v>
      </c>
      <c r="E14" s="93">
        <v>0</v>
      </c>
      <c r="F14" s="93"/>
      <c r="G14" s="93">
        <v>0</v>
      </c>
      <c r="H14" s="93">
        <v>0.5</v>
      </c>
      <c r="I14" s="93"/>
      <c r="J14" s="93"/>
      <c r="K14" s="93"/>
      <c r="L14" s="93"/>
      <c r="M14" s="93"/>
      <c r="N14" s="93" t="s">
        <v>731</v>
      </c>
      <c r="P14" s="87" t="s">
        <v>254</v>
      </c>
      <c r="Q14" s="80">
        <f t="shared" ref="Q14:AC14" si="13">VLOOKUP($P14,$A:$N,B$1,0)</f>
        <v>0</v>
      </c>
      <c r="R14" s="80">
        <f t="shared" si="13"/>
        <v>0</v>
      </c>
      <c r="S14" s="80">
        <f t="shared" si="13"/>
        <v>0</v>
      </c>
      <c r="T14" s="80">
        <f t="shared" si="13"/>
        <v>0</v>
      </c>
      <c r="U14" s="80">
        <f t="shared" si="13"/>
        <v>0</v>
      </c>
      <c r="V14" s="80">
        <f t="shared" si="13"/>
        <v>3</v>
      </c>
      <c r="W14" s="80">
        <f t="shared" si="13"/>
        <v>0</v>
      </c>
      <c r="X14" s="80">
        <f t="shared" si="13"/>
        <v>0</v>
      </c>
      <c r="Y14" s="80">
        <f t="shared" si="13"/>
        <v>0</v>
      </c>
      <c r="Z14" s="80">
        <f t="shared" si="13"/>
        <v>0</v>
      </c>
      <c r="AA14" s="80">
        <f t="shared" si="13"/>
        <v>0</v>
      </c>
      <c r="AB14" s="80">
        <f t="shared" si="13"/>
        <v>0</v>
      </c>
      <c r="AC14" s="80" t="str">
        <f t="shared" si="13"/>
        <v>年假3天</v>
      </c>
      <c r="AE14" s="88">
        <v>0</v>
      </c>
      <c r="AF14" s="79">
        <v>0</v>
      </c>
      <c r="AG14" s="85">
        <v>0</v>
      </c>
      <c r="AH14" s="89">
        <v>0</v>
      </c>
      <c r="AI14" s="90">
        <v>0</v>
      </c>
      <c r="AJ14" s="88">
        <v>3</v>
      </c>
      <c r="AK14" s="79">
        <v>0</v>
      </c>
      <c r="AL14" s="91">
        <v>0</v>
      </c>
      <c r="AM14" s="91">
        <v>0</v>
      </c>
      <c r="AN14" s="91">
        <v>0</v>
      </c>
      <c r="AO14" s="85">
        <v>0</v>
      </c>
      <c r="AP14" s="92">
        <v>0</v>
      </c>
      <c r="AQ14" s="92" t="s">
        <v>725</v>
      </c>
    </row>
    <row r="15" spans="1:43">
      <c r="A15" s="93" t="s">
        <v>330</v>
      </c>
      <c r="B15" s="2"/>
      <c r="C15" s="2"/>
      <c r="D15" s="93">
        <v>0</v>
      </c>
      <c r="E15" s="93">
        <v>0</v>
      </c>
      <c r="F15" s="93"/>
      <c r="G15" s="93">
        <v>0.5</v>
      </c>
      <c r="H15" s="93">
        <v>0</v>
      </c>
      <c r="I15" s="93"/>
      <c r="J15" s="93"/>
      <c r="K15" s="93"/>
      <c r="L15" s="93"/>
      <c r="M15" s="93"/>
      <c r="N15" s="93" t="s">
        <v>724</v>
      </c>
      <c r="P15" s="87" t="s">
        <v>256</v>
      </c>
      <c r="Q15" s="80" t="e">
        <f t="shared" ref="Q15:AC15" si="14">VLOOKUP($P15,$A:$N,B$1,0)</f>
        <v>#N/A</v>
      </c>
      <c r="R15" s="80" t="e">
        <f t="shared" si="14"/>
        <v>#N/A</v>
      </c>
      <c r="S15" s="80" t="e">
        <f t="shared" si="14"/>
        <v>#N/A</v>
      </c>
      <c r="T15" s="80" t="e">
        <f t="shared" si="14"/>
        <v>#N/A</v>
      </c>
      <c r="U15" s="80" t="e">
        <f t="shared" si="14"/>
        <v>#N/A</v>
      </c>
      <c r="V15" s="80" t="e">
        <f t="shared" si="14"/>
        <v>#N/A</v>
      </c>
      <c r="W15" s="80" t="e">
        <f t="shared" si="14"/>
        <v>#N/A</v>
      </c>
      <c r="X15" s="80" t="e">
        <f t="shared" si="14"/>
        <v>#N/A</v>
      </c>
      <c r="Y15" s="80" t="e">
        <f t="shared" si="14"/>
        <v>#N/A</v>
      </c>
      <c r="Z15" s="80" t="e">
        <f t="shared" si="14"/>
        <v>#N/A</v>
      </c>
      <c r="AA15" s="80" t="e">
        <f t="shared" si="14"/>
        <v>#N/A</v>
      </c>
      <c r="AB15" s="80" t="e">
        <f t="shared" si="14"/>
        <v>#N/A</v>
      </c>
      <c r="AC15" s="80" t="e">
        <f t="shared" si="14"/>
        <v>#N/A</v>
      </c>
      <c r="AE15" s="88"/>
      <c r="AF15" s="79"/>
      <c r="AG15" s="85"/>
      <c r="AH15" s="89"/>
      <c r="AI15" s="90"/>
      <c r="AJ15" s="88"/>
      <c r="AK15" s="79"/>
      <c r="AL15" s="91"/>
      <c r="AM15" s="91"/>
      <c r="AN15" s="91"/>
      <c r="AO15" s="85"/>
      <c r="AP15" s="92"/>
      <c r="AQ15" s="92"/>
    </row>
    <row r="16" spans="1:43">
      <c r="A16" s="93" t="s">
        <v>320</v>
      </c>
      <c r="B16" s="2"/>
      <c r="C16" s="2"/>
      <c r="D16" s="93">
        <v>0</v>
      </c>
      <c r="E16" s="93">
        <v>0</v>
      </c>
      <c r="F16" s="93"/>
      <c r="G16" s="93">
        <v>0</v>
      </c>
      <c r="H16" s="93">
        <v>0</v>
      </c>
      <c r="I16" s="93"/>
      <c r="J16" s="93"/>
      <c r="K16" s="93"/>
      <c r="L16" s="93"/>
      <c r="M16" s="93"/>
      <c r="N16" s="93"/>
      <c r="P16" s="87" t="s">
        <v>446</v>
      </c>
      <c r="Q16" s="80">
        <f t="shared" ref="Q16:AC16" si="15">VLOOKUP($P16,$A:$N,B$1,0)</f>
        <v>0</v>
      </c>
      <c r="R16" s="80">
        <f t="shared" si="15"/>
        <v>0</v>
      </c>
      <c r="S16" s="80">
        <f t="shared" si="15"/>
        <v>0</v>
      </c>
      <c r="T16" s="80">
        <f t="shared" si="15"/>
        <v>0</v>
      </c>
      <c r="U16" s="80">
        <f t="shared" si="15"/>
        <v>0</v>
      </c>
      <c r="V16" s="80">
        <f t="shared" si="15"/>
        <v>0</v>
      </c>
      <c r="W16" s="80">
        <f t="shared" si="15"/>
        <v>0</v>
      </c>
      <c r="X16" s="80">
        <f t="shared" si="15"/>
        <v>0</v>
      </c>
      <c r="Y16" s="80">
        <f t="shared" si="15"/>
        <v>0</v>
      </c>
      <c r="Z16" s="80">
        <f t="shared" si="15"/>
        <v>0</v>
      </c>
      <c r="AA16" s="80">
        <f t="shared" si="15"/>
        <v>0</v>
      </c>
      <c r="AB16" s="80">
        <f t="shared" si="15"/>
        <v>0</v>
      </c>
      <c r="AC16" s="80">
        <f t="shared" si="15"/>
        <v>0</v>
      </c>
      <c r="AE16" s="88">
        <v>0</v>
      </c>
      <c r="AF16" s="79">
        <v>0</v>
      </c>
      <c r="AG16" s="85">
        <v>0</v>
      </c>
      <c r="AH16" s="89">
        <v>0</v>
      </c>
      <c r="AI16" s="90">
        <v>0</v>
      </c>
      <c r="AJ16" s="88">
        <v>0</v>
      </c>
      <c r="AK16" s="79">
        <v>0</v>
      </c>
      <c r="AL16" s="91">
        <v>0</v>
      </c>
      <c r="AM16" s="91">
        <v>0</v>
      </c>
      <c r="AN16" s="91">
        <v>0</v>
      </c>
      <c r="AO16" s="85">
        <v>0</v>
      </c>
      <c r="AP16" s="92">
        <v>0</v>
      </c>
      <c r="AQ16" s="92">
        <v>0</v>
      </c>
    </row>
    <row r="17" spans="1:43">
      <c r="A17" s="93" t="s">
        <v>371</v>
      </c>
      <c r="B17" s="2"/>
      <c r="C17" s="2"/>
      <c r="D17" s="93">
        <v>0</v>
      </c>
      <c r="E17" s="93">
        <v>0</v>
      </c>
      <c r="F17" s="93"/>
      <c r="G17" s="93">
        <v>0</v>
      </c>
      <c r="H17" s="93">
        <v>0</v>
      </c>
      <c r="I17" s="93"/>
      <c r="J17" s="93"/>
      <c r="K17" s="93">
        <v>10</v>
      </c>
      <c r="L17" s="93"/>
      <c r="M17" s="93"/>
      <c r="N17" s="93" t="s">
        <v>737</v>
      </c>
      <c r="P17" s="87" t="s">
        <v>447</v>
      </c>
      <c r="Q17" s="80">
        <f t="shared" ref="Q17:AC17" si="16">VLOOKUP($P17,$A:$N,B$1,0)</f>
        <v>0</v>
      </c>
      <c r="R17" s="80">
        <f t="shared" si="16"/>
        <v>0</v>
      </c>
      <c r="S17" s="80">
        <f t="shared" si="16"/>
        <v>0</v>
      </c>
      <c r="T17" s="80">
        <f t="shared" si="16"/>
        <v>0</v>
      </c>
      <c r="U17" s="80">
        <f t="shared" si="16"/>
        <v>0</v>
      </c>
      <c r="V17" s="80">
        <f t="shared" si="16"/>
        <v>0</v>
      </c>
      <c r="W17" s="80">
        <f t="shared" si="16"/>
        <v>0</v>
      </c>
      <c r="X17" s="80">
        <f t="shared" si="16"/>
        <v>0</v>
      </c>
      <c r="Y17" s="80">
        <f t="shared" si="16"/>
        <v>0</v>
      </c>
      <c r="Z17" s="80">
        <f t="shared" si="16"/>
        <v>0</v>
      </c>
      <c r="AA17" s="80">
        <f t="shared" si="16"/>
        <v>0</v>
      </c>
      <c r="AB17" s="80">
        <f t="shared" si="16"/>
        <v>0</v>
      </c>
      <c r="AC17" s="80">
        <f t="shared" si="16"/>
        <v>0</v>
      </c>
      <c r="AE17" s="88">
        <v>0</v>
      </c>
      <c r="AF17" s="79">
        <v>0</v>
      </c>
      <c r="AG17" s="85">
        <v>0</v>
      </c>
      <c r="AH17" s="89">
        <v>0</v>
      </c>
      <c r="AI17" s="90">
        <v>0</v>
      </c>
      <c r="AJ17" s="88">
        <v>0</v>
      </c>
      <c r="AK17" s="79">
        <v>0</v>
      </c>
      <c r="AL17" s="91">
        <v>0</v>
      </c>
      <c r="AM17" s="91">
        <v>0</v>
      </c>
      <c r="AN17" s="91">
        <v>0</v>
      </c>
      <c r="AO17" s="85">
        <v>0</v>
      </c>
      <c r="AP17" s="92">
        <v>0</v>
      </c>
      <c r="AQ17" s="92">
        <v>0</v>
      </c>
    </row>
    <row r="18" spans="1:43">
      <c r="A18" s="93" t="s">
        <v>531</v>
      </c>
      <c r="B18" s="2"/>
      <c r="C18" s="2"/>
      <c r="D18" s="93">
        <v>0</v>
      </c>
      <c r="E18" s="93">
        <v>0</v>
      </c>
      <c r="F18" s="93"/>
      <c r="G18" s="93">
        <v>0.5</v>
      </c>
      <c r="H18" s="93">
        <v>0</v>
      </c>
      <c r="I18" s="93"/>
      <c r="J18" s="93"/>
      <c r="K18" s="93"/>
      <c r="L18" s="93"/>
      <c r="M18" s="93"/>
      <c r="N18" s="93" t="s">
        <v>724</v>
      </c>
      <c r="P18" s="87" t="s">
        <v>453</v>
      </c>
      <c r="Q18" s="80">
        <f t="shared" ref="Q18:AC18" si="17">VLOOKUP($P18,$A:$N,B$1,0)</f>
        <v>0</v>
      </c>
      <c r="R18" s="80">
        <f t="shared" si="17"/>
        <v>0</v>
      </c>
      <c r="S18" s="80">
        <f t="shared" si="17"/>
        <v>0</v>
      </c>
      <c r="T18" s="80">
        <f t="shared" si="17"/>
        <v>0</v>
      </c>
      <c r="U18" s="80">
        <f t="shared" si="17"/>
        <v>0</v>
      </c>
      <c r="V18" s="80">
        <f t="shared" si="17"/>
        <v>1</v>
      </c>
      <c r="W18" s="80">
        <f t="shared" si="17"/>
        <v>0</v>
      </c>
      <c r="X18" s="80">
        <f t="shared" si="17"/>
        <v>0</v>
      </c>
      <c r="Y18" s="80">
        <f t="shared" si="17"/>
        <v>0</v>
      </c>
      <c r="Z18" s="80">
        <f t="shared" si="17"/>
        <v>0</v>
      </c>
      <c r="AA18" s="80">
        <f t="shared" si="17"/>
        <v>0</v>
      </c>
      <c r="AB18" s="80">
        <f t="shared" si="17"/>
        <v>0</v>
      </c>
      <c r="AC18" s="80" t="str">
        <f t="shared" si="17"/>
        <v>年假1天</v>
      </c>
      <c r="AE18" s="88">
        <v>0</v>
      </c>
      <c r="AF18" s="79">
        <v>0</v>
      </c>
      <c r="AG18" s="85">
        <v>0</v>
      </c>
      <c r="AH18" s="89">
        <v>0</v>
      </c>
      <c r="AI18" s="90">
        <v>0</v>
      </c>
      <c r="AJ18" s="88">
        <v>1</v>
      </c>
      <c r="AK18" s="79">
        <v>0</v>
      </c>
      <c r="AL18" s="91">
        <v>0</v>
      </c>
      <c r="AM18" s="91">
        <v>0</v>
      </c>
      <c r="AN18" s="91">
        <v>0</v>
      </c>
      <c r="AO18" s="85">
        <v>0</v>
      </c>
      <c r="AP18" s="92">
        <v>0</v>
      </c>
      <c r="AQ18" s="92" t="s">
        <v>726</v>
      </c>
    </row>
    <row r="19" spans="1:43">
      <c r="A19" s="93" t="s">
        <v>400</v>
      </c>
      <c r="B19" s="2"/>
      <c r="C19" s="2"/>
      <c r="D19" s="93">
        <v>0</v>
      </c>
      <c r="E19" s="93">
        <v>0</v>
      </c>
      <c r="F19" s="93"/>
      <c r="G19" s="93">
        <v>1</v>
      </c>
      <c r="H19" s="93">
        <v>0.5</v>
      </c>
      <c r="I19" s="93"/>
      <c r="J19" s="93"/>
      <c r="K19" s="93"/>
      <c r="L19" s="93"/>
      <c r="M19" s="93"/>
      <c r="N19" s="93" t="s">
        <v>722</v>
      </c>
      <c r="P19" s="87" t="s">
        <v>433</v>
      </c>
      <c r="Q19" s="80" t="e">
        <f t="shared" ref="Q19:AC19" si="18">VLOOKUP($P19,$A:$N,B$1,0)</f>
        <v>#N/A</v>
      </c>
      <c r="R19" s="80" t="e">
        <f t="shared" si="18"/>
        <v>#N/A</v>
      </c>
      <c r="S19" s="80" t="e">
        <f t="shared" si="18"/>
        <v>#N/A</v>
      </c>
      <c r="T19" s="80" t="e">
        <f t="shared" si="18"/>
        <v>#N/A</v>
      </c>
      <c r="U19" s="80" t="e">
        <f t="shared" si="18"/>
        <v>#N/A</v>
      </c>
      <c r="V19" s="80" t="e">
        <f t="shared" si="18"/>
        <v>#N/A</v>
      </c>
      <c r="W19" s="80" t="e">
        <f t="shared" si="18"/>
        <v>#N/A</v>
      </c>
      <c r="X19" s="80" t="e">
        <f t="shared" si="18"/>
        <v>#N/A</v>
      </c>
      <c r="Y19" s="80" t="e">
        <f t="shared" si="18"/>
        <v>#N/A</v>
      </c>
      <c r="Z19" s="80" t="e">
        <f t="shared" si="18"/>
        <v>#N/A</v>
      </c>
      <c r="AA19" s="80" t="e">
        <f t="shared" si="18"/>
        <v>#N/A</v>
      </c>
      <c r="AB19" s="80" t="e">
        <f t="shared" si="18"/>
        <v>#N/A</v>
      </c>
      <c r="AC19" s="80" t="e">
        <f t="shared" si="18"/>
        <v>#N/A</v>
      </c>
      <c r="AE19" s="88"/>
      <c r="AF19" s="79"/>
      <c r="AG19" s="85"/>
      <c r="AH19" s="89"/>
      <c r="AI19" s="90"/>
      <c r="AJ19" s="88"/>
      <c r="AK19" s="79"/>
      <c r="AL19" s="91"/>
      <c r="AM19" s="91"/>
      <c r="AN19" s="91"/>
      <c r="AO19" s="85"/>
      <c r="AP19" s="92"/>
      <c r="AQ19" s="92"/>
    </row>
    <row r="20" spans="1:43">
      <c r="A20" s="93" t="s">
        <v>427</v>
      </c>
      <c r="B20" s="2"/>
      <c r="C20" s="2"/>
      <c r="D20" s="93">
        <v>0</v>
      </c>
      <c r="E20" s="93">
        <v>0</v>
      </c>
      <c r="F20" s="93"/>
      <c r="G20" s="93">
        <v>0</v>
      </c>
      <c r="H20" s="93">
        <v>0</v>
      </c>
      <c r="I20" s="93"/>
      <c r="J20" s="93"/>
      <c r="K20" s="93"/>
      <c r="L20" s="93"/>
      <c r="M20" s="93"/>
      <c r="N20" s="93"/>
      <c r="P20" s="87" t="s">
        <v>105</v>
      </c>
      <c r="Q20" s="80">
        <f t="shared" ref="Q20:AC20" si="19">VLOOKUP($P20,$A:$N,B$1,0)</f>
        <v>0</v>
      </c>
      <c r="R20" s="80">
        <f t="shared" si="19"/>
        <v>0</v>
      </c>
      <c r="S20" s="80">
        <f t="shared" si="19"/>
        <v>0</v>
      </c>
      <c r="T20" s="80">
        <f t="shared" si="19"/>
        <v>0</v>
      </c>
      <c r="U20" s="80">
        <f t="shared" si="19"/>
        <v>0</v>
      </c>
      <c r="V20" s="80">
        <f t="shared" si="19"/>
        <v>1</v>
      </c>
      <c r="W20" s="80">
        <f t="shared" si="19"/>
        <v>0</v>
      </c>
      <c r="X20" s="80">
        <f t="shared" si="19"/>
        <v>0</v>
      </c>
      <c r="Y20" s="80">
        <f t="shared" si="19"/>
        <v>0</v>
      </c>
      <c r="Z20" s="80">
        <f t="shared" si="19"/>
        <v>0</v>
      </c>
      <c r="AA20" s="80">
        <f t="shared" si="19"/>
        <v>0</v>
      </c>
      <c r="AB20" s="80">
        <f t="shared" si="19"/>
        <v>0</v>
      </c>
      <c r="AC20" s="80" t="str">
        <f t="shared" si="19"/>
        <v>年假1天</v>
      </c>
      <c r="AE20" s="88">
        <v>0</v>
      </c>
      <c r="AF20" s="79">
        <v>0</v>
      </c>
      <c r="AG20" s="85">
        <v>0</v>
      </c>
      <c r="AH20" s="89">
        <v>0</v>
      </c>
      <c r="AI20" s="90">
        <v>0</v>
      </c>
      <c r="AJ20" s="88">
        <v>1</v>
      </c>
      <c r="AK20" s="79">
        <v>0</v>
      </c>
      <c r="AL20" s="91">
        <v>0</v>
      </c>
      <c r="AM20" s="91">
        <v>0</v>
      </c>
      <c r="AN20" s="91">
        <v>0</v>
      </c>
      <c r="AO20" s="85">
        <v>0</v>
      </c>
      <c r="AP20" s="92">
        <v>0</v>
      </c>
      <c r="AQ20" s="92" t="s">
        <v>726</v>
      </c>
    </row>
    <row r="21" spans="1:43">
      <c r="A21" s="93" t="s">
        <v>105</v>
      </c>
      <c r="B21" s="2"/>
      <c r="C21" s="2"/>
      <c r="D21" s="93">
        <v>0</v>
      </c>
      <c r="E21" s="93">
        <v>0</v>
      </c>
      <c r="F21" s="93"/>
      <c r="G21" s="93">
        <v>1</v>
      </c>
      <c r="H21" s="93">
        <v>0</v>
      </c>
      <c r="I21" s="93"/>
      <c r="J21" s="93"/>
      <c r="K21" s="93"/>
      <c r="L21" s="93"/>
      <c r="M21" s="93"/>
      <c r="N21" s="93" t="s">
        <v>726</v>
      </c>
      <c r="P21" s="87" t="s">
        <v>517</v>
      </c>
      <c r="Q21" s="80">
        <f t="shared" ref="Q21:AC21" si="20">VLOOKUP($P21,$A:$N,B$1,0)</f>
        <v>0</v>
      </c>
      <c r="R21" s="80">
        <f t="shared" si="20"/>
        <v>0</v>
      </c>
      <c r="S21" s="80">
        <f t="shared" si="20"/>
        <v>0</v>
      </c>
      <c r="T21" s="80">
        <f t="shared" si="20"/>
        <v>0</v>
      </c>
      <c r="U21" s="80">
        <f t="shared" si="20"/>
        <v>0</v>
      </c>
      <c r="V21" s="80">
        <f t="shared" si="20"/>
        <v>0</v>
      </c>
      <c r="W21" s="80">
        <f t="shared" si="20"/>
        <v>0</v>
      </c>
      <c r="X21" s="80">
        <f t="shared" si="20"/>
        <v>0</v>
      </c>
      <c r="Y21" s="80">
        <f t="shared" si="20"/>
        <v>0</v>
      </c>
      <c r="Z21" s="80">
        <f t="shared" si="20"/>
        <v>0</v>
      </c>
      <c r="AA21" s="80">
        <f t="shared" si="20"/>
        <v>0</v>
      </c>
      <c r="AB21" s="80">
        <f t="shared" si="20"/>
        <v>0</v>
      </c>
      <c r="AC21" s="80">
        <f t="shared" si="20"/>
        <v>0</v>
      </c>
      <c r="AE21" s="88">
        <v>0</v>
      </c>
      <c r="AF21" s="79">
        <v>0</v>
      </c>
      <c r="AG21" s="85">
        <v>0</v>
      </c>
      <c r="AH21" s="89">
        <v>0</v>
      </c>
      <c r="AI21" s="90">
        <v>0</v>
      </c>
      <c r="AJ21" s="88">
        <v>0</v>
      </c>
      <c r="AK21" s="79">
        <v>0</v>
      </c>
      <c r="AL21" s="91">
        <v>0</v>
      </c>
      <c r="AM21" s="91">
        <v>0</v>
      </c>
      <c r="AN21" s="91">
        <v>0</v>
      </c>
      <c r="AO21" s="85">
        <v>0</v>
      </c>
      <c r="AP21" s="92">
        <v>0</v>
      </c>
      <c r="AQ21" s="92">
        <v>0</v>
      </c>
    </row>
    <row r="22" spans="1:43">
      <c r="A22" s="93" t="s">
        <v>564</v>
      </c>
      <c r="B22" s="2"/>
      <c r="C22" s="2"/>
      <c r="D22" s="93">
        <v>0</v>
      </c>
      <c r="E22" s="93">
        <v>2</v>
      </c>
      <c r="F22" s="93"/>
      <c r="G22" s="93">
        <v>0</v>
      </c>
      <c r="H22" s="93">
        <v>0</v>
      </c>
      <c r="I22" s="93"/>
      <c r="J22" s="93"/>
      <c r="K22" s="93"/>
      <c r="L22" s="93"/>
      <c r="M22" s="93" t="s">
        <v>756</v>
      </c>
      <c r="N22" s="93" t="s">
        <v>758</v>
      </c>
      <c r="P22" s="87" t="s">
        <v>307</v>
      </c>
      <c r="Q22" s="80">
        <f t="shared" ref="Q22:AC22" si="21">VLOOKUP($P22,$A:$N,B$1,0)</f>
        <v>0</v>
      </c>
      <c r="R22" s="80">
        <f t="shared" si="21"/>
        <v>0</v>
      </c>
      <c r="S22" s="80">
        <f t="shared" si="21"/>
        <v>0</v>
      </c>
      <c r="T22" s="80">
        <f t="shared" si="21"/>
        <v>0</v>
      </c>
      <c r="U22" s="80">
        <f t="shared" si="21"/>
        <v>0</v>
      </c>
      <c r="V22" s="80">
        <f t="shared" si="21"/>
        <v>1</v>
      </c>
      <c r="W22" s="80">
        <f t="shared" si="21"/>
        <v>0</v>
      </c>
      <c r="X22" s="80">
        <f t="shared" si="21"/>
        <v>0</v>
      </c>
      <c r="Y22" s="80">
        <f t="shared" si="21"/>
        <v>0</v>
      </c>
      <c r="Z22" s="80">
        <f t="shared" si="21"/>
        <v>0</v>
      </c>
      <c r="AA22" s="80">
        <f t="shared" si="21"/>
        <v>0</v>
      </c>
      <c r="AB22" s="80">
        <f t="shared" si="21"/>
        <v>0</v>
      </c>
      <c r="AC22" s="80" t="str">
        <f t="shared" si="21"/>
        <v>年假1天</v>
      </c>
      <c r="AE22" s="88">
        <v>0</v>
      </c>
      <c r="AF22" s="79">
        <v>0</v>
      </c>
      <c r="AG22" s="85">
        <v>0</v>
      </c>
      <c r="AH22" s="89">
        <v>0</v>
      </c>
      <c r="AI22" s="90">
        <v>0</v>
      </c>
      <c r="AJ22" s="88">
        <v>1</v>
      </c>
      <c r="AK22" s="79">
        <v>0</v>
      </c>
      <c r="AL22" s="91">
        <v>0</v>
      </c>
      <c r="AM22" s="91">
        <v>0</v>
      </c>
      <c r="AN22" s="91">
        <v>0</v>
      </c>
      <c r="AO22" s="85">
        <v>0</v>
      </c>
      <c r="AP22" s="92">
        <v>0</v>
      </c>
      <c r="AQ22" s="92" t="s">
        <v>726</v>
      </c>
    </row>
    <row r="23" spans="1:43">
      <c r="A23" s="93" t="s">
        <v>121</v>
      </c>
      <c r="B23" s="2"/>
      <c r="C23" s="2"/>
      <c r="D23" s="93">
        <v>0</v>
      </c>
      <c r="E23" s="93">
        <v>0</v>
      </c>
      <c r="F23" s="93"/>
      <c r="G23" s="93">
        <v>0</v>
      </c>
      <c r="H23" s="93">
        <v>0</v>
      </c>
      <c r="I23" s="93"/>
      <c r="J23" s="93"/>
      <c r="K23" s="93"/>
      <c r="L23" s="93"/>
      <c r="M23" s="93"/>
      <c r="N23" s="93"/>
      <c r="P23" s="87" t="s">
        <v>451</v>
      </c>
      <c r="Q23" s="80">
        <f t="shared" ref="Q23:AC23" si="22">VLOOKUP($P23,$A:$N,B$1,0)</f>
        <v>0</v>
      </c>
      <c r="R23" s="80">
        <f t="shared" si="22"/>
        <v>0</v>
      </c>
      <c r="S23" s="80">
        <f t="shared" si="22"/>
        <v>0</v>
      </c>
      <c r="T23" s="80">
        <f t="shared" si="22"/>
        <v>0</v>
      </c>
      <c r="U23" s="80">
        <f t="shared" si="22"/>
        <v>0</v>
      </c>
      <c r="V23" s="80">
        <f t="shared" si="22"/>
        <v>0</v>
      </c>
      <c r="W23" s="80">
        <f t="shared" si="22"/>
        <v>0</v>
      </c>
      <c r="X23" s="80">
        <f t="shared" si="22"/>
        <v>0</v>
      </c>
      <c r="Y23" s="80">
        <f t="shared" si="22"/>
        <v>0</v>
      </c>
      <c r="Z23" s="80">
        <f t="shared" si="22"/>
        <v>0</v>
      </c>
      <c r="AA23" s="80">
        <f t="shared" si="22"/>
        <v>0</v>
      </c>
      <c r="AB23" s="80">
        <f t="shared" si="22"/>
        <v>0</v>
      </c>
      <c r="AC23" s="80">
        <f t="shared" si="22"/>
        <v>0</v>
      </c>
      <c r="AE23" s="88">
        <v>0</v>
      </c>
      <c r="AF23" s="79">
        <v>0</v>
      </c>
      <c r="AG23" s="85">
        <v>0</v>
      </c>
      <c r="AH23" s="89">
        <v>0</v>
      </c>
      <c r="AI23" s="90">
        <v>0</v>
      </c>
      <c r="AJ23" s="88">
        <v>0</v>
      </c>
      <c r="AK23" s="79">
        <v>0</v>
      </c>
      <c r="AL23" s="91">
        <v>0</v>
      </c>
      <c r="AM23" s="91">
        <v>0</v>
      </c>
      <c r="AN23" s="91">
        <v>0</v>
      </c>
      <c r="AO23" s="85">
        <v>0</v>
      </c>
      <c r="AP23" s="92">
        <v>0</v>
      </c>
      <c r="AQ23" s="92">
        <v>0</v>
      </c>
    </row>
    <row r="24" spans="1:43">
      <c r="A24" s="93" t="s">
        <v>357</v>
      </c>
      <c r="B24" s="2"/>
      <c r="C24" s="2"/>
      <c r="D24" s="93">
        <v>1</v>
      </c>
      <c r="E24" s="93">
        <v>0</v>
      </c>
      <c r="F24" s="93"/>
      <c r="G24" s="93">
        <v>1</v>
      </c>
      <c r="H24" s="93">
        <v>0</v>
      </c>
      <c r="I24" s="93"/>
      <c r="J24" s="93"/>
      <c r="K24" s="93"/>
      <c r="L24" s="93"/>
      <c r="M24" s="93"/>
      <c r="N24" s="93" t="s">
        <v>732</v>
      </c>
      <c r="P24" s="87" t="s">
        <v>410</v>
      </c>
      <c r="Q24" s="80">
        <f t="shared" ref="Q24:AC24" si="23">VLOOKUP($P24,$A:$N,B$1,0)</f>
        <v>0</v>
      </c>
      <c r="R24" s="80">
        <f t="shared" si="23"/>
        <v>0</v>
      </c>
      <c r="S24" s="80">
        <f t="shared" si="23"/>
        <v>0</v>
      </c>
      <c r="T24" s="80">
        <f t="shared" si="23"/>
        <v>0</v>
      </c>
      <c r="U24" s="80">
        <f t="shared" si="23"/>
        <v>0</v>
      </c>
      <c r="V24" s="80">
        <f t="shared" si="23"/>
        <v>3</v>
      </c>
      <c r="W24" s="80">
        <f t="shared" si="23"/>
        <v>0</v>
      </c>
      <c r="X24" s="80">
        <f t="shared" si="23"/>
        <v>0</v>
      </c>
      <c r="Y24" s="80">
        <f t="shared" si="23"/>
        <v>0</v>
      </c>
      <c r="Z24" s="80">
        <f t="shared" si="23"/>
        <v>0</v>
      </c>
      <c r="AA24" s="80">
        <f t="shared" si="23"/>
        <v>0</v>
      </c>
      <c r="AB24" s="80">
        <f t="shared" si="23"/>
        <v>0</v>
      </c>
      <c r="AC24" s="80" t="str">
        <f t="shared" si="23"/>
        <v>年假3天</v>
      </c>
      <c r="AE24" s="88">
        <v>0</v>
      </c>
      <c r="AF24" s="79">
        <v>0</v>
      </c>
      <c r="AG24" s="85">
        <v>0</v>
      </c>
      <c r="AH24" s="89">
        <v>0</v>
      </c>
      <c r="AI24" s="90">
        <v>0</v>
      </c>
      <c r="AJ24" s="88">
        <v>3</v>
      </c>
      <c r="AK24" s="79">
        <v>0</v>
      </c>
      <c r="AL24" s="91">
        <v>0</v>
      </c>
      <c r="AM24" s="91">
        <v>0</v>
      </c>
      <c r="AN24" s="91">
        <v>0</v>
      </c>
      <c r="AO24" s="85">
        <v>0</v>
      </c>
      <c r="AP24" s="92">
        <v>0</v>
      </c>
      <c r="AQ24" s="92" t="s">
        <v>725</v>
      </c>
    </row>
    <row r="25" spans="1:43">
      <c r="A25" s="93" t="s">
        <v>306</v>
      </c>
      <c r="B25" s="2"/>
      <c r="C25" s="2"/>
      <c r="D25" s="93">
        <v>0</v>
      </c>
      <c r="E25" s="93">
        <v>0</v>
      </c>
      <c r="F25" s="93"/>
      <c r="G25" s="93">
        <v>0</v>
      </c>
      <c r="H25" s="93">
        <v>0</v>
      </c>
      <c r="I25" s="93"/>
      <c r="J25" s="93"/>
      <c r="K25" s="93"/>
      <c r="L25" s="93"/>
      <c r="M25" s="93"/>
      <c r="N25" s="93"/>
      <c r="P25" s="87" t="s">
        <v>316</v>
      </c>
      <c r="Q25" s="80">
        <f t="shared" ref="Q25:AC25" si="24">VLOOKUP($P25,$A:$N,B$1,0)</f>
        <v>0</v>
      </c>
      <c r="R25" s="80">
        <f t="shared" si="24"/>
        <v>0</v>
      </c>
      <c r="S25" s="80">
        <f t="shared" si="24"/>
        <v>0</v>
      </c>
      <c r="T25" s="80">
        <f t="shared" si="24"/>
        <v>0</v>
      </c>
      <c r="U25" s="80">
        <f t="shared" si="24"/>
        <v>0</v>
      </c>
      <c r="V25" s="80">
        <f t="shared" si="24"/>
        <v>0</v>
      </c>
      <c r="W25" s="80">
        <f t="shared" si="24"/>
        <v>0</v>
      </c>
      <c r="X25" s="80">
        <f t="shared" si="24"/>
        <v>0</v>
      </c>
      <c r="Y25" s="80">
        <f t="shared" si="24"/>
        <v>0</v>
      </c>
      <c r="Z25" s="80">
        <f t="shared" si="24"/>
        <v>0</v>
      </c>
      <c r="AA25" s="80">
        <f t="shared" si="24"/>
        <v>0</v>
      </c>
      <c r="AB25" s="80">
        <f t="shared" si="24"/>
        <v>0</v>
      </c>
      <c r="AC25" s="80">
        <f t="shared" si="24"/>
        <v>0</v>
      </c>
      <c r="AE25" s="88">
        <v>0</v>
      </c>
      <c r="AF25" s="79">
        <v>0</v>
      </c>
      <c r="AG25" s="85">
        <v>0</v>
      </c>
      <c r="AH25" s="89">
        <v>0</v>
      </c>
      <c r="AI25" s="90">
        <v>0</v>
      </c>
      <c r="AJ25" s="88">
        <v>0</v>
      </c>
      <c r="AK25" s="79">
        <v>0</v>
      </c>
      <c r="AL25" s="91">
        <v>0</v>
      </c>
      <c r="AM25" s="91">
        <v>0</v>
      </c>
      <c r="AN25" s="91">
        <v>0</v>
      </c>
      <c r="AO25" s="85">
        <v>0</v>
      </c>
      <c r="AP25" s="92">
        <v>0</v>
      </c>
      <c r="AQ25" s="92">
        <v>0</v>
      </c>
    </row>
    <row r="26" spans="1:43">
      <c r="A26" s="93" t="s">
        <v>307</v>
      </c>
      <c r="B26" s="2"/>
      <c r="C26" s="2"/>
      <c r="D26" s="93">
        <v>0</v>
      </c>
      <c r="E26" s="93">
        <v>0</v>
      </c>
      <c r="F26" s="93"/>
      <c r="G26" s="93">
        <v>1</v>
      </c>
      <c r="H26" s="93">
        <v>0</v>
      </c>
      <c r="I26" s="93"/>
      <c r="J26" s="93"/>
      <c r="K26" s="93"/>
      <c r="L26" s="93"/>
      <c r="M26" s="93"/>
      <c r="N26" s="93" t="s">
        <v>726</v>
      </c>
      <c r="P26" s="87" t="s">
        <v>324</v>
      </c>
      <c r="Q26" s="80">
        <f t="shared" ref="Q26:AC26" si="25">VLOOKUP($P26,$A:$N,B$1,0)</f>
        <v>0</v>
      </c>
      <c r="R26" s="80">
        <f t="shared" si="25"/>
        <v>0</v>
      </c>
      <c r="S26" s="80">
        <f t="shared" si="25"/>
        <v>2</v>
      </c>
      <c r="T26" s="80">
        <f t="shared" si="25"/>
        <v>0</v>
      </c>
      <c r="U26" s="80">
        <f t="shared" si="25"/>
        <v>0</v>
      </c>
      <c r="V26" s="80">
        <f t="shared" si="25"/>
        <v>0</v>
      </c>
      <c r="W26" s="80">
        <f t="shared" si="25"/>
        <v>0</v>
      </c>
      <c r="X26" s="80">
        <f t="shared" si="25"/>
        <v>0</v>
      </c>
      <c r="Y26" s="80">
        <f t="shared" si="25"/>
        <v>0</v>
      </c>
      <c r="Z26" s="80">
        <f t="shared" si="25"/>
        <v>0</v>
      </c>
      <c r="AA26" s="80">
        <f t="shared" si="25"/>
        <v>0</v>
      </c>
      <c r="AB26" s="80">
        <f t="shared" si="25"/>
        <v>0</v>
      </c>
      <c r="AC26" s="80" t="str">
        <f t="shared" si="25"/>
        <v>病假2天</v>
      </c>
      <c r="AE26" s="88">
        <v>0</v>
      </c>
      <c r="AF26" s="79">
        <v>0</v>
      </c>
      <c r="AG26" s="85">
        <v>2</v>
      </c>
      <c r="AH26" s="89">
        <v>0</v>
      </c>
      <c r="AI26" s="90">
        <v>0</v>
      </c>
      <c r="AJ26" s="88">
        <v>0</v>
      </c>
      <c r="AK26" s="79">
        <v>0</v>
      </c>
      <c r="AL26" s="91">
        <v>0</v>
      </c>
      <c r="AM26" s="91">
        <v>0</v>
      </c>
      <c r="AN26" s="91">
        <v>0</v>
      </c>
      <c r="AO26" s="85">
        <v>0</v>
      </c>
      <c r="AP26" s="92">
        <v>0</v>
      </c>
      <c r="AQ26" s="92" t="s">
        <v>727</v>
      </c>
    </row>
    <row r="27" spans="1:43">
      <c r="A27" s="93" t="s">
        <v>326</v>
      </c>
      <c r="B27" s="2"/>
      <c r="C27" s="2"/>
      <c r="D27" s="93">
        <v>0</v>
      </c>
      <c r="E27" s="93">
        <v>0</v>
      </c>
      <c r="F27" s="93"/>
      <c r="G27" s="93">
        <v>0</v>
      </c>
      <c r="H27" s="93">
        <v>0</v>
      </c>
      <c r="I27" s="93"/>
      <c r="J27" s="93"/>
      <c r="K27" s="93"/>
      <c r="L27" s="93"/>
      <c r="M27" s="93"/>
      <c r="N27" s="93"/>
      <c r="P27" s="87" t="s">
        <v>339</v>
      </c>
      <c r="Q27" s="80">
        <f t="shared" ref="Q27:AC27" si="26">VLOOKUP($P27,$A:$N,B$1,0)</f>
        <v>0</v>
      </c>
      <c r="R27" s="80">
        <f t="shared" si="26"/>
        <v>0</v>
      </c>
      <c r="S27" s="80">
        <f t="shared" si="26"/>
        <v>1</v>
      </c>
      <c r="T27" s="80">
        <f t="shared" si="26"/>
        <v>0</v>
      </c>
      <c r="U27" s="80">
        <f t="shared" si="26"/>
        <v>0</v>
      </c>
      <c r="V27" s="80">
        <f t="shared" si="26"/>
        <v>0</v>
      </c>
      <c r="W27" s="80">
        <f t="shared" si="26"/>
        <v>0</v>
      </c>
      <c r="X27" s="80">
        <f t="shared" si="26"/>
        <v>0</v>
      </c>
      <c r="Y27" s="80">
        <f t="shared" si="26"/>
        <v>0</v>
      </c>
      <c r="Z27" s="80">
        <f t="shared" si="26"/>
        <v>0</v>
      </c>
      <c r="AA27" s="80">
        <f t="shared" si="26"/>
        <v>0</v>
      </c>
      <c r="AB27" s="80">
        <f t="shared" si="26"/>
        <v>0</v>
      </c>
      <c r="AC27" s="80" t="str">
        <f t="shared" si="26"/>
        <v>病假1天</v>
      </c>
      <c r="AE27" s="88">
        <v>0</v>
      </c>
      <c r="AF27" s="79">
        <v>0</v>
      </c>
      <c r="AG27" s="85">
        <v>1</v>
      </c>
      <c r="AH27" s="89">
        <v>0</v>
      </c>
      <c r="AI27" s="90">
        <v>0</v>
      </c>
      <c r="AJ27" s="88">
        <v>0</v>
      </c>
      <c r="AK27" s="79">
        <v>0</v>
      </c>
      <c r="AL27" s="91">
        <v>0</v>
      </c>
      <c r="AM27" s="91">
        <v>0</v>
      </c>
      <c r="AN27" s="91">
        <v>0</v>
      </c>
      <c r="AO27" s="85">
        <v>0</v>
      </c>
      <c r="AP27" s="92">
        <v>0</v>
      </c>
      <c r="AQ27" s="92" t="s">
        <v>728</v>
      </c>
    </row>
    <row r="28" spans="1:43">
      <c r="A28" s="93" t="s">
        <v>316</v>
      </c>
      <c r="B28" s="2"/>
      <c r="C28" s="2"/>
      <c r="D28" s="93">
        <v>0</v>
      </c>
      <c r="E28" s="93">
        <v>0</v>
      </c>
      <c r="F28" s="93"/>
      <c r="G28" s="93">
        <v>0</v>
      </c>
      <c r="H28" s="93">
        <v>0</v>
      </c>
      <c r="I28" s="93"/>
      <c r="J28" s="93"/>
      <c r="K28" s="93"/>
      <c r="L28" s="93"/>
      <c r="M28" s="93"/>
      <c r="N28" s="93"/>
      <c r="P28" s="87" t="s">
        <v>569</v>
      </c>
      <c r="Q28" s="80">
        <f t="shared" ref="Q28:AC28" si="27">VLOOKUP($P28,$A:$N,B$1,0)</f>
        <v>0</v>
      </c>
      <c r="R28" s="80">
        <f t="shared" si="27"/>
        <v>0</v>
      </c>
      <c r="S28" s="80">
        <f t="shared" si="27"/>
        <v>19.5</v>
      </c>
      <c r="T28" s="80">
        <f t="shared" si="27"/>
        <v>0</v>
      </c>
      <c r="U28" s="80">
        <f t="shared" si="27"/>
        <v>0</v>
      </c>
      <c r="V28" s="80">
        <f t="shared" si="27"/>
        <v>0</v>
      </c>
      <c r="W28" s="80">
        <f t="shared" si="27"/>
        <v>0</v>
      </c>
      <c r="X28" s="80">
        <f t="shared" si="27"/>
        <v>0</v>
      </c>
      <c r="Y28" s="80">
        <f t="shared" si="27"/>
        <v>0</v>
      </c>
      <c r="Z28" s="80">
        <f t="shared" si="27"/>
        <v>0</v>
      </c>
      <c r="AA28" s="80">
        <f t="shared" si="27"/>
        <v>0</v>
      </c>
      <c r="AB28" s="80">
        <f t="shared" si="27"/>
        <v>0</v>
      </c>
      <c r="AC28" s="80" t="str">
        <f t="shared" si="27"/>
        <v>病假19.5天</v>
      </c>
      <c r="AE28" s="88">
        <v>0</v>
      </c>
      <c r="AF28" s="79">
        <v>0</v>
      </c>
      <c r="AG28" s="85">
        <v>19.5</v>
      </c>
      <c r="AH28" s="89">
        <v>0</v>
      </c>
      <c r="AI28" s="90">
        <v>0</v>
      </c>
      <c r="AJ28" s="88">
        <v>0</v>
      </c>
      <c r="AK28" s="79">
        <v>0</v>
      </c>
      <c r="AL28" s="91">
        <v>0</v>
      </c>
      <c r="AM28" s="91">
        <v>0</v>
      </c>
      <c r="AN28" s="91">
        <v>0</v>
      </c>
      <c r="AO28" s="85">
        <v>0</v>
      </c>
      <c r="AP28" s="92">
        <v>0</v>
      </c>
      <c r="AQ28" s="92" t="s">
        <v>729</v>
      </c>
    </row>
    <row r="29" spans="1:43">
      <c r="A29" s="93" t="s">
        <v>453</v>
      </c>
      <c r="B29" s="2"/>
      <c r="C29" s="2"/>
      <c r="D29" s="93">
        <v>0</v>
      </c>
      <c r="E29" s="93">
        <v>0</v>
      </c>
      <c r="F29" s="93"/>
      <c r="G29" s="93">
        <v>1</v>
      </c>
      <c r="H29" s="93">
        <v>0</v>
      </c>
      <c r="I29" s="93"/>
      <c r="J29" s="93"/>
      <c r="K29" s="93"/>
      <c r="L29" s="93"/>
      <c r="M29" s="93"/>
      <c r="N29" s="93" t="s">
        <v>726</v>
      </c>
      <c r="P29" s="87" t="s">
        <v>343</v>
      </c>
      <c r="Q29" s="80">
        <f t="shared" ref="Q29:AC29" si="28">VLOOKUP($P29,$A:$N,B$1,0)</f>
        <v>0</v>
      </c>
      <c r="R29" s="80">
        <f t="shared" si="28"/>
        <v>0</v>
      </c>
      <c r="S29" s="80">
        <f t="shared" si="28"/>
        <v>0</v>
      </c>
      <c r="T29" s="80">
        <f t="shared" si="28"/>
        <v>0</v>
      </c>
      <c r="U29" s="80">
        <f t="shared" si="28"/>
        <v>0</v>
      </c>
      <c r="V29" s="80">
        <f t="shared" si="28"/>
        <v>2</v>
      </c>
      <c r="W29" s="80">
        <f t="shared" si="28"/>
        <v>0</v>
      </c>
      <c r="X29" s="80">
        <f t="shared" si="28"/>
        <v>0</v>
      </c>
      <c r="Y29" s="80">
        <f t="shared" si="28"/>
        <v>0</v>
      </c>
      <c r="Z29" s="80">
        <f t="shared" si="28"/>
        <v>0</v>
      </c>
      <c r="AA29" s="80">
        <f t="shared" si="28"/>
        <v>0</v>
      </c>
      <c r="AB29" s="80">
        <f t="shared" si="28"/>
        <v>0</v>
      </c>
      <c r="AC29" s="80" t="str">
        <f t="shared" si="28"/>
        <v>年假2天</v>
      </c>
      <c r="AE29" s="88">
        <v>0</v>
      </c>
      <c r="AF29" s="79">
        <v>0</v>
      </c>
      <c r="AG29" s="85">
        <v>0</v>
      </c>
      <c r="AH29" s="89">
        <v>0</v>
      </c>
      <c r="AI29" s="90">
        <v>0</v>
      </c>
      <c r="AJ29" s="88">
        <v>2</v>
      </c>
      <c r="AK29" s="79">
        <v>0</v>
      </c>
      <c r="AL29" s="91">
        <v>0</v>
      </c>
      <c r="AM29" s="91">
        <v>0</v>
      </c>
      <c r="AN29" s="91">
        <v>0</v>
      </c>
      <c r="AO29" s="85">
        <v>0</v>
      </c>
      <c r="AP29" s="92">
        <v>0</v>
      </c>
      <c r="AQ29" s="92" t="s">
        <v>730</v>
      </c>
    </row>
    <row r="30" spans="1:43">
      <c r="A30" s="93" t="s">
        <v>262</v>
      </c>
      <c r="B30" s="2"/>
      <c r="C30" s="2"/>
      <c r="D30" s="93">
        <v>0</v>
      </c>
      <c r="E30" s="93">
        <v>0</v>
      </c>
      <c r="F30" s="93"/>
      <c r="G30" s="93">
        <v>0</v>
      </c>
      <c r="H30" s="93">
        <v>0</v>
      </c>
      <c r="I30" s="93"/>
      <c r="J30" s="93"/>
      <c r="K30" s="93"/>
      <c r="L30" s="93"/>
      <c r="M30" s="93"/>
      <c r="N30" s="93"/>
      <c r="P30" s="87" t="s">
        <v>387</v>
      </c>
      <c r="Q30" s="80">
        <f t="shared" ref="Q30:AC30" si="29">VLOOKUP($P30,$A:$N,B$1,0)</f>
        <v>0</v>
      </c>
      <c r="R30" s="80">
        <f t="shared" si="29"/>
        <v>0</v>
      </c>
      <c r="S30" s="80">
        <f t="shared" si="29"/>
        <v>0</v>
      </c>
      <c r="T30" s="80">
        <f t="shared" si="29"/>
        <v>0</v>
      </c>
      <c r="U30" s="80">
        <f t="shared" si="29"/>
        <v>0</v>
      </c>
      <c r="V30" s="80">
        <f t="shared" si="29"/>
        <v>0</v>
      </c>
      <c r="W30" s="80">
        <f t="shared" si="29"/>
        <v>0.5</v>
      </c>
      <c r="X30" s="80">
        <f t="shared" si="29"/>
        <v>0</v>
      </c>
      <c r="Y30" s="80">
        <f t="shared" si="29"/>
        <v>0</v>
      </c>
      <c r="Z30" s="80">
        <f t="shared" si="29"/>
        <v>0</v>
      </c>
      <c r="AA30" s="80">
        <f t="shared" si="29"/>
        <v>0</v>
      </c>
      <c r="AB30" s="80">
        <f t="shared" si="29"/>
        <v>0</v>
      </c>
      <c r="AC30" s="80" t="str">
        <f t="shared" si="29"/>
        <v>调休0.5天</v>
      </c>
      <c r="AE30" s="88">
        <v>0</v>
      </c>
      <c r="AF30" s="79">
        <v>0</v>
      </c>
      <c r="AG30" s="85">
        <v>0</v>
      </c>
      <c r="AH30" s="89">
        <v>0</v>
      </c>
      <c r="AI30" s="90">
        <v>0</v>
      </c>
      <c r="AJ30" s="88">
        <v>0</v>
      </c>
      <c r="AK30" s="79">
        <v>0.5</v>
      </c>
      <c r="AL30" s="91">
        <v>0</v>
      </c>
      <c r="AM30" s="91">
        <v>0</v>
      </c>
      <c r="AN30" s="91">
        <v>0</v>
      </c>
      <c r="AO30" s="85">
        <v>0</v>
      </c>
      <c r="AP30" s="92">
        <v>0</v>
      </c>
      <c r="AQ30" s="92" t="s">
        <v>731</v>
      </c>
    </row>
    <row r="31" spans="1:43">
      <c r="A31" s="93" t="s">
        <v>339</v>
      </c>
      <c r="B31" s="2"/>
      <c r="C31" s="2"/>
      <c r="D31" s="93">
        <v>1</v>
      </c>
      <c r="E31" s="93">
        <v>0</v>
      </c>
      <c r="F31" s="93"/>
      <c r="G31" s="93">
        <v>0</v>
      </c>
      <c r="H31" s="93">
        <v>0</v>
      </c>
      <c r="I31" s="93"/>
      <c r="J31" s="93"/>
      <c r="K31" s="93"/>
      <c r="L31" s="93"/>
      <c r="M31" s="93"/>
      <c r="N31" s="93" t="s">
        <v>728</v>
      </c>
      <c r="P31" s="87" t="s">
        <v>320</v>
      </c>
      <c r="Q31" s="80">
        <f t="shared" ref="Q31:AC31" si="30">VLOOKUP($P31,$A:$N,B$1,0)</f>
        <v>0</v>
      </c>
      <c r="R31" s="80">
        <f t="shared" si="30"/>
        <v>0</v>
      </c>
      <c r="S31" s="80">
        <f t="shared" si="30"/>
        <v>0</v>
      </c>
      <c r="T31" s="80">
        <f t="shared" si="30"/>
        <v>0</v>
      </c>
      <c r="U31" s="80">
        <f t="shared" si="30"/>
        <v>0</v>
      </c>
      <c r="V31" s="80">
        <f t="shared" si="30"/>
        <v>0</v>
      </c>
      <c r="W31" s="80">
        <f t="shared" si="30"/>
        <v>0</v>
      </c>
      <c r="X31" s="80">
        <f t="shared" si="30"/>
        <v>0</v>
      </c>
      <c r="Y31" s="80">
        <f t="shared" si="30"/>
        <v>0</v>
      </c>
      <c r="Z31" s="80">
        <f t="shared" si="30"/>
        <v>0</v>
      </c>
      <c r="AA31" s="80">
        <f t="shared" si="30"/>
        <v>0</v>
      </c>
      <c r="AB31" s="80">
        <f t="shared" si="30"/>
        <v>0</v>
      </c>
      <c r="AC31" s="80">
        <f t="shared" si="30"/>
        <v>0</v>
      </c>
      <c r="AE31" s="88">
        <v>0</v>
      </c>
      <c r="AF31" s="79">
        <v>0</v>
      </c>
      <c r="AG31" s="85">
        <v>0</v>
      </c>
      <c r="AH31" s="89">
        <v>0</v>
      </c>
      <c r="AI31" s="90">
        <v>0</v>
      </c>
      <c r="AJ31" s="88">
        <v>0</v>
      </c>
      <c r="AK31" s="79">
        <v>0</v>
      </c>
      <c r="AL31" s="91">
        <v>0</v>
      </c>
      <c r="AM31" s="91">
        <v>0</v>
      </c>
      <c r="AN31" s="91">
        <v>0</v>
      </c>
      <c r="AO31" s="85">
        <v>0</v>
      </c>
      <c r="AP31" s="92">
        <v>0</v>
      </c>
      <c r="AQ31" s="92">
        <v>0</v>
      </c>
    </row>
    <row r="32" spans="1:43">
      <c r="A32" s="93" t="s">
        <v>324</v>
      </c>
      <c r="B32" s="2"/>
      <c r="C32" s="2"/>
      <c r="D32" s="93">
        <v>2</v>
      </c>
      <c r="E32" s="93">
        <v>0</v>
      </c>
      <c r="F32" s="93"/>
      <c r="G32" s="93">
        <v>0</v>
      </c>
      <c r="H32" s="93">
        <v>0</v>
      </c>
      <c r="I32" s="93"/>
      <c r="J32" s="93"/>
      <c r="K32" s="93"/>
      <c r="L32" s="93"/>
      <c r="M32" s="93"/>
      <c r="N32" s="93" t="s">
        <v>727</v>
      </c>
      <c r="P32" s="87" t="s">
        <v>525</v>
      </c>
      <c r="Q32" s="80">
        <f t="shared" ref="Q32:AC32" si="31">VLOOKUP($P32,$A:$N,B$1,0)</f>
        <v>0</v>
      </c>
      <c r="R32" s="80">
        <f t="shared" si="31"/>
        <v>0</v>
      </c>
      <c r="S32" s="80">
        <f t="shared" si="31"/>
        <v>0</v>
      </c>
      <c r="T32" s="80">
        <f t="shared" si="31"/>
        <v>0</v>
      </c>
      <c r="U32" s="80">
        <f t="shared" si="31"/>
        <v>0</v>
      </c>
      <c r="V32" s="80">
        <f t="shared" si="31"/>
        <v>3</v>
      </c>
      <c r="W32" s="80">
        <f t="shared" si="31"/>
        <v>0</v>
      </c>
      <c r="X32" s="80">
        <f t="shared" si="31"/>
        <v>0</v>
      </c>
      <c r="Y32" s="80">
        <f t="shared" si="31"/>
        <v>0</v>
      </c>
      <c r="Z32" s="80">
        <f t="shared" si="31"/>
        <v>0</v>
      </c>
      <c r="AA32" s="80">
        <f t="shared" si="31"/>
        <v>0</v>
      </c>
      <c r="AB32" s="80">
        <f t="shared" si="31"/>
        <v>0</v>
      </c>
      <c r="AC32" s="80" t="str">
        <f t="shared" si="31"/>
        <v>年假3天</v>
      </c>
      <c r="AE32" s="88">
        <v>0</v>
      </c>
      <c r="AF32" s="79">
        <v>0</v>
      </c>
      <c r="AG32" s="85">
        <v>0</v>
      </c>
      <c r="AH32" s="89">
        <v>0</v>
      </c>
      <c r="AI32" s="90">
        <v>0</v>
      </c>
      <c r="AJ32" s="88">
        <v>3</v>
      </c>
      <c r="AK32" s="79">
        <v>0</v>
      </c>
      <c r="AL32" s="91">
        <v>0</v>
      </c>
      <c r="AM32" s="91">
        <v>0</v>
      </c>
      <c r="AN32" s="91">
        <v>0</v>
      </c>
      <c r="AO32" s="85">
        <v>0</v>
      </c>
      <c r="AP32" s="92">
        <v>0</v>
      </c>
      <c r="AQ32" s="92" t="s">
        <v>725</v>
      </c>
    </row>
    <row r="33" spans="1:43">
      <c r="A33" s="93" t="s">
        <v>446</v>
      </c>
      <c r="B33" s="2"/>
      <c r="C33" s="2"/>
      <c r="D33" s="93">
        <v>0</v>
      </c>
      <c r="E33" s="93">
        <v>0</v>
      </c>
      <c r="F33" s="93"/>
      <c r="G33" s="93">
        <v>0</v>
      </c>
      <c r="H33" s="93">
        <v>0</v>
      </c>
      <c r="I33" s="93"/>
      <c r="J33" s="93"/>
      <c r="K33" s="93"/>
      <c r="L33" s="93"/>
      <c r="M33" s="93"/>
      <c r="N33" s="93"/>
      <c r="P33" s="87" t="s">
        <v>520</v>
      </c>
      <c r="Q33" s="80">
        <f t="shared" ref="Q33:AC33" si="32">VLOOKUP($P33,$A:$N,B$1,0)</f>
        <v>0</v>
      </c>
      <c r="R33" s="80">
        <f t="shared" si="32"/>
        <v>0</v>
      </c>
      <c r="S33" s="80">
        <f t="shared" si="32"/>
        <v>0</v>
      </c>
      <c r="T33" s="80">
        <f t="shared" si="32"/>
        <v>0</v>
      </c>
      <c r="U33" s="80">
        <f t="shared" si="32"/>
        <v>0</v>
      </c>
      <c r="V33" s="80">
        <f t="shared" si="32"/>
        <v>0</v>
      </c>
      <c r="W33" s="80">
        <f t="shared" si="32"/>
        <v>0</v>
      </c>
      <c r="X33" s="80">
        <f t="shared" si="32"/>
        <v>0</v>
      </c>
      <c r="Y33" s="80">
        <f t="shared" si="32"/>
        <v>0</v>
      </c>
      <c r="Z33" s="80">
        <f t="shared" si="32"/>
        <v>0</v>
      </c>
      <c r="AA33" s="80">
        <f t="shared" si="32"/>
        <v>0</v>
      </c>
      <c r="AB33" s="80">
        <f t="shared" si="32"/>
        <v>0</v>
      </c>
      <c r="AC33" s="80">
        <f t="shared" si="32"/>
        <v>0</v>
      </c>
      <c r="AE33" s="88">
        <v>0</v>
      </c>
      <c r="AF33" s="79">
        <v>0</v>
      </c>
      <c r="AG33" s="85">
        <v>0</v>
      </c>
      <c r="AH33" s="89">
        <v>0</v>
      </c>
      <c r="AI33" s="90">
        <v>0</v>
      </c>
      <c r="AJ33" s="88">
        <v>0</v>
      </c>
      <c r="AK33" s="79">
        <v>0</v>
      </c>
      <c r="AL33" s="91">
        <v>0</v>
      </c>
      <c r="AM33" s="91">
        <v>0</v>
      </c>
      <c r="AN33" s="91">
        <v>0</v>
      </c>
      <c r="AO33" s="85">
        <v>0</v>
      </c>
      <c r="AP33" s="92">
        <v>0</v>
      </c>
      <c r="AQ33" s="92">
        <v>0</v>
      </c>
    </row>
    <row r="34" spans="1:43">
      <c r="A34" s="93" t="s">
        <v>545</v>
      </c>
      <c r="B34" s="2"/>
      <c r="C34" s="2"/>
      <c r="D34" s="93">
        <v>0</v>
      </c>
      <c r="E34" s="93">
        <v>1</v>
      </c>
      <c r="F34" s="93"/>
      <c r="G34" s="93">
        <v>1</v>
      </c>
      <c r="H34" s="93">
        <v>0</v>
      </c>
      <c r="I34" s="93"/>
      <c r="J34" s="93"/>
      <c r="K34" s="93"/>
      <c r="L34" s="93"/>
      <c r="M34" s="93"/>
      <c r="N34" s="93" t="s">
        <v>742</v>
      </c>
      <c r="P34" s="87" t="s">
        <v>357</v>
      </c>
      <c r="Q34" s="80">
        <f t="shared" ref="Q34:AC34" si="33">VLOOKUP($P34,$A:$N,B$1,0)</f>
        <v>0</v>
      </c>
      <c r="R34" s="80">
        <f t="shared" si="33"/>
        <v>0</v>
      </c>
      <c r="S34" s="80">
        <f t="shared" si="33"/>
        <v>1</v>
      </c>
      <c r="T34" s="80">
        <f t="shared" si="33"/>
        <v>0</v>
      </c>
      <c r="U34" s="80">
        <f t="shared" si="33"/>
        <v>0</v>
      </c>
      <c r="V34" s="80">
        <f t="shared" si="33"/>
        <v>1</v>
      </c>
      <c r="W34" s="80">
        <f t="shared" si="33"/>
        <v>0</v>
      </c>
      <c r="X34" s="80">
        <f t="shared" si="33"/>
        <v>0</v>
      </c>
      <c r="Y34" s="80">
        <f t="shared" si="33"/>
        <v>0</v>
      </c>
      <c r="Z34" s="80">
        <f t="shared" si="33"/>
        <v>0</v>
      </c>
      <c r="AA34" s="80">
        <f t="shared" si="33"/>
        <v>0</v>
      </c>
      <c r="AB34" s="80">
        <f t="shared" si="33"/>
        <v>0</v>
      </c>
      <c r="AC34" s="80" t="str">
        <f t="shared" si="33"/>
        <v>病假1天，年假1天</v>
      </c>
      <c r="AE34" s="88">
        <v>0</v>
      </c>
      <c r="AF34" s="79">
        <v>0</v>
      </c>
      <c r="AG34" s="85">
        <v>1</v>
      </c>
      <c r="AH34" s="89">
        <v>0</v>
      </c>
      <c r="AI34" s="90">
        <v>0</v>
      </c>
      <c r="AJ34" s="88">
        <v>1</v>
      </c>
      <c r="AK34" s="79">
        <v>0</v>
      </c>
      <c r="AL34" s="91">
        <v>0</v>
      </c>
      <c r="AM34" s="91">
        <v>0</v>
      </c>
      <c r="AN34" s="91">
        <v>0</v>
      </c>
      <c r="AO34" s="85">
        <v>0</v>
      </c>
      <c r="AP34" s="92">
        <v>0</v>
      </c>
      <c r="AQ34" s="92" t="s">
        <v>732</v>
      </c>
    </row>
    <row r="35" spans="1:43">
      <c r="A35" s="93" t="s">
        <v>451</v>
      </c>
      <c r="B35" s="2"/>
      <c r="C35" s="2"/>
      <c r="D35" s="93">
        <v>0</v>
      </c>
      <c r="E35" s="93">
        <v>0</v>
      </c>
      <c r="F35" s="93"/>
      <c r="G35" s="93">
        <v>0</v>
      </c>
      <c r="H35" s="93">
        <v>0</v>
      </c>
      <c r="I35" s="93"/>
      <c r="J35" s="93"/>
      <c r="K35" s="93"/>
      <c r="L35" s="93"/>
      <c r="M35" s="93"/>
      <c r="N35" s="93"/>
      <c r="P35" s="87" t="s">
        <v>375</v>
      </c>
      <c r="Q35" s="80" t="e">
        <f t="shared" ref="Q35:AC35" si="34">VLOOKUP($P35,$A:$N,B$1,0)</f>
        <v>#N/A</v>
      </c>
      <c r="R35" s="80" t="e">
        <f t="shared" si="34"/>
        <v>#N/A</v>
      </c>
      <c r="S35" s="80" t="e">
        <f t="shared" si="34"/>
        <v>#N/A</v>
      </c>
      <c r="T35" s="80" t="e">
        <f t="shared" si="34"/>
        <v>#N/A</v>
      </c>
      <c r="U35" s="80" t="e">
        <f t="shared" si="34"/>
        <v>#N/A</v>
      </c>
      <c r="V35" s="80" t="e">
        <f t="shared" si="34"/>
        <v>#N/A</v>
      </c>
      <c r="W35" s="80" t="e">
        <f t="shared" si="34"/>
        <v>#N/A</v>
      </c>
      <c r="X35" s="80" t="e">
        <f t="shared" si="34"/>
        <v>#N/A</v>
      </c>
      <c r="Y35" s="80" t="e">
        <f t="shared" si="34"/>
        <v>#N/A</v>
      </c>
      <c r="Z35" s="80" t="e">
        <f t="shared" si="34"/>
        <v>#N/A</v>
      </c>
      <c r="AA35" s="80" t="e">
        <f t="shared" si="34"/>
        <v>#N/A</v>
      </c>
      <c r="AB35" s="80" t="e">
        <f t="shared" si="34"/>
        <v>#N/A</v>
      </c>
      <c r="AC35" s="80" t="e">
        <f t="shared" si="34"/>
        <v>#N/A</v>
      </c>
      <c r="AE35" s="88"/>
      <c r="AF35" s="79"/>
      <c r="AG35" s="85"/>
      <c r="AH35" s="89"/>
      <c r="AI35" s="90"/>
      <c r="AJ35" s="88"/>
      <c r="AK35" s="79"/>
      <c r="AL35" s="91"/>
      <c r="AM35" s="91"/>
      <c r="AN35" s="91"/>
      <c r="AO35" s="85"/>
      <c r="AP35" s="92"/>
      <c r="AQ35" s="92"/>
    </row>
    <row r="36" spans="1:43">
      <c r="A36" s="93" t="s">
        <v>447</v>
      </c>
      <c r="B36" s="2"/>
      <c r="C36" s="2"/>
      <c r="D36" s="93">
        <v>0</v>
      </c>
      <c r="E36" s="93">
        <v>0</v>
      </c>
      <c r="F36" s="93"/>
      <c r="G36" s="93">
        <v>0</v>
      </c>
      <c r="H36" s="93">
        <v>0</v>
      </c>
      <c r="I36" s="93"/>
      <c r="J36" s="93"/>
      <c r="K36" s="93"/>
      <c r="L36" s="93"/>
      <c r="M36" s="93"/>
      <c r="N36" s="93"/>
      <c r="P36" s="87" t="s">
        <v>389</v>
      </c>
      <c r="Q36" s="80">
        <f t="shared" ref="Q36:AC36" si="35">VLOOKUP($P36,$A:$N,B$1,0)</f>
        <v>0</v>
      </c>
      <c r="R36" s="80">
        <f t="shared" si="35"/>
        <v>0</v>
      </c>
      <c r="S36" s="80">
        <f t="shared" si="35"/>
        <v>0</v>
      </c>
      <c r="T36" s="80">
        <f t="shared" si="35"/>
        <v>0</v>
      </c>
      <c r="U36" s="80">
        <f t="shared" si="35"/>
        <v>0</v>
      </c>
      <c r="V36" s="80">
        <f t="shared" si="35"/>
        <v>0</v>
      </c>
      <c r="W36" s="80">
        <f t="shared" si="35"/>
        <v>0</v>
      </c>
      <c r="X36" s="80">
        <f t="shared" si="35"/>
        <v>0</v>
      </c>
      <c r="Y36" s="80">
        <f t="shared" si="35"/>
        <v>0</v>
      </c>
      <c r="Z36" s="80">
        <f t="shared" si="35"/>
        <v>0</v>
      </c>
      <c r="AA36" s="80">
        <f t="shared" si="35"/>
        <v>0</v>
      </c>
      <c r="AB36" s="80">
        <f t="shared" si="35"/>
        <v>0</v>
      </c>
      <c r="AC36" s="80" t="str">
        <f t="shared" si="35"/>
        <v>加班63小时算工资</v>
      </c>
      <c r="AE36" s="88">
        <v>0</v>
      </c>
      <c r="AF36" s="79">
        <v>0</v>
      </c>
      <c r="AG36" s="85">
        <v>0</v>
      </c>
      <c r="AH36" s="89">
        <v>0</v>
      </c>
      <c r="AI36" s="90">
        <v>0</v>
      </c>
      <c r="AJ36" s="88">
        <v>0</v>
      </c>
      <c r="AK36" s="79">
        <v>0</v>
      </c>
      <c r="AL36" s="91">
        <v>0</v>
      </c>
      <c r="AM36" s="91">
        <v>0</v>
      </c>
      <c r="AN36" s="91">
        <v>0</v>
      </c>
      <c r="AO36" s="85">
        <v>0</v>
      </c>
      <c r="AP36" s="92">
        <v>0</v>
      </c>
      <c r="AQ36" s="92" t="s">
        <v>734</v>
      </c>
    </row>
    <row r="37" spans="1:43">
      <c r="A37" s="93" t="s">
        <v>361</v>
      </c>
      <c r="B37" s="2"/>
      <c r="C37" s="2"/>
      <c r="D37" s="93">
        <v>0</v>
      </c>
      <c r="E37" s="93">
        <v>0</v>
      </c>
      <c r="F37" s="93"/>
      <c r="G37" s="93">
        <v>1</v>
      </c>
      <c r="H37" s="93">
        <v>0</v>
      </c>
      <c r="I37" s="93"/>
      <c r="J37" s="93"/>
      <c r="K37" s="93"/>
      <c r="L37" s="93"/>
      <c r="M37" s="93"/>
      <c r="N37" s="93" t="s">
        <v>726</v>
      </c>
      <c r="P37" s="87" t="s">
        <v>345</v>
      </c>
      <c r="Q37" s="80">
        <f t="shared" ref="Q37:AC37" si="36">VLOOKUP($P37,$A:$N,B$1,0)</f>
        <v>0</v>
      </c>
      <c r="R37" s="80">
        <f t="shared" si="36"/>
        <v>0</v>
      </c>
      <c r="S37" s="80">
        <f t="shared" si="36"/>
        <v>0</v>
      </c>
      <c r="T37" s="80">
        <f t="shared" si="36"/>
        <v>0</v>
      </c>
      <c r="U37" s="80">
        <f t="shared" si="36"/>
        <v>0</v>
      </c>
      <c r="V37" s="80">
        <f t="shared" si="36"/>
        <v>1</v>
      </c>
      <c r="W37" s="80">
        <f t="shared" si="36"/>
        <v>0</v>
      </c>
      <c r="X37" s="80">
        <f t="shared" si="36"/>
        <v>0</v>
      </c>
      <c r="Y37" s="80">
        <f t="shared" si="36"/>
        <v>0</v>
      </c>
      <c r="Z37" s="80">
        <f t="shared" si="36"/>
        <v>0</v>
      </c>
      <c r="AA37" s="80">
        <f t="shared" si="36"/>
        <v>0</v>
      </c>
      <c r="AB37" s="80">
        <f t="shared" si="36"/>
        <v>0</v>
      </c>
      <c r="AC37" s="80" t="str">
        <f t="shared" si="36"/>
        <v>年假1天</v>
      </c>
      <c r="AE37" s="88">
        <v>0</v>
      </c>
      <c r="AF37" s="79">
        <v>0</v>
      </c>
      <c r="AG37" s="85">
        <v>0</v>
      </c>
      <c r="AH37" s="89">
        <v>0</v>
      </c>
      <c r="AI37" s="90">
        <v>0</v>
      </c>
      <c r="AJ37" s="88">
        <v>1</v>
      </c>
      <c r="AK37" s="79">
        <v>0</v>
      </c>
      <c r="AL37" s="91">
        <v>0</v>
      </c>
      <c r="AM37" s="91">
        <v>0</v>
      </c>
      <c r="AN37" s="91">
        <v>0</v>
      </c>
      <c r="AO37" s="85">
        <v>0</v>
      </c>
      <c r="AP37" s="92">
        <v>0</v>
      </c>
      <c r="AQ37" s="92" t="s">
        <v>726</v>
      </c>
    </row>
    <row r="38" spans="1:43">
      <c r="A38" s="93" t="s">
        <v>270</v>
      </c>
      <c r="B38" s="2"/>
      <c r="C38" s="2"/>
      <c r="D38" s="93">
        <v>0</v>
      </c>
      <c r="E38" s="93">
        <v>0</v>
      </c>
      <c r="F38" s="93"/>
      <c r="G38" s="93">
        <v>0</v>
      </c>
      <c r="H38" s="93">
        <v>0</v>
      </c>
      <c r="I38" s="93"/>
      <c r="J38" s="93"/>
      <c r="K38" s="93"/>
      <c r="L38" s="93"/>
      <c r="M38" s="93"/>
      <c r="N38" s="93"/>
      <c r="P38" s="87" t="s">
        <v>347</v>
      </c>
      <c r="Q38" s="80">
        <f t="shared" ref="Q38:AC38" si="37">VLOOKUP($P38,$A:$N,B$1,0)</f>
        <v>0</v>
      </c>
      <c r="R38" s="80">
        <f t="shared" si="37"/>
        <v>0</v>
      </c>
      <c r="S38" s="80">
        <f t="shared" si="37"/>
        <v>0</v>
      </c>
      <c r="T38" s="80">
        <f t="shared" si="37"/>
        <v>0</v>
      </c>
      <c r="U38" s="80">
        <f t="shared" si="37"/>
        <v>0</v>
      </c>
      <c r="V38" s="80">
        <f t="shared" si="37"/>
        <v>0</v>
      </c>
      <c r="W38" s="80">
        <f t="shared" si="37"/>
        <v>0</v>
      </c>
      <c r="X38" s="80">
        <f t="shared" si="37"/>
        <v>0</v>
      </c>
      <c r="Y38" s="80">
        <f t="shared" si="37"/>
        <v>0</v>
      </c>
      <c r="Z38" s="80">
        <f t="shared" si="37"/>
        <v>0</v>
      </c>
      <c r="AA38" s="80">
        <f t="shared" si="37"/>
        <v>0</v>
      </c>
      <c r="AB38" s="80">
        <f t="shared" si="37"/>
        <v>0</v>
      </c>
      <c r="AC38" s="80">
        <f t="shared" si="37"/>
        <v>0</v>
      </c>
      <c r="AE38" s="88">
        <v>0</v>
      </c>
      <c r="AF38" s="79">
        <v>0</v>
      </c>
      <c r="AG38" s="85">
        <v>0</v>
      </c>
      <c r="AH38" s="89">
        <v>0</v>
      </c>
      <c r="AI38" s="90">
        <v>0</v>
      </c>
      <c r="AJ38" s="88">
        <v>0</v>
      </c>
      <c r="AK38" s="79">
        <v>0</v>
      </c>
      <c r="AL38" s="91">
        <v>0</v>
      </c>
      <c r="AM38" s="91">
        <v>0</v>
      </c>
      <c r="AN38" s="91">
        <v>0</v>
      </c>
      <c r="AO38" s="85">
        <v>0</v>
      </c>
      <c r="AP38" s="92">
        <v>0</v>
      </c>
      <c r="AQ38" s="92">
        <v>0</v>
      </c>
    </row>
    <row r="39" spans="1:43">
      <c r="A39" s="93" t="s">
        <v>383</v>
      </c>
      <c r="B39" s="2"/>
      <c r="C39" s="2"/>
      <c r="D39" s="93">
        <v>0</v>
      </c>
      <c r="E39" s="93">
        <v>0</v>
      </c>
      <c r="F39" s="93"/>
      <c r="G39" s="93">
        <v>1</v>
      </c>
      <c r="H39" s="93">
        <v>0</v>
      </c>
      <c r="I39" s="93"/>
      <c r="J39" s="93"/>
      <c r="K39" s="93"/>
      <c r="L39" s="93"/>
      <c r="M39" s="93"/>
      <c r="N39" s="93" t="s">
        <v>726</v>
      </c>
      <c r="P39" s="87" t="s">
        <v>458</v>
      </c>
      <c r="Q39" s="80">
        <f t="shared" ref="Q39:AC39" si="38">VLOOKUP($P39,$A:$N,B$1,0)</f>
        <v>0</v>
      </c>
      <c r="R39" s="80">
        <f t="shared" si="38"/>
        <v>0</v>
      </c>
      <c r="S39" s="80">
        <f t="shared" si="38"/>
        <v>0</v>
      </c>
      <c r="T39" s="80">
        <f t="shared" si="38"/>
        <v>0</v>
      </c>
      <c r="U39" s="80">
        <f t="shared" si="38"/>
        <v>0</v>
      </c>
      <c r="V39" s="80">
        <f t="shared" si="38"/>
        <v>1</v>
      </c>
      <c r="W39" s="80">
        <f t="shared" si="38"/>
        <v>0</v>
      </c>
      <c r="X39" s="80">
        <f t="shared" si="38"/>
        <v>0</v>
      </c>
      <c r="Y39" s="80">
        <f t="shared" si="38"/>
        <v>0</v>
      </c>
      <c r="Z39" s="80">
        <f t="shared" si="38"/>
        <v>0</v>
      </c>
      <c r="AA39" s="80">
        <f t="shared" si="38"/>
        <v>0</v>
      </c>
      <c r="AB39" s="80">
        <f t="shared" si="38"/>
        <v>0</v>
      </c>
      <c r="AC39" s="80" t="str">
        <f t="shared" si="38"/>
        <v>年假1天</v>
      </c>
      <c r="AE39" s="88">
        <v>0</v>
      </c>
      <c r="AF39" s="79">
        <v>0</v>
      </c>
      <c r="AG39" s="85">
        <v>0</v>
      </c>
      <c r="AH39" s="89">
        <v>0</v>
      </c>
      <c r="AI39" s="90">
        <v>0</v>
      </c>
      <c r="AJ39" s="88">
        <v>1</v>
      </c>
      <c r="AK39" s="79">
        <v>0</v>
      </c>
      <c r="AL39" s="91">
        <v>0</v>
      </c>
      <c r="AM39" s="91">
        <v>0</v>
      </c>
      <c r="AN39" s="91">
        <v>0</v>
      </c>
      <c r="AO39" s="85">
        <v>0</v>
      </c>
      <c r="AP39" s="92">
        <v>0</v>
      </c>
      <c r="AQ39" s="92" t="s">
        <v>726</v>
      </c>
    </row>
    <row r="40" spans="1:43">
      <c r="A40" s="93" t="s">
        <v>542</v>
      </c>
      <c r="B40" s="2"/>
      <c r="C40" s="2"/>
      <c r="D40" s="93">
        <v>0</v>
      </c>
      <c r="E40" s="93">
        <v>0</v>
      </c>
      <c r="F40" s="93"/>
      <c r="G40" s="93">
        <v>0</v>
      </c>
      <c r="H40" s="93">
        <v>0</v>
      </c>
      <c r="I40" s="93"/>
      <c r="J40" s="93"/>
      <c r="K40" s="93"/>
      <c r="L40" s="93"/>
      <c r="M40" s="93"/>
      <c r="N40" s="93"/>
      <c r="P40" s="87" t="s">
        <v>392</v>
      </c>
      <c r="Q40" s="80">
        <f t="shared" ref="Q40:AC40" si="39">VLOOKUP($P40,$A:$N,B$1,0)</f>
        <v>0</v>
      </c>
      <c r="R40" s="80">
        <f t="shared" si="39"/>
        <v>0</v>
      </c>
      <c r="S40" s="80">
        <f t="shared" si="39"/>
        <v>0</v>
      </c>
      <c r="T40" s="80">
        <f t="shared" si="39"/>
        <v>0</v>
      </c>
      <c r="U40" s="80">
        <f t="shared" si="39"/>
        <v>0</v>
      </c>
      <c r="V40" s="80">
        <f t="shared" si="39"/>
        <v>0</v>
      </c>
      <c r="W40" s="80">
        <f t="shared" si="39"/>
        <v>0</v>
      </c>
      <c r="X40" s="80">
        <f t="shared" si="39"/>
        <v>0</v>
      </c>
      <c r="Y40" s="80">
        <f t="shared" si="39"/>
        <v>0</v>
      </c>
      <c r="Z40" s="80">
        <f t="shared" si="39"/>
        <v>0</v>
      </c>
      <c r="AA40" s="80">
        <f t="shared" si="39"/>
        <v>0</v>
      </c>
      <c r="AB40" s="80">
        <f t="shared" si="39"/>
        <v>0</v>
      </c>
      <c r="AC40" s="80">
        <f t="shared" si="39"/>
        <v>0</v>
      </c>
      <c r="AE40" s="88">
        <v>0</v>
      </c>
      <c r="AF40" s="79">
        <v>0</v>
      </c>
      <c r="AG40" s="85">
        <v>0</v>
      </c>
      <c r="AH40" s="89">
        <v>0</v>
      </c>
      <c r="AI40" s="90">
        <v>0</v>
      </c>
      <c r="AJ40" s="88">
        <v>0</v>
      </c>
      <c r="AK40" s="79">
        <v>0</v>
      </c>
      <c r="AL40" s="91">
        <v>0</v>
      </c>
      <c r="AM40" s="91">
        <v>0</v>
      </c>
      <c r="AN40" s="91">
        <v>0</v>
      </c>
      <c r="AO40" s="85">
        <v>0</v>
      </c>
      <c r="AP40" s="92">
        <v>0</v>
      </c>
      <c r="AQ40" s="92">
        <v>0</v>
      </c>
    </row>
    <row r="41" spans="1:43">
      <c r="A41" s="93" t="s">
        <v>547</v>
      </c>
      <c r="B41" s="2"/>
      <c r="C41" s="2"/>
      <c r="D41" s="93">
        <v>0</v>
      </c>
      <c r="E41" s="93">
        <v>0</v>
      </c>
      <c r="F41" s="93"/>
      <c r="G41" s="93">
        <v>0</v>
      </c>
      <c r="H41" s="93">
        <v>0</v>
      </c>
      <c r="I41" s="93"/>
      <c r="J41" s="93"/>
      <c r="K41" s="93"/>
      <c r="L41" s="93"/>
      <c r="M41" s="93"/>
      <c r="N41" s="93" t="s">
        <v>739</v>
      </c>
      <c r="P41" s="87" t="s">
        <v>531</v>
      </c>
      <c r="Q41" s="80">
        <f t="shared" ref="Q41:AC41" si="40">VLOOKUP($P41,$A:$N,B$1,0)</f>
        <v>0</v>
      </c>
      <c r="R41" s="80">
        <f t="shared" si="40"/>
        <v>0</v>
      </c>
      <c r="S41" s="80">
        <f t="shared" si="40"/>
        <v>0</v>
      </c>
      <c r="T41" s="80">
        <f t="shared" si="40"/>
        <v>0</v>
      </c>
      <c r="U41" s="80">
        <f t="shared" si="40"/>
        <v>0</v>
      </c>
      <c r="V41" s="80">
        <f t="shared" si="40"/>
        <v>0.5</v>
      </c>
      <c r="W41" s="80">
        <f t="shared" si="40"/>
        <v>0</v>
      </c>
      <c r="X41" s="80">
        <f t="shared" si="40"/>
        <v>0</v>
      </c>
      <c r="Y41" s="80">
        <f t="shared" si="40"/>
        <v>0</v>
      </c>
      <c r="Z41" s="80">
        <f t="shared" si="40"/>
        <v>0</v>
      </c>
      <c r="AA41" s="80">
        <f t="shared" si="40"/>
        <v>0</v>
      </c>
      <c r="AB41" s="80">
        <f t="shared" si="40"/>
        <v>0</v>
      </c>
      <c r="AC41" s="80" t="str">
        <f t="shared" si="40"/>
        <v>年假0.5天</v>
      </c>
      <c r="AE41" s="88">
        <v>0</v>
      </c>
      <c r="AF41" s="79">
        <v>0</v>
      </c>
      <c r="AG41" s="85">
        <v>0</v>
      </c>
      <c r="AH41" s="89">
        <v>0</v>
      </c>
      <c r="AI41" s="90">
        <v>0</v>
      </c>
      <c r="AJ41" s="88">
        <v>0.5</v>
      </c>
      <c r="AK41" s="79">
        <v>0</v>
      </c>
      <c r="AL41" s="91">
        <v>0</v>
      </c>
      <c r="AM41" s="91">
        <v>0</v>
      </c>
      <c r="AN41" s="91">
        <v>0</v>
      </c>
      <c r="AO41" s="85">
        <v>0</v>
      </c>
      <c r="AP41" s="92">
        <v>0</v>
      </c>
      <c r="AQ41" s="92" t="s">
        <v>724</v>
      </c>
    </row>
    <row r="42" spans="1:43">
      <c r="A42" s="93" t="s">
        <v>533</v>
      </c>
      <c r="B42" s="2"/>
      <c r="C42" s="2"/>
      <c r="D42" s="93">
        <v>0</v>
      </c>
      <c r="E42" s="93">
        <v>0</v>
      </c>
      <c r="F42" s="93"/>
      <c r="G42" s="93">
        <v>0</v>
      </c>
      <c r="H42" s="93">
        <v>0</v>
      </c>
      <c r="I42" s="93"/>
      <c r="J42" s="93"/>
      <c r="K42" s="93"/>
      <c r="L42" s="93"/>
      <c r="M42" s="93"/>
      <c r="N42" s="93" t="s">
        <v>738</v>
      </c>
      <c r="P42" s="87" t="s">
        <v>371</v>
      </c>
      <c r="Q42" s="80">
        <f t="shared" ref="Q42:AC42" si="41">VLOOKUP($P42,$A:$N,B$1,0)</f>
        <v>0</v>
      </c>
      <c r="R42" s="80">
        <f t="shared" si="41"/>
        <v>0</v>
      </c>
      <c r="S42" s="80">
        <f t="shared" si="41"/>
        <v>0</v>
      </c>
      <c r="T42" s="80">
        <f t="shared" si="41"/>
        <v>0</v>
      </c>
      <c r="U42" s="80">
        <f t="shared" si="41"/>
        <v>0</v>
      </c>
      <c r="V42" s="80">
        <f t="shared" si="41"/>
        <v>0</v>
      </c>
      <c r="W42" s="80">
        <f t="shared" si="41"/>
        <v>0</v>
      </c>
      <c r="X42" s="80">
        <f t="shared" si="41"/>
        <v>0</v>
      </c>
      <c r="Y42" s="80">
        <f t="shared" si="41"/>
        <v>0</v>
      </c>
      <c r="Z42" s="80">
        <f t="shared" si="41"/>
        <v>10</v>
      </c>
      <c r="AA42" s="80">
        <f t="shared" si="41"/>
        <v>0</v>
      </c>
      <c r="AB42" s="80">
        <f t="shared" si="41"/>
        <v>0</v>
      </c>
      <c r="AC42" s="80" t="str">
        <f t="shared" si="41"/>
        <v>婚假10天</v>
      </c>
      <c r="AE42" s="88">
        <v>0</v>
      </c>
      <c r="AF42" s="79">
        <v>0</v>
      </c>
      <c r="AG42" s="85">
        <v>0</v>
      </c>
      <c r="AH42" s="89">
        <v>0</v>
      </c>
      <c r="AI42" s="90">
        <v>0</v>
      </c>
      <c r="AJ42" s="88">
        <v>0</v>
      </c>
      <c r="AK42" s="79">
        <v>0</v>
      </c>
      <c r="AL42" s="91">
        <v>0</v>
      </c>
      <c r="AM42" s="91">
        <v>0</v>
      </c>
      <c r="AN42" s="91">
        <v>10</v>
      </c>
      <c r="AO42" s="85">
        <v>0</v>
      </c>
      <c r="AP42" s="92">
        <v>0</v>
      </c>
      <c r="AQ42" s="92" t="s">
        <v>737</v>
      </c>
    </row>
    <row r="43" spans="1:43">
      <c r="A43" s="93" t="s">
        <v>553</v>
      </c>
      <c r="B43" s="2"/>
      <c r="C43" s="2"/>
      <c r="D43" s="93">
        <v>0</v>
      </c>
      <c r="E43" s="93">
        <v>0</v>
      </c>
      <c r="F43" s="93"/>
      <c r="G43" s="93">
        <v>0</v>
      </c>
      <c r="H43" s="93">
        <v>0</v>
      </c>
      <c r="I43" s="93"/>
      <c r="J43" s="93"/>
      <c r="K43" s="93"/>
      <c r="L43" s="93"/>
      <c r="M43" s="93"/>
      <c r="N43" s="93" t="s">
        <v>738</v>
      </c>
      <c r="P43" s="87" t="s">
        <v>381</v>
      </c>
      <c r="Q43" s="80">
        <f t="shared" ref="Q43:AC43" si="42">VLOOKUP($P43,$A:$N,B$1,0)</f>
        <v>0</v>
      </c>
      <c r="R43" s="80">
        <f t="shared" si="42"/>
        <v>0</v>
      </c>
      <c r="S43" s="80">
        <f t="shared" si="42"/>
        <v>0</v>
      </c>
      <c r="T43" s="80">
        <f t="shared" si="42"/>
        <v>0</v>
      </c>
      <c r="U43" s="80">
        <f t="shared" si="42"/>
        <v>0</v>
      </c>
      <c r="V43" s="80">
        <f t="shared" si="42"/>
        <v>0</v>
      </c>
      <c r="W43" s="80">
        <f t="shared" si="42"/>
        <v>0</v>
      </c>
      <c r="X43" s="80">
        <f t="shared" si="42"/>
        <v>0</v>
      </c>
      <c r="Y43" s="80">
        <f t="shared" si="42"/>
        <v>0</v>
      </c>
      <c r="Z43" s="80">
        <f t="shared" si="42"/>
        <v>0</v>
      </c>
      <c r="AA43" s="80">
        <f t="shared" si="42"/>
        <v>0</v>
      </c>
      <c r="AB43" s="80">
        <f t="shared" si="42"/>
        <v>0</v>
      </c>
      <c r="AC43" s="80">
        <f t="shared" si="42"/>
        <v>0</v>
      </c>
      <c r="AE43" s="88">
        <v>0</v>
      </c>
      <c r="AF43" s="79">
        <v>0</v>
      </c>
      <c r="AG43" s="85">
        <v>0</v>
      </c>
      <c r="AH43" s="89">
        <v>0</v>
      </c>
      <c r="AI43" s="90">
        <v>0</v>
      </c>
      <c r="AJ43" s="88">
        <v>0</v>
      </c>
      <c r="AK43" s="79">
        <v>0</v>
      </c>
      <c r="AL43" s="91">
        <v>0</v>
      </c>
      <c r="AM43" s="91">
        <v>0</v>
      </c>
      <c r="AN43" s="91">
        <v>0</v>
      </c>
      <c r="AO43" s="85">
        <v>0</v>
      </c>
      <c r="AP43" s="92">
        <v>0</v>
      </c>
      <c r="AQ43" s="92">
        <v>0</v>
      </c>
    </row>
    <row r="44" spans="1:43">
      <c r="A44" s="93" t="s">
        <v>345</v>
      </c>
      <c r="B44" s="2"/>
      <c r="C44" s="2"/>
      <c r="D44" s="93">
        <v>0</v>
      </c>
      <c r="E44" s="93">
        <v>0</v>
      </c>
      <c r="F44" s="93"/>
      <c r="G44" s="93">
        <v>1</v>
      </c>
      <c r="H44" s="93">
        <v>0</v>
      </c>
      <c r="I44" s="93"/>
      <c r="J44" s="93"/>
      <c r="K44" s="93"/>
      <c r="L44" s="93"/>
      <c r="M44" s="93"/>
      <c r="N44" s="93" t="s">
        <v>726</v>
      </c>
      <c r="P44" s="87" t="s">
        <v>270</v>
      </c>
      <c r="Q44" s="80">
        <f t="shared" ref="Q44:AC44" si="43">VLOOKUP($P44,$A:$N,B$1,0)</f>
        <v>0</v>
      </c>
      <c r="R44" s="80">
        <f t="shared" si="43"/>
        <v>0</v>
      </c>
      <c r="S44" s="80">
        <f t="shared" si="43"/>
        <v>0</v>
      </c>
      <c r="T44" s="80">
        <f t="shared" si="43"/>
        <v>0</v>
      </c>
      <c r="U44" s="80">
        <f t="shared" si="43"/>
        <v>0</v>
      </c>
      <c r="V44" s="80">
        <f t="shared" si="43"/>
        <v>0</v>
      </c>
      <c r="W44" s="80">
        <f t="shared" si="43"/>
        <v>0</v>
      </c>
      <c r="X44" s="80">
        <f t="shared" si="43"/>
        <v>0</v>
      </c>
      <c r="Y44" s="80">
        <f t="shared" si="43"/>
        <v>0</v>
      </c>
      <c r="Z44" s="80">
        <f t="shared" si="43"/>
        <v>0</v>
      </c>
      <c r="AA44" s="80">
        <f t="shared" si="43"/>
        <v>0</v>
      </c>
      <c r="AB44" s="80">
        <f t="shared" si="43"/>
        <v>0</v>
      </c>
      <c r="AC44" s="80">
        <f t="shared" si="43"/>
        <v>0</v>
      </c>
      <c r="AE44" s="88">
        <v>0</v>
      </c>
      <c r="AF44" s="79">
        <v>0</v>
      </c>
      <c r="AG44" s="85">
        <v>0</v>
      </c>
      <c r="AH44" s="89">
        <v>0</v>
      </c>
      <c r="AI44" s="90">
        <v>0</v>
      </c>
      <c r="AJ44" s="88">
        <v>0</v>
      </c>
      <c r="AK44" s="79">
        <v>0</v>
      </c>
      <c r="AL44" s="91">
        <v>0</v>
      </c>
      <c r="AM44" s="91">
        <v>0</v>
      </c>
      <c r="AN44" s="91">
        <v>0</v>
      </c>
      <c r="AO44" s="85">
        <v>0</v>
      </c>
      <c r="AP44" s="92">
        <v>0</v>
      </c>
      <c r="AQ44" s="92">
        <v>0</v>
      </c>
    </row>
    <row r="45" spans="1:43">
      <c r="A45" s="93" t="s">
        <v>528</v>
      </c>
      <c r="B45" s="2"/>
      <c r="C45" s="2"/>
      <c r="D45" s="93">
        <v>0</v>
      </c>
      <c r="E45" s="93">
        <v>0</v>
      </c>
      <c r="F45" s="93"/>
      <c r="G45" s="93">
        <v>0</v>
      </c>
      <c r="H45" s="93">
        <v>0</v>
      </c>
      <c r="I45" s="93"/>
      <c r="J45" s="93"/>
      <c r="K45" s="93"/>
      <c r="L45" s="93"/>
      <c r="M45" s="93"/>
      <c r="N45" s="93"/>
      <c r="P45" s="87" t="s">
        <v>385</v>
      </c>
      <c r="Q45" s="80">
        <f t="shared" ref="Q45:AC45" si="44">VLOOKUP($P45,$A:$N,B$1,0)</f>
        <v>0</v>
      </c>
      <c r="R45" s="80">
        <f t="shared" si="44"/>
        <v>0</v>
      </c>
      <c r="S45" s="80">
        <f t="shared" si="44"/>
        <v>0</v>
      </c>
      <c r="T45" s="80">
        <f t="shared" si="44"/>
        <v>0</v>
      </c>
      <c r="U45" s="80">
        <f t="shared" si="44"/>
        <v>0</v>
      </c>
      <c r="V45" s="80">
        <f t="shared" si="44"/>
        <v>2</v>
      </c>
      <c r="W45" s="80">
        <f t="shared" si="44"/>
        <v>0</v>
      </c>
      <c r="X45" s="80">
        <f t="shared" si="44"/>
        <v>0</v>
      </c>
      <c r="Y45" s="80">
        <f t="shared" si="44"/>
        <v>0</v>
      </c>
      <c r="Z45" s="80">
        <f t="shared" si="44"/>
        <v>0</v>
      </c>
      <c r="AA45" s="80">
        <f t="shared" si="44"/>
        <v>0</v>
      </c>
      <c r="AB45" s="80">
        <f t="shared" si="44"/>
        <v>0</v>
      </c>
      <c r="AC45" s="80" t="str">
        <f t="shared" si="44"/>
        <v>年假2天</v>
      </c>
      <c r="AE45" s="88">
        <v>0</v>
      </c>
      <c r="AF45" s="79">
        <v>0</v>
      </c>
      <c r="AG45" s="85">
        <v>0</v>
      </c>
      <c r="AH45" s="89">
        <v>0</v>
      </c>
      <c r="AI45" s="90">
        <v>0</v>
      </c>
      <c r="AJ45" s="88">
        <v>2</v>
      </c>
      <c r="AK45" s="79">
        <v>0</v>
      </c>
      <c r="AL45" s="91">
        <v>0</v>
      </c>
      <c r="AM45" s="91">
        <v>0</v>
      </c>
      <c r="AN45" s="91">
        <v>0</v>
      </c>
      <c r="AO45" s="85">
        <v>0</v>
      </c>
      <c r="AP45" s="92">
        <v>0</v>
      </c>
      <c r="AQ45" s="92" t="s">
        <v>730</v>
      </c>
    </row>
    <row r="46" spans="1:43">
      <c r="A46" s="93" t="s">
        <v>458</v>
      </c>
      <c r="B46" s="2"/>
      <c r="C46" s="2"/>
      <c r="D46" s="93">
        <v>0</v>
      </c>
      <c r="E46" s="93">
        <v>0</v>
      </c>
      <c r="F46" s="93"/>
      <c r="G46" s="93">
        <v>1</v>
      </c>
      <c r="H46" s="93">
        <v>0</v>
      </c>
      <c r="I46" s="93"/>
      <c r="J46" s="93"/>
      <c r="K46" s="93"/>
      <c r="L46" s="93"/>
      <c r="M46" s="93"/>
      <c r="N46" s="93" t="s">
        <v>726</v>
      </c>
      <c r="P46" s="87" t="s">
        <v>533</v>
      </c>
      <c r="Q46" s="80">
        <f t="shared" ref="Q46:AC46" si="45">VLOOKUP($P46,$A:$N,B$1,0)</f>
        <v>0</v>
      </c>
      <c r="R46" s="80">
        <f t="shared" si="45"/>
        <v>0</v>
      </c>
      <c r="S46" s="80">
        <f t="shared" si="45"/>
        <v>0</v>
      </c>
      <c r="T46" s="80">
        <f t="shared" si="45"/>
        <v>0</v>
      </c>
      <c r="U46" s="80">
        <f t="shared" si="45"/>
        <v>0</v>
      </c>
      <c r="V46" s="80">
        <f t="shared" si="45"/>
        <v>0</v>
      </c>
      <c r="W46" s="80">
        <f t="shared" si="45"/>
        <v>0</v>
      </c>
      <c r="X46" s="80">
        <f t="shared" si="45"/>
        <v>0</v>
      </c>
      <c r="Y46" s="80">
        <f t="shared" si="45"/>
        <v>0</v>
      </c>
      <c r="Z46" s="80">
        <f t="shared" si="45"/>
        <v>0</v>
      </c>
      <c r="AA46" s="80">
        <f t="shared" si="45"/>
        <v>0</v>
      </c>
      <c r="AB46" s="80">
        <f t="shared" si="45"/>
        <v>0</v>
      </c>
      <c r="AC46" s="80" t="str">
        <f t="shared" si="45"/>
        <v>节假日加班1天算三倍</v>
      </c>
      <c r="AE46" s="88">
        <v>0</v>
      </c>
      <c r="AF46" s="79">
        <v>0</v>
      </c>
      <c r="AG46" s="85">
        <v>0</v>
      </c>
      <c r="AH46" s="89">
        <v>0</v>
      </c>
      <c r="AI46" s="90">
        <v>0</v>
      </c>
      <c r="AJ46" s="88">
        <v>0</v>
      </c>
      <c r="AK46" s="79">
        <v>0</v>
      </c>
      <c r="AL46" s="91">
        <v>0</v>
      </c>
      <c r="AM46" s="91">
        <v>0</v>
      </c>
      <c r="AN46" s="91">
        <v>0</v>
      </c>
      <c r="AO46" s="85">
        <v>0</v>
      </c>
      <c r="AP46" s="92">
        <v>0</v>
      </c>
      <c r="AQ46" s="92" t="s">
        <v>738</v>
      </c>
    </row>
    <row r="47" spans="1:43">
      <c r="A47" s="93" t="s">
        <v>343</v>
      </c>
      <c r="B47" s="2"/>
      <c r="C47" s="2"/>
      <c r="D47" s="93">
        <v>0</v>
      </c>
      <c r="E47" s="93">
        <v>0</v>
      </c>
      <c r="F47" s="93"/>
      <c r="G47" s="93">
        <v>2</v>
      </c>
      <c r="H47" s="93">
        <v>0</v>
      </c>
      <c r="I47" s="93"/>
      <c r="J47" s="93"/>
      <c r="K47" s="93"/>
      <c r="L47" s="93"/>
      <c r="M47" s="93"/>
      <c r="N47" s="93" t="s">
        <v>730</v>
      </c>
      <c r="P47" s="87" t="s">
        <v>528</v>
      </c>
      <c r="Q47" s="80">
        <f t="shared" ref="Q47:AC47" si="46">VLOOKUP($P47,$A:$N,B$1,0)</f>
        <v>0</v>
      </c>
      <c r="R47" s="80">
        <f t="shared" si="46"/>
        <v>0</v>
      </c>
      <c r="S47" s="80">
        <f t="shared" si="46"/>
        <v>0</v>
      </c>
      <c r="T47" s="80">
        <f t="shared" si="46"/>
        <v>0</v>
      </c>
      <c r="U47" s="80">
        <f t="shared" si="46"/>
        <v>0</v>
      </c>
      <c r="V47" s="80">
        <f t="shared" si="46"/>
        <v>0</v>
      </c>
      <c r="W47" s="80">
        <f t="shared" si="46"/>
        <v>0</v>
      </c>
      <c r="X47" s="80">
        <f t="shared" si="46"/>
        <v>0</v>
      </c>
      <c r="Y47" s="80">
        <f t="shared" si="46"/>
        <v>0</v>
      </c>
      <c r="Z47" s="80">
        <f t="shared" si="46"/>
        <v>0</v>
      </c>
      <c r="AA47" s="80">
        <f t="shared" si="46"/>
        <v>0</v>
      </c>
      <c r="AB47" s="80">
        <f t="shared" si="46"/>
        <v>0</v>
      </c>
      <c r="AC47" s="80">
        <f t="shared" si="46"/>
        <v>0</v>
      </c>
      <c r="AE47" s="88">
        <v>0</v>
      </c>
      <c r="AF47" s="79">
        <v>0</v>
      </c>
      <c r="AG47" s="85">
        <v>0</v>
      </c>
      <c r="AH47" s="89">
        <v>0</v>
      </c>
      <c r="AI47" s="90">
        <v>0</v>
      </c>
      <c r="AJ47" s="88">
        <v>0</v>
      </c>
      <c r="AK47" s="79">
        <v>0</v>
      </c>
      <c r="AL47" s="91">
        <v>0</v>
      </c>
      <c r="AM47" s="91">
        <v>0</v>
      </c>
      <c r="AN47" s="91">
        <v>0</v>
      </c>
      <c r="AO47" s="85">
        <v>0</v>
      </c>
      <c r="AP47" s="92">
        <v>0</v>
      </c>
      <c r="AQ47" s="92">
        <v>0</v>
      </c>
    </row>
    <row r="48" spans="1:43">
      <c r="A48" s="93" t="s">
        <v>557</v>
      </c>
      <c r="B48" s="2"/>
      <c r="C48" s="2"/>
      <c r="D48" s="93">
        <v>0</v>
      </c>
      <c r="E48" s="93">
        <v>0</v>
      </c>
      <c r="F48" s="93"/>
      <c r="G48" s="93">
        <v>0</v>
      </c>
      <c r="H48" s="93">
        <v>0</v>
      </c>
      <c r="I48" s="93"/>
      <c r="J48" s="93"/>
      <c r="K48" s="93"/>
      <c r="L48" s="93"/>
      <c r="M48" s="93"/>
      <c r="N48" s="93"/>
      <c r="P48" s="87" t="s">
        <v>547</v>
      </c>
      <c r="Q48" s="80">
        <f t="shared" ref="Q48:AC48" si="47">VLOOKUP($P48,$A:$N,B$1,0)</f>
        <v>0</v>
      </c>
      <c r="R48" s="80">
        <f t="shared" si="47"/>
        <v>0</v>
      </c>
      <c r="S48" s="80">
        <f t="shared" si="47"/>
        <v>0</v>
      </c>
      <c r="T48" s="80">
        <f t="shared" si="47"/>
        <v>0</v>
      </c>
      <c r="U48" s="80">
        <f t="shared" si="47"/>
        <v>0</v>
      </c>
      <c r="V48" s="80">
        <f t="shared" si="47"/>
        <v>0</v>
      </c>
      <c r="W48" s="80">
        <f t="shared" si="47"/>
        <v>0</v>
      </c>
      <c r="X48" s="80">
        <f t="shared" si="47"/>
        <v>0</v>
      </c>
      <c r="Y48" s="80">
        <f t="shared" si="47"/>
        <v>0</v>
      </c>
      <c r="Z48" s="80">
        <f t="shared" si="47"/>
        <v>0</v>
      </c>
      <c r="AA48" s="80">
        <f t="shared" si="47"/>
        <v>0</v>
      </c>
      <c r="AB48" s="80">
        <f t="shared" si="47"/>
        <v>0</v>
      </c>
      <c r="AC48" s="80" t="str">
        <f t="shared" si="47"/>
        <v>周六加班3天算双倍，节假日加班一天算三倍</v>
      </c>
      <c r="AE48" s="88">
        <v>0</v>
      </c>
      <c r="AF48" s="79">
        <v>0</v>
      </c>
      <c r="AG48" s="85">
        <v>0</v>
      </c>
      <c r="AH48" s="89">
        <v>0</v>
      </c>
      <c r="AI48" s="90">
        <v>0</v>
      </c>
      <c r="AJ48" s="88">
        <v>0</v>
      </c>
      <c r="AK48" s="79">
        <v>0</v>
      </c>
      <c r="AL48" s="91">
        <v>0</v>
      </c>
      <c r="AM48" s="91">
        <v>0</v>
      </c>
      <c r="AN48" s="91">
        <v>0</v>
      </c>
      <c r="AO48" s="85">
        <v>0</v>
      </c>
      <c r="AP48" s="92">
        <v>0</v>
      </c>
      <c r="AQ48" s="92" t="s">
        <v>739</v>
      </c>
    </row>
    <row r="49" spans="1:43">
      <c r="A49" s="93" t="s">
        <v>378</v>
      </c>
      <c r="B49" s="2"/>
      <c r="C49" s="2"/>
      <c r="D49" s="93">
        <v>3.5</v>
      </c>
      <c r="E49" s="93">
        <v>0</v>
      </c>
      <c r="F49" s="93"/>
      <c r="G49" s="93">
        <v>0</v>
      </c>
      <c r="H49" s="93">
        <v>0</v>
      </c>
      <c r="I49" s="93"/>
      <c r="J49" s="93"/>
      <c r="K49" s="93"/>
      <c r="L49" s="93"/>
      <c r="M49" s="93"/>
      <c r="N49" s="93" t="s">
        <v>743</v>
      </c>
      <c r="P49" s="87" t="s">
        <v>549</v>
      </c>
      <c r="Q49" s="80">
        <f t="shared" ref="Q49:AC49" si="48">VLOOKUP($P49,$A:$N,B$1,0)</f>
        <v>0</v>
      </c>
      <c r="R49" s="80">
        <f t="shared" si="48"/>
        <v>0</v>
      </c>
      <c r="S49" s="80">
        <f t="shared" si="48"/>
        <v>0</v>
      </c>
      <c r="T49" s="80">
        <f t="shared" si="48"/>
        <v>0</v>
      </c>
      <c r="U49" s="80">
        <f t="shared" si="48"/>
        <v>0</v>
      </c>
      <c r="V49" s="80">
        <f t="shared" si="48"/>
        <v>0</v>
      </c>
      <c r="W49" s="80">
        <f t="shared" si="48"/>
        <v>5</v>
      </c>
      <c r="X49" s="80">
        <f t="shared" si="48"/>
        <v>0</v>
      </c>
      <c r="Y49" s="80">
        <f t="shared" si="48"/>
        <v>0</v>
      </c>
      <c r="Z49" s="80">
        <f t="shared" si="48"/>
        <v>0</v>
      </c>
      <c r="AA49" s="80">
        <f t="shared" si="48"/>
        <v>0</v>
      </c>
      <c r="AB49" s="80">
        <f t="shared" si="48"/>
        <v>0</v>
      </c>
      <c r="AC49" s="80" t="str">
        <f t="shared" si="48"/>
        <v>调休5天</v>
      </c>
      <c r="AE49" s="88">
        <v>0</v>
      </c>
      <c r="AF49" s="79">
        <v>0</v>
      </c>
      <c r="AG49" s="85">
        <v>0</v>
      </c>
      <c r="AH49" s="89">
        <v>0</v>
      </c>
      <c r="AI49" s="90">
        <v>0</v>
      </c>
      <c r="AJ49" s="88">
        <v>0</v>
      </c>
      <c r="AK49" s="79">
        <v>5</v>
      </c>
      <c r="AL49" s="91">
        <v>0</v>
      </c>
      <c r="AM49" s="91">
        <v>0</v>
      </c>
      <c r="AN49" s="91">
        <v>0</v>
      </c>
      <c r="AO49" s="85">
        <v>0</v>
      </c>
      <c r="AP49" s="92">
        <v>0</v>
      </c>
      <c r="AQ49" s="92" t="s">
        <v>740</v>
      </c>
    </row>
    <row r="50" spans="1:43">
      <c r="A50" s="93" t="s">
        <v>520</v>
      </c>
      <c r="B50" s="2"/>
      <c r="C50" s="2"/>
      <c r="D50" s="93">
        <v>0</v>
      </c>
      <c r="E50" s="93">
        <v>0</v>
      </c>
      <c r="F50" s="93"/>
      <c r="G50" s="93">
        <v>0</v>
      </c>
      <c r="H50" s="93">
        <v>0</v>
      </c>
      <c r="I50" s="93"/>
      <c r="J50" s="93"/>
      <c r="K50" s="93"/>
      <c r="L50" s="93"/>
      <c r="M50" s="93"/>
      <c r="N50" s="93"/>
      <c r="P50" s="87" t="s">
        <v>557</v>
      </c>
      <c r="Q50" s="80">
        <f t="shared" ref="Q50:AC50" si="49">VLOOKUP($P50,$A:$N,B$1,0)</f>
        <v>0</v>
      </c>
      <c r="R50" s="80">
        <f t="shared" si="49"/>
        <v>0</v>
      </c>
      <c r="S50" s="80">
        <f t="shared" si="49"/>
        <v>0</v>
      </c>
      <c r="T50" s="80">
        <f t="shared" si="49"/>
        <v>0</v>
      </c>
      <c r="U50" s="80">
        <f t="shared" si="49"/>
        <v>0</v>
      </c>
      <c r="V50" s="80">
        <f t="shared" si="49"/>
        <v>0</v>
      </c>
      <c r="W50" s="80">
        <f t="shared" si="49"/>
        <v>0</v>
      </c>
      <c r="X50" s="80">
        <f t="shared" si="49"/>
        <v>0</v>
      </c>
      <c r="Y50" s="80">
        <f t="shared" si="49"/>
        <v>0</v>
      </c>
      <c r="Z50" s="80">
        <f t="shared" si="49"/>
        <v>0</v>
      </c>
      <c r="AA50" s="80">
        <f t="shared" si="49"/>
        <v>0</v>
      </c>
      <c r="AB50" s="80">
        <f t="shared" si="49"/>
        <v>0</v>
      </c>
      <c r="AC50" s="80">
        <f t="shared" si="49"/>
        <v>0</v>
      </c>
      <c r="AE50" s="88">
        <v>0</v>
      </c>
      <c r="AF50" s="79">
        <v>0</v>
      </c>
      <c r="AG50" s="85">
        <v>0</v>
      </c>
      <c r="AH50" s="89">
        <v>0</v>
      </c>
      <c r="AI50" s="90">
        <v>0</v>
      </c>
      <c r="AJ50" s="88">
        <v>0</v>
      </c>
      <c r="AK50" s="79">
        <v>0</v>
      </c>
      <c r="AL50" s="91">
        <v>0</v>
      </c>
      <c r="AM50" s="91">
        <v>0</v>
      </c>
      <c r="AN50" s="91">
        <v>0</v>
      </c>
      <c r="AO50" s="85">
        <v>0</v>
      </c>
      <c r="AP50" s="92">
        <v>0</v>
      </c>
      <c r="AQ50" s="92">
        <v>0</v>
      </c>
    </row>
    <row r="51" spans="1:43">
      <c r="A51" s="93" t="s">
        <v>392</v>
      </c>
      <c r="B51" s="2"/>
      <c r="C51" s="2"/>
      <c r="D51" s="93">
        <v>0</v>
      </c>
      <c r="E51" s="93">
        <v>0</v>
      </c>
      <c r="F51" s="93"/>
      <c r="G51" s="93">
        <v>0</v>
      </c>
      <c r="H51" s="93">
        <v>0</v>
      </c>
      <c r="I51" s="93"/>
      <c r="J51" s="93"/>
      <c r="K51" s="93"/>
      <c r="L51" s="93"/>
      <c r="M51" s="93"/>
      <c r="N51" s="93"/>
      <c r="P51" s="87" t="s">
        <v>380</v>
      </c>
      <c r="Q51" s="80">
        <f t="shared" ref="Q51:AC51" si="50">VLOOKUP($P51,$A:$N,B$1,0)</f>
        <v>0</v>
      </c>
      <c r="R51" s="80">
        <f t="shared" si="50"/>
        <v>0</v>
      </c>
      <c r="S51" s="80">
        <f t="shared" si="50"/>
        <v>0</v>
      </c>
      <c r="T51" s="80">
        <f t="shared" si="50"/>
        <v>0</v>
      </c>
      <c r="U51" s="80">
        <f t="shared" si="50"/>
        <v>0</v>
      </c>
      <c r="V51" s="80">
        <f t="shared" si="50"/>
        <v>0</v>
      </c>
      <c r="W51" s="80">
        <f t="shared" si="50"/>
        <v>0</v>
      </c>
      <c r="X51" s="80">
        <f t="shared" si="50"/>
        <v>0</v>
      </c>
      <c r="Y51" s="80">
        <f t="shared" si="50"/>
        <v>0</v>
      </c>
      <c r="Z51" s="80">
        <f t="shared" si="50"/>
        <v>0</v>
      </c>
      <c r="AA51" s="80">
        <f t="shared" si="50"/>
        <v>0</v>
      </c>
      <c r="AB51" s="80">
        <f t="shared" si="50"/>
        <v>0</v>
      </c>
      <c r="AC51" s="80">
        <f t="shared" si="50"/>
        <v>0</v>
      </c>
      <c r="AE51" s="88">
        <v>0</v>
      </c>
      <c r="AF51" s="79">
        <v>0</v>
      </c>
      <c r="AG51" s="85">
        <v>0</v>
      </c>
      <c r="AH51" s="89">
        <v>0</v>
      </c>
      <c r="AI51" s="90">
        <v>0</v>
      </c>
      <c r="AJ51" s="88">
        <v>0</v>
      </c>
      <c r="AK51" s="79">
        <v>0</v>
      </c>
      <c r="AL51" s="91">
        <v>0</v>
      </c>
      <c r="AM51" s="91">
        <v>0</v>
      </c>
      <c r="AN51" s="91">
        <v>0</v>
      </c>
      <c r="AO51" s="85">
        <v>0</v>
      </c>
      <c r="AP51" s="92">
        <v>0</v>
      </c>
      <c r="AQ51" s="92">
        <v>0</v>
      </c>
    </row>
    <row r="52" spans="1:43">
      <c r="A52" s="93" t="s">
        <v>385</v>
      </c>
      <c r="B52" s="2"/>
      <c r="C52" s="2"/>
      <c r="D52" s="93">
        <v>0</v>
      </c>
      <c r="E52" s="93">
        <v>0</v>
      </c>
      <c r="F52" s="93"/>
      <c r="G52" s="93">
        <v>2</v>
      </c>
      <c r="H52" s="93">
        <v>0</v>
      </c>
      <c r="I52" s="93"/>
      <c r="J52" s="93"/>
      <c r="K52" s="93"/>
      <c r="L52" s="93"/>
      <c r="M52" s="93"/>
      <c r="N52" s="93" t="s">
        <v>730</v>
      </c>
      <c r="P52" s="87" t="s">
        <v>383</v>
      </c>
      <c r="Q52" s="80">
        <f t="shared" ref="Q52:AC52" si="51">VLOOKUP($P52,$A:$N,B$1,0)</f>
        <v>0</v>
      </c>
      <c r="R52" s="80">
        <f t="shared" si="51"/>
        <v>0</v>
      </c>
      <c r="S52" s="80">
        <f t="shared" si="51"/>
        <v>0</v>
      </c>
      <c r="T52" s="80">
        <f t="shared" si="51"/>
        <v>0</v>
      </c>
      <c r="U52" s="80">
        <f t="shared" si="51"/>
        <v>0</v>
      </c>
      <c r="V52" s="80">
        <f t="shared" si="51"/>
        <v>1</v>
      </c>
      <c r="W52" s="80">
        <f t="shared" si="51"/>
        <v>0</v>
      </c>
      <c r="X52" s="80">
        <f t="shared" si="51"/>
        <v>0</v>
      </c>
      <c r="Y52" s="80">
        <f t="shared" si="51"/>
        <v>0</v>
      </c>
      <c r="Z52" s="80">
        <f t="shared" si="51"/>
        <v>0</v>
      </c>
      <c r="AA52" s="80">
        <f t="shared" si="51"/>
        <v>0</v>
      </c>
      <c r="AB52" s="80">
        <f t="shared" si="51"/>
        <v>0</v>
      </c>
      <c r="AC52" s="80" t="str">
        <f t="shared" si="51"/>
        <v>年假1天</v>
      </c>
      <c r="AE52" s="88">
        <v>0</v>
      </c>
      <c r="AF52" s="79">
        <v>0</v>
      </c>
      <c r="AG52" s="85">
        <v>0</v>
      </c>
      <c r="AH52" s="89">
        <v>0</v>
      </c>
      <c r="AI52" s="90">
        <v>0</v>
      </c>
      <c r="AJ52" s="88">
        <v>1</v>
      </c>
      <c r="AK52" s="79">
        <v>0</v>
      </c>
      <c r="AL52" s="91">
        <v>0</v>
      </c>
      <c r="AM52" s="91">
        <v>0</v>
      </c>
      <c r="AN52" s="91">
        <v>0</v>
      </c>
      <c r="AO52" s="85">
        <v>0</v>
      </c>
      <c r="AP52" s="92">
        <v>0</v>
      </c>
      <c r="AQ52" s="92" t="s">
        <v>726</v>
      </c>
    </row>
    <row r="53" spans="1:43">
      <c r="A53" s="93" t="s">
        <v>410</v>
      </c>
      <c r="B53" s="2"/>
      <c r="C53" s="2"/>
      <c r="D53" s="93">
        <v>0</v>
      </c>
      <c r="E53" s="93">
        <v>0</v>
      </c>
      <c r="F53" s="93"/>
      <c r="G53" s="93">
        <v>3</v>
      </c>
      <c r="H53" s="93">
        <v>0</v>
      </c>
      <c r="I53" s="93"/>
      <c r="J53" s="93"/>
      <c r="K53" s="93"/>
      <c r="L53" s="93"/>
      <c r="M53" s="93"/>
      <c r="N53" s="93" t="s">
        <v>725</v>
      </c>
      <c r="P53" s="87" t="s">
        <v>436</v>
      </c>
      <c r="Q53" s="80">
        <f t="shared" ref="Q53:AC53" si="52">VLOOKUP($P53,$A:$N,B$1,0)</f>
        <v>0</v>
      </c>
      <c r="R53" s="80">
        <f t="shared" si="52"/>
        <v>0</v>
      </c>
      <c r="S53" s="80">
        <f t="shared" si="52"/>
        <v>0</v>
      </c>
      <c r="T53" s="80">
        <f t="shared" si="52"/>
        <v>0</v>
      </c>
      <c r="U53" s="80">
        <f t="shared" si="52"/>
        <v>0</v>
      </c>
      <c r="V53" s="80">
        <f t="shared" si="52"/>
        <v>0</v>
      </c>
      <c r="W53" s="80">
        <f t="shared" si="52"/>
        <v>0</v>
      </c>
      <c r="X53" s="80">
        <f t="shared" si="52"/>
        <v>0</v>
      </c>
      <c r="Y53" s="80">
        <f t="shared" si="52"/>
        <v>2</v>
      </c>
      <c r="Z53" s="80">
        <f t="shared" si="52"/>
        <v>0</v>
      </c>
      <c r="AA53" s="80">
        <f t="shared" si="52"/>
        <v>0</v>
      </c>
      <c r="AB53" s="80">
        <f t="shared" si="52"/>
        <v>0</v>
      </c>
      <c r="AC53" s="80" t="str">
        <f t="shared" si="52"/>
        <v>育儿假2天，节假日加班一天算三倍</v>
      </c>
      <c r="AE53" s="88">
        <v>0</v>
      </c>
      <c r="AF53" s="79">
        <v>0</v>
      </c>
      <c r="AG53" s="85">
        <v>0</v>
      </c>
      <c r="AH53" s="89">
        <v>0</v>
      </c>
      <c r="AI53" s="90">
        <v>0</v>
      </c>
      <c r="AJ53" s="88">
        <v>0</v>
      </c>
      <c r="AK53" s="79">
        <v>0</v>
      </c>
      <c r="AL53" s="91">
        <v>0</v>
      </c>
      <c r="AM53" s="91">
        <v>2</v>
      </c>
      <c r="AN53" s="91">
        <v>0</v>
      </c>
      <c r="AO53" s="85">
        <v>0</v>
      </c>
      <c r="AP53" s="92">
        <v>0</v>
      </c>
      <c r="AQ53" s="92" t="s">
        <v>741</v>
      </c>
    </row>
    <row r="54" spans="1:43">
      <c r="A54" s="93" t="s">
        <v>254</v>
      </c>
      <c r="B54" s="2"/>
      <c r="C54" s="2"/>
      <c r="D54" s="93">
        <v>0</v>
      </c>
      <c r="E54" s="93">
        <v>0</v>
      </c>
      <c r="F54" s="93"/>
      <c r="G54" s="93">
        <v>3</v>
      </c>
      <c r="H54" s="93">
        <v>0</v>
      </c>
      <c r="I54" s="93"/>
      <c r="J54" s="93"/>
      <c r="K54" s="93"/>
      <c r="L54" s="93"/>
      <c r="M54" s="93"/>
      <c r="N54" s="93" t="s">
        <v>725</v>
      </c>
      <c r="P54" s="87" t="s">
        <v>545</v>
      </c>
      <c r="Q54" s="80">
        <f t="shared" ref="Q54:AC54" si="53">VLOOKUP($P54,$A:$N,B$1,0)</f>
        <v>0</v>
      </c>
      <c r="R54" s="80">
        <f t="shared" si="53"/>
        <v>0</v>
      </c>
      <c r="S54" s="80">
        <f t="shared" si="53"/>
        <v>0</v>
      </c>
      <c r="T54" s="80">
        <f t="shared" si="53"/>
        <v>1</v>
      </c>
      <c r="U54" s="80">
        <f t="shared" si="53"/>
        <v>0</v>
      </c>
      <c r="V54" s="80">
        <f t="shared" si="53"/>
        <v>1</v>
      </c>
      <c r="W54" s="80">
        <f t="shared" si="53"/>
        <v>0</v>
      </c>
      <c r="X54" s="80">
        <f t="shared" si="53"/>
        <v>0</v>
      </c>
      <c r="Y54" s="80">
        <f t="shared" si="53"/>
        <v>0</v>
      </c>
      <c r="Z54" s="80">
        <f t="shared" si="53"/>
        <v>0</v>
      </c>
      <c r="AA54" s="80">
        <f t="shared" si="53"/>
        <v>0</v>
      </c>
      <c r="AB54" s="80">
        <f t="shared" si="53"/>
        <v>0</v>
      </c>
      <c r="AC54" s="80" t="str">
        <f t="shared" si="53"/>
        <v>事假1天，年假1天，节假日加班1天算三倍</v>
      </c>
      <c r="AE54" s="88">
        <v>0</v>
      </c>
      <c r="AF54" s="79">
        <v>0</v>
      </c>
      <c r="AG54" s="85">
        <v>0</v>
      </c>
      <c r="AH54" s="89">
        <v>1</v>
      </c>
      <c r="AI54" s="90">
        <v>0</v>
      </c>
      <c r="AJ54" s="88">
        <v>1</v>
      </c>
      <c r="AK54" s="79">
        <v>0</v>
      </c>
      <c r="AL54" s="91">
        <v>0</v>
      </c>
      <c r="AM54" s="91">
        <v>0</v>
      </c>
      <c r="AN54" s="91">
        <v>0</v>
      </c>
      <c r="AO54" s="85">
        <v>0</v>
      </c>
      <c r="AP54" s="92">
        <v>0</v>
      </c>
      <c r="AQ54" s="92" t="s">
        <v>742</v>
      </c>
    </row>
    <row r="55" spans="1:43">
      <c r="A55" s="93" t="s">
        <v>569</v>
      </c>
      <c r="B55" s="2"/>
      <c r="C55" s="2"/>
      <c r="D55" s="93">
        <v>19.5</v>
      </c>
      <c r="E55" s="93">
        <v>0</v>
      </c>
      <c r="F55" s="93"/>
      <c r="G55" s="93">
        <v>0</v>
      </c>
      <c r="H55" s="93">
        <v>0</v>
      </c>
      <c r="I55" s="93"/>
      <c r="J55" s="93"/>
      <c r="K55" s="93"/>
      <c r="L55" s="93"/>
      <c r="M55" s="93"/>
      <c r="N55" s="93" t="s">
        <v>729</v>
      </c>
      <c r="P55" s="87" t="s">
        <v>378</v>
      </c>
      <c r="Q55" s="80">
        <f t="shared" ref="Q55:AC55" si="54">VLOOKUP($P55,$A:$N,B$1,0)</f>
        <v>0</v>
      </c>
      <c r="R55" s="80">
        <f t="shared" si="54"/>
        <v>0</v>
      </c>
      <c r="S55" s="80">
        <f t="shared" si="54"/>
        <v>3.5</v>
      </c>
      <c r="T55" s="80">
        <f t="shared" si="54"/>
        <v>0</v>
      </c>
      <c r="U55" s="80">
        <f t="shared" si="54"/>
        <v>0</v>
      </c>
      <c r="V55" s="80">
        <f t="shared" si="54"/>
        <v>0</v>
      </c>
      <c r="W55" s="80">
        <f t="shared" si="54"/>
        <v>0</v>
      </c>
      <c r="X55" s="80">
        <f t="shared" si="54"/>
        <v>0</v>
      </c>
      <c r="Y55" s="80">
        <f t="shared" si="54"/>
        <v>0</v>
      </c>
      <c r="Z55" s="80">
        <f t="shared" si="54"/>
        <v>0</v>
      </c>
      <c r="AA55" s="80">
        <f t="shared" si="54"/>
        <v>0</v>
      </c>
      <c r="AB55" s="80">
        <f t="shared" si="54"/>
        <v>0</v>
      </c>
      <c r="AC55" s="80" t="str">
        <f t="shared" si="54"/>
        <v>病假3.5天</v>
      </c>
      <c r="AE55" s="88">
        <v>0</v>
      </c>
      <c r="AF55" s="79">
        <v>0</v>
      </c>
      <c r="AG55" s="85">
        <v>3.5</v>
      </c>
      <c r="AH55" s="89">
        <v>0</v>
      </c>
      <c r="AI55" s="90">
        <v>0</v>
      </c>
      <c r="AJ55" s="88">
        <v>0</v>
      </c>
      <c r="AK55" s="79">
        <v>0</v>
      </c>
      <c r="AL55" s="91">
        <v>0</v>
      </c>
      <c r="AM55" s="91">
        <v>0</v>
      </c>
      <c r="AN55" s="91">
        <v>0</v>
      </c>
      <c r="AO55" s="85">
        <v>0</v>
      </c>
      <c r="AP55" s="92">
        <v>0</v>
      </c>
      <c r="AQ55" s="92" t="s">
        <v>743</v>
      </c>
    </row>
    <row r="56" spans="1:43">
      <c r="A56" s="93" t="s">
        <v>455</v>
      </c>
      <c r="B56" s="2"/>
      <c r="C56" s="2"/>
      <c r="D56" s="93">
        <v>0</v>
      </c>
      <c r="E56" s="93">
        <v>0</v>
      </c>
      <c r="F56" s="93"/>
      <c r="G56" s="93">
        <v>0</v>
      </c>
      <c r="H56" s="93">
        <v>0</v>
      </c>
      <c r="I56" s="93"/>
      <c r="J56" s="93"/>
      <c r="K56" s="93"/>
      <c r="L56" s="93"/>
      <c r="M56" s="93"/>
      <c r="N56" s="93"/>
      <c r="P56" s="87" t="s">
        <v>455</v>
      </c>
      <c r="Q56" s="80">
        <f t="shared" ref="Q56:AC56" si="55">VLOOKUP($P56,$A:$N,B$1,0)</f>
        <v>0</v>
      </c>
      <c r="R56" s="80">
        <f t="shared" si="55"/>
        <v>0</v>
      </c>
      <c r="S56" s="80">
        <f t="shared" si="55"/>
        <v>0</v>
      </c>
      <c r="T56" s="80">
        <f t="shared" si="55"/>
        <v>0</v>
      </c>
      <c r="U56" s="80">
        <f t="shared" si="55"/>
        <v>0</v>
      </c>
      <c r="V56" s="80">
        <f t="shared" si="55"/>
        <v>0</v>
      </c>
      <c r="W56" s="80">
        <f t="shared" si="55"/>
        <v>0</v>
      </c>
      <c r="X56" s="80">
        <f t="shared" si="55"/>
        <v>0</v>
      </c>
      <c r="Y56" s="80">
        <f t="shared" si="55"/>
        <v>0</v>
      </c>
      <c r="Z56" s="80">
        <f t="shared" si="55"/>
        <v>0</v>
      </c>
      <c r="AA56" s="80">
        <f t="shared" si="55"/>
        <v>0</v>
      </c>
      <c r="AB56" s="80">
        <f t="shared" si="55"/>
        <v>0</v>
      </c>
      <c r="AC56" s="80">
        <f t="shared" si="55"/>
        <v>0</v>
      </c>
      <c r="AE56" s="88">
        <v>0</v>
      </c>
      <c r="AF56" s="79">
        <v>0</v>
      </c>
      <c r="AG56" s="85">
        <v>0</v>
      </c>
      <c r="AH56" s="89">
        <v>0</v>
      </c>
      <c r="AI56" s="90">
        <v>0</v>
      </c>
      <c r="AJ56" s="88">
        <v>0</v>
      </c>
      <c r="AK56" s="79">
        <v>0</v>
      </c>
      <c r="AL56" s="91">
        <v>0</v>
      </c>
      <c r="AM56" s="91">
        <v>0</v>
      </c>
      <c r="AN56" s="91">
        <v>0</v>
      </c>
      <c r="AO56" s="85">
        <v>0</v>
      </c>
      <c r="AP56" s="92">
        <v>0</v>
      </c>
      <c r="AQ56" s="92">
        <v>0</v>
      </c>
    </row>
    <row r="57" spans="1:43">
      <c r="A57" s="93" t="s">
        <v>525</v>
      </c>
      <c r="B57" s="2"/>
      <c r="C57" s="2"/>
      <c r="D57" s="93">
        <v>0</v>
      </c>
      <c r="E57" s="93">
        <v>0</v>
      </c>
      <c r="F57" s="93"/>
      <c r="G57" s="93">
        <v>3</v>
      </c>
      <c r="H57" s="93">
        <v>0</v>
      </c>
      <c r="I57" s="93"/>
      <c r="J57" s="93"/>
      <c r="K57" s="93"/>
      <c r="L57" s="93"/>
      <c r="M57" s="93"/>
      <c r="N57" s="93" t="s">
        <v>725</v>
      </c>
      <c r="P57" s="87" t="s">
        <v>553</v>
      </c>
      <c r="Q57" s="80">
        <f t="shared" ref="Q57:AC57" si="56">VLOOKUP($P57,$A:$N,B$1,0)</f>
        <v>0</v>
      </c>
      <c r="R57" s="80">
        <f t="shared" si="56"/>
        <v>0</v>
      </c>
      <c r="S57" s="80">
        <f t="shared" si="56"/>
        <v>0</v>
      </c>
      <c r="T57" s="80">
        <f t="shared" si="56"/>
        <v>0</v>
      </c>
      <c r="U57" s="80">
        <f t="shared" si="56"/>
        <v>0</v>
      </c>
      <c r="V57" s="80">
        <f t="shared" si="56"/>
        <v>0</v>
      </c>
      <c r="W57" s="80">
        <f t="shared" si="56"/>
        <v>0</v>
      </c>
      <c r="X57" s="80">
        <f t="shared" si="56"/>
        <v>0</v>
      </c>
      <c r="Y57" s="80">
        <f t="shared" si="56"/>
        <v>0</v>
      </c>
      <c r="Z57" s="80">
        <f t="shared" si="56"/>
        <v>0</v>
      </c>
      <c r="AA57" s="80">
        <f t="shared" si="56"/>
        <v>0</v>
      </c>
      <c r="AB57" s="80">
        <f t="shared" si="56"/>
        <v>0</v>
      </c>
      <c r="AC57" s="80" t="str">
        <f t="shared" si="56"/>
        <v>节假日加班1天算三倍</v>
      </c>
      <c r="AE57" s="88">
        <v>0</v>
      </c>
      <c r="AF57" s="79">
        <v>0</v>
      </c>
      <c r="AG57" s="85">
        <v>0</v>
      </c>
      <c r="AH57" s="89">
        <v>0</v>
      </c>
      <c r="AI57" s="90">
        <v>0</v>
      </c>
      <c r="AJ57" s="88">
        <v>0</v>
      </c>
      <c r="AK57" s="79">
        <v>0</v>
      </c>
      <c r="AL57" s="91">
        <v>0</v>
      </c>
      <c r="AM57" s="91">
        <v>0</v>
      </c>
      <c r="AN57" s="91">
        <v>0</v>
      </c>
      <c r="AO57" s="85">
        <v>0</v>
      </c>
      <c r="AP57" s="92">
        <v>0</v>
      </c>
      <c r="AQ57" s="92" t="s">
        <v>738</v>
      </c>
    </row>
    <row r="58" spans="1:43">
      <c r="A58" s="93" t="s">
        <v>347</v>
      </c>
      <c r="B58" s="2"/>
      <c r="C58" s="2"/>
      <c r="D58" s="93">
        <v>0</v>
      </c>
      <c r="E58" s="93">
        <v>0</v>
      </c>
      <c r="F58" s="93"/>
      <c r="G58" s="93">
        <v>0</v>
      </c>
      <c r="H58" s="93">
        <v>0</v>
      </c>
      <c r="I58" s="93"/>
      <c r="J58" s="93"/>
      <c r="K58" s="93"/>
      <c r="L58" s="93"/>
      <c r="M58" s="93"/>
      <c r="N58" s="93"/>
      <c r="P58" s="87" t="s">
        <v>536</v>
      </c>
      <c r="Q58" s="80" t="e">
        <f t="shared" ref="Q58:AC58" si="57">VLOOKUP($P58,$A:$N,B$1,0)</f>
        <v>#N/A</v>
      </c>
      <c r="R58" s="80" t="e">
        <f t="shared" si="57"/>
        <v>#N/A</v>
      </c>
      <c r="S58" s="80" t="e">
        <f t="shared" si="57"/>
        <v>#N/A</v>
      </c>
      <c r="T58" s="80" t="e">
        <f t="shared" si="57"/>
        <v>#N/A</v>
      </c>
      <c r="U58" s="80" t="e">
        <f t="shared" si="57"/>
        <v>#N/A</v>
      </c>
      <c r="V58" s="80" t="e">
        <f t="shared" si="57"/>
        <v>#N/A</v>
      </c>
      <c r="W58" s="80" t="e">
        <f t="shared" si="57"/>
        <v>#N/A</v>
      </c>
      <c r="X58" s="80" t="e">
        <f t="shared" si="57"/>
        <v>#N/A</v>
      </c>
      <c r="Y58" s="80" t="e">
        <f t="shared" si="57"/>
        <v>#N/A</v>
      </c>
      <c r="Z58" s="80" t="e">
        <f t="shared" si="57"/>
        <v>#N/A</v>
      </c>
      <c r="AA58" s="80" t="e">
        <f t="shared" si="57"/>
        <v>#N/A</v>
      </c>
      <c r="AB58" s="80" t="e">
        <f t="shared" si="57"/>
        <v>#N/A</v>
      </c>
      <c r="AC58" s="80" t="e">
        <f t="shared" si="57"/>
        <v>#N/A</v>
      </c>
      <c r="AE58" s="88"/>
      <c r="AF58" s="79"/>
      <c r="AG58" s="85"/>
      <c r="AH58" s="89"/>
      <c r="AI58" s="90"/>
      <c r="AJ58" s="88"/>
      <c r="AK58" s="79"/>
      <c r="AL58" s="91"/>
      <c r="AM58" s="91"/>
      <c r="AN58" s="91"/>
      <c r="AO58" s="85"/>
      <c r="AP58" s="92"/>
      <c r="AQ58" s="92"/>
    </row>
    <row r="59" spans="1:43">
      <c r="A59" s="93" t="s">
        <v>352</v>
      </c>
      <c r="B59" s="2"/>
      <c r="C59" s="2"/>
      <c r="D59" s="93">
        <v>0</v>
      </c>
      <c r="E59" s="93">
        <v>10</v>
      </c>
      <c r="F59" s="93"/>
      <c r="G59" s="93">
        <v>6</v>
      </c>
      <c r="H59" s="93">
        <v>0</v>
      </c>
      <c r="I59" s="93"/>
      <c r="J59" s="93"/>
      <c r="K59" s="93"/>
      <c r="L59" s="93"/>
      <c r="M59" s="93"/>
      <c r="N59" s="93" t="s">
        <v>754</v>
      </c>
      <c r="P59" s="87" t="s">
        <v>440</v>
      </c>
      <c r="Q59" s="80">
        <f t="shared" ref="Q59:AC59" si="58">VLOOKUP($P59,$A:$N,B$1,0)</f>
        <v>0</v>
      </c>
      <c r="R59" s="80">
        <f t="shared" si="58"/>
        <v>0</v>
      </c>
      <c r="S59" s="80">
        <f t="shared" si="58"/>
        <v>0</v>
      </c>
      <c r="T59" s="80">
        <f t="shared" si="58"/>
        <v>0</v>
      </c>
      <c r="U59" s="80">
        <f t="shared" si="58"/>
        <v>0</v>
      </c>
      <c r="V59" s="80">
        <f t="shared" si="58"/>
        <v>0</v>
      </c>
      <c r="W59" s="80">
        <f t="shared" si="58"/>
        <v>0</v>
      </c>
      <c r="X59" s="80">
        <f t="shared" si="58"/>
        <v>0</v>
      </c>
      <c r="Y59" s="80">
        <f t="shared" si="58"/>
        <v>0</v>
      </c>
      <c r="Z59" s="80">
        <f t="shared" si="58"/>
        <v>0</v>
      </c>
      <c r="AA59" s="80">
        <f t="shared" si="58"/>
        <v>0</v>
      </c>
      <c r="AB59" s="80">
        <f t="shared" si="58"/>
        <v>0</v>
      </c>
      <c r="AC59" s="80">
        <f t="shared" si="58"/>
        <v>0</v>
      </c>
      <c r="AE59" s="88">
        <v>0</v>
      </c>
      <c r="AF59" s="79">
        <v>0</v>
      </c>
      <c r="AG59" s="85">
        <v>0</v>
      </c>
      <c r="AH59" s="89">
        <v>0</v>
      </c>
      <c r="AI59" s="90">
        <v>0</v>
      </c>
      <c r="AJ59" s="88">
        <v>0</v>
      </c>
      <c r="AK59" s="79">
        <v>0</v>
      </c>
      <c r="AL59" s="91">
        <v>0</v>
      </c>
      <c r="AM59" s="91">
        <v>0</v>
      </c>
      <c r="AN59" s="91">
        <v>0</v>
      </c>
      <c r="AO59" s="85">
        <v>0</v>
      </c>
      <c r="AP59" s="92">
        <v>0</v>
      </c>
      <c r="AQ59" s="92">
        <v>0</v>
      </c>
    </row>
    <row r="60" spans="1:43">
      <c r="A60" s="93" t="s">
        <v>380</v>
      </c>
      <c r="B60" s="2"/>
      <c r="C60" s="2"/>
      <c r="D60" s="93">
        <v>0</v>
      </c>
      <c r="E60" s="93">
        <v>0</v>
      </c>
      <c r="F60" s="93"/>
      <c r="G60" s="93">
        <v>0</v>
      </c>
      <c r="H60" s="93">
        <v>0</v>
      </c>
      <c r="I60" s="93"/>
      <c r="J60" s="93"/>
      <c r="K60" s="93"/>
      <c r="L60" s="93"/>
      <c r="M60" s="93"/>
      <c r="N60" s="93"/>
      <c r="P60" s="87" t="s">
        <v>438</v>
      </c>
      <c r="Q60" s="80">
        <f t="shared" ref="Q60:AC60" si="59">VLOOKUP($P60,$A:$N,B$1,0)</f>
        <v>0</v>
      </c>
      <c r="R60" s="80">
        <f t="shared" si="59"/>
        <v>0</v>
      </c>
      <c r="S60" s="80">
        <f t="shared" si="59"/>
        <v>0</v>
      </c>
      <c r="T60" s="80">
        <f t="shared" si="59"/>
        <v>0</v>
      </c>
      <c r="U60" s="80">
        <f t="shared" si="59"/>
        <v>0</v>
      </c>
      <c r="V60" s="80">
        <f t="shared" si="59"/>
        <v>0</v>
      </c>
      <c r="W60" s="80">
        <f t="shared" si="59"/>
        <v>0</v>
      </c>
      <c r="X60" s="80">
        <f t="shared" si="59"/>
        <v>0</v>
      </c>
      <c r="Y60" s="80">
        <f t="shared" si="59"/>
        <v>0</v>
      </c>
      <c r="Z60" s="80">
        <f t="shared" si="59"/>
        <v>0</v>
      </c>
      <c r="AA60" s="80">
        <f t="shared" si="59"/>
        <v>0</v>
      </c>
      <c r="AB60" s="80">
        <f t="shared" si="59"/>
        <v>0</v>
      </c>
      <c r="AC60" s="80">
        <f t="shared" si="59"/>
        <v>0</v>
      </c>
      <c r="AE60" s="88">
        <v>0</v>
      </c>
      <c r="AF60" s="79">
        <v>0</v>
      </c>
      <c r="AG60" s="85">
        <v>0</v>
      </c>
      <c r="AH60" s="89">
        <v>0</v>
      </c>
      <c r="AI60" s="90">
        <v>0</v>
      </c>
      <c r="AJ60" s="88">
        <v>0</v>
      </c>
      <c r="AK60" s="79">
        <v>0</v>
      </c>
      <c r="AL60" s="91">
        <v>0</v>
      </c>
      <c r="AM60" s="91">
        <v>0</v>
      </c>
      <c r="AN60" s="91">
        <v>0</v>
      </c>
      <c r="AO60" s="85">
        <v>0</v>
      </c>
      <c r="AP60" s="92">
        <v>0</v>
      </c>
      <c r="AQ60" s="92">
        <v>0</v>
      </c>
    </row>
    <row r="61" spans="1:43">
      <c r="A61" s="93" t="s">
        <v>389</v>
      </c>
      <c r="B61" s="2"/>
      <c r="C61" s="2"/>
      <c r="D61" s="93">
        <v>0</v>
      </c>
      <c r="E61" s="93">
        <v>0</v>
      </c>
      <c r="F61" s="93"/>
      <c r="G61" s="93">
        <v>0</v>
      </c>
      <c r="H61" s="93">
        <v>0</v>
      </c>
      <c r="I61" s="93"/>
      <c r="J61" s="93"/>
      <c r="K61" s="93"/>
      <c r="L61" s="93"/>
      <c r="M61" s="93"/>
      <c r="N61" s="93" t="s">
        <v>734</v>
      </c>
      <c r="P61" s="87" t="s">
        <v>441</v>
      </c>
      <c r="Q61" s="80" t="e">
        <f t="shared" ref="Q61:AC61" si="60">VLOOKUP($P61,$A:$N,B$1,0)</f>
        <v>#N/A</v>
      </c>
      <c r="R61" s="80" t="e">
        <f t="shared" si="60"/>
        <v>#N/A</v>
      </c>
      <c r="S61" s="80" t="e">
        <f t="shared" si="60"/>
        <v>#N/A</v>
      </c>
      <c r="T61" s="80" t="e">
        <f t="shared" si="60"/>
        <v>#N/A</v>
      </c>
      <c r="U61" s="80" t="e">
        <f t="shared" si="60"/>
        <v>#N/A</v>
      </c>
      <c r="V61" s="80" t="e">
        <f t="shared" si="60"/>
        <v>#N/A</v>
      </c>
      <c r="W61" s="80" t="e">
        <f t="shared" si="60"/>
        <v>#N/A</v>
      </c>
      <c r="X61" s="80" t="e">
        <f t="shared" si="60"/>
        <v>#N/A</v>
      </c>
      <c r="Y61" s="80" t="e">
        <f t="shared" si="60"/>
        <v>#N/A</v>
      </c>
      <c r="Z61" s="80" t="e">
        <f t="shared" si="60"/>
        <v>#N/A</v>
      </c>
      <c r="AA61" s="80" t="e">
        <f t="shared" si="60"/>
        <v>#N/A</v>
      </c>
      <c r="AB61" s="80" t="e">
        <f t="shared" si="60"/>
        <v>#N/A</v>
      </c>
      <c r="AC61" s="80" t="e">
        <f t="shared" si="60"/>
        <v>#N/A</v>
      </c>
      <c r="AE61" s="88"/>
      <c r="AF61" s="79"/>
      <c r="AG61" s="85"/>
      <c r="AH61" s="89"/>
      <c r="AI61" s="90"/>
      <c r="AJ61" s="88"/>
      <c r="AK61" s="79"/>
      <c r="AL61" s="91"/>
      <c r="AM61" s="91"/>
      <c r="AN61" s="91"/>
      <c r="AO61" s="85"/>
      <c r="AP61" s="92"/>
      <c r="AQ61" s="92"/>
    </row>
    <row r="62" spans="1:43">
      <c r="A62" s="93" t="s">
        <v>567</v>
      </c>
      <c r="B62" s="2"/>
      <c r="C62" s="2"/>
      <c r="D62" s="93">
        <v>0</v>
      </c>
      <c r="E62" s="93">
        <v>0</v>
      </c>
      <c r="F62" s="93"/>
      <c r="G62" s="93">
        <v>0</v>
      </c>
      <c r="H62" s="93">
        <v>0</v>
      </c>
      <c r="I62" s="93"/>
      <c r="J62" s="93"/>
      <c r="K62" s="93"/>
      <c r="L62" s="93"/>
      <c r="M62" s="93" t="s">
        <v>762</v>
      </c>
      <c r="N62" s="93" t="s">
        <v>763</v>
      </c>
      <c r="P62" s="87" t="s">
        <v>573</v>
      </c>
      <c r="Q62" s="80">
        <f t="shared" ref="Q62:AC62" si="61">VLOOKUP($P62,$A:$N,B$1,0)</f>
        <v>0</v>
      </c>
      <c r="R62" s="80">
        <f t="shared" si="61"/>
        <v>0</v>
      </c>
      <c r="S62" s="80">
        <f t="shared" si="61"/>
        <v>0</v>
      </c>
      <c r="T62" s="80">
        <f t="shared" si="61"/>
        <v>0</v>
      </c>
      <c r="U62" s="80">
        <f t="shared" si="61"/>
        <v>0</v>
      </c>
      <c r="V62" s="80">
        <f t="shared" si="61"/>
        <v>0</v>
      </c>
      <c r="W62" s="80">
        <f t="shared" si="61"/>
        <v>0</v>
      </c>
      <c r="X62" s="80">
        <f t="shared" si="61"/>
        <v>0</v>
      </c>
      <c r="Y62" s="80">
        <f t="shared" si="61"/>
        <v>0</v>
      </c>
      <c r="Z62" s="80">
        <f t="shared" si="61"/>
        <v>0</v>
      </c>
      <c r="AA62" s="80">
        <f t="shared" si="61"/>
        <v>0</v>
      </c>
      <c r="AB62" s="80">
        <f t="shared" si="61"/>
        <v>0</v>
      </c>
      <c r="AC62" s="80" t="str">
        <f t="shared" si="61"/>
        <v>节假日加班一天补贴200</v>
      </c>
      <c r="AE62" s="88">
        <v>0</v>
      </c>
      <c r="AF62" s="79">
        <v>0</v>
      </c>
      <c r="AG62" s="85">
        <v>0</v>
      </c>
      <c r="AH62" s="89">
        <v>0</v>
      </c>
      <c r="AI62" s="90">
        <v>0</v>
      </c>
      <c r="AJ62" s="88">
        <v>0</v>
      </c>
      <c r="AK62" s="79">
        <v>0</v>
      </c>
      <c r="AL62" s="91">
        <v>0</v>
      </c>
      <c r="AM62" s="91">
        <v>0</v>
      </c>
      <c r="AN62" s="91">
        <v>0</v>
      </c>
      <c r="AO62" s="85">
        <v>0</v>
      </c>
      <c r="AP62" s="92">
        <v>0</v>
      </c>
      <c r="AQ62" s="92" t="s">
        <v>744</v>
      </c>
    </row>
    <row r="63" spans="1:43">
      <c r="A63" s="93" t="s">
        <v>464</v>
      </c>
      <c r="B63" s="2"/>
      <c r="C63" s="2"/>
      <c r="D63" s="93">
        <v>0</v>
      </c>
      <c r="E63" s="93">
        <v>0</v>
      </c>
      <c r="F63" s="93"/>
      <c r="G63" s="93">
        <v>0</v>
      </c>
      <c r="H63" s="93">
        <v>0</v>
      </c>
      <c r="I63" s="93"/>
      <c r="J63" s="93"/>
      <c r="K63" s="93"/>
      <c r="L63" s="93"/>
      <c r="M63" s="93"/>
      <c r="N63" s="93" t="s">
        <v>744</v>
      </c>
      <c r="P63" s="87" t="s">
        <v>571</v>
      </c>
      <c r="Q63" s="80">
        <f t="shared" ref="Q63:AC63" si="62">VLOOKUP($P63,$A:$N,B$1,0)</f>
        <v>0</v>
      </c>
      <c r="R63" s="80">
        <f t="shared" si="62"/>
        <v>0</v>
      </c>
      <c r="S63" s="80">
        <f t="shared" si="62"/>
        <v>0</v>
      </c>
      <c r="T63" s="80">
        <f t="shared" si="62"/>
        <v>0</v>
      </c>
      <c r="U63" s="80">
        <f t="shared" si="62"/>
        <v>0</v>
      </c>
      <c r="V63" s="80">
        <f t="shared" si="62"/>
        <v>0</v>
      </c>
      <c r="W63" s="80">
        <f t="shared" si="62"/>
        <v>0</v>
      </c>
      <c r="X63" s="80">
        <f t="shared" si="62"/>
        <v>0</v>
      </c>
      <c r="Y63" s="80">
        <f t="shared" si="62"/>
        <v>0</v>
      </c>
      <c r="Z63" s="80">
        <f t="shared" si="62"/>
        <v>0</v>
      </c>
      <c r="AA63" s="80">
        <f t="shared" si="62"/>
        <v>0</v>
      </c>
      <c r="AB63" s="80">
        <f t="shared" si="62"/>
        <v>0</v>
      </c>
      <c r="AC63" s="80">
        <f t="shared" si="62"/>
        <v>0</v>
      </c>
      <c r="AE63" s="88">
        <v>0</v>
      </c>
      <c r="AF63" s="79">
        <v>0</v>
      </c>
      <c r="AG63" s="85">
        <v>0</v>
      </c>
      <c r="AH63" s="89">
        <v>0</v>
      </c>
      <c r="AI63" s="90">
        <v>0</v>
      </c>
      <c r="AJ63" s="88">
        <v>0</v>
      </c>
      <c r="AK63" s="79">
        <v>0</v>
      </c>
      <c r="AL63" s="91">
        <v>0</v>
      </c>
      <c r="AM63" s="91">
        <v>0</v>
      </c>
      <c r="AN63" s="91">
        <v>0</v>
      </c>
      <c r="AO63" s="85">
        <v>0</v>
      </c>
      <c r="AP63" s="92">
        <v>0</v>
      </c>
      <c r="AQ63" s="92">
        <v>0</v>
      </c>
    </row>
    <row r="64" spans="1:43">
      <c r="A64" s="93" t="s">
        <v>573</v>
      </c>
      <c r="B64" s="2"/>
      <c r="C64" s="2"/>
      <c r="D64" s="93">
        <v>0</v>
      </c>
      <c r="E64" s="93">
        <v>0</v>
      </c>
      <c r="F64" s="93"/>
      <c r="G64" s="93">
        <v>0</v>
      </c>
      <c r="H64" s="93">
        <v>0</v>
      </c>
      <c r="I64" s="93"/>
      <c r="J64" s="93"/>
      <c r="K64" s="93"/>
      <c r="L64" s="93"/>
      <c r="M64" s="93"/>
      <c r="N64" s="93" t="s">
        <v>744</v>
      </c>
      <c r="P64" s="87" t="s">
        <v>577</v>
      </c>
      <c r="Q64" s="80">
        <f t="shared" ref="Q64:AC64" si="63">VLOOKUP($P64,$A:$N,B$1,0)</f>
        <v>0</v>
      </c>
      <c r="R64" s="80">
        <f t="shared" si="63"/>
        <v>0</v>
      </c>
      <c r="S64" s="80">
        <f t="shared" si="63"/>
        <v>0</v>
      </c>
      <c r="T64" s="80">
        <f t="shared" si="63"/>
        <v>0</v>
      </c>
      <c r="U64" s="80">
        <f t="shared" si="63"/>
        <v>0</v>
      </c>
      <c r="V64" s="80">
        <f t="shared" si="63"/>
        <v>0</v>
      </c>
      <c r="W64" s="80">
        <f t="shared" si="63"/>
        <v>0</v>
      </c>
      <c r="X64" s="80">
        <f t="shared" si="63"/>
        <v>0</v>
      </c>
      <c r="Y64" s="80">
        <f t="shared" si="63"/>
        <v>0</v>
      </c>
      <c r="Z64" s="80">
        <f t="shared" si="63"/>
        <v>0</v>
      </c>
      <c r="AA64" s="80">
        <f t="shared" si="63"/>
        <v>2</v>
      </c>
      <c r="AB64" s="80" t="str">
        <f t="shared" si="63"/>
        <v>6.15离职</v>
      </c>
      <c r="AC64" s="80" t="str">
        <f t="shared" si="63"/>
        <v>缺卡4次记旷工2天，本月共计出勤10天</v>
      </c>
      <c r="AE64" s="88">
        <v>0</v>
      </c>
      <c r="AF64" s="79">
        <v>0</v>
      </c>
      <c r="AG64" s="85">
        <v>0</v>
      </c>
      <c r="AH64" s="89">
        <v>0</v>
      </c>
      <c r="AI64" s="90">
        <v>0</v>
      </c>
      <c r="AJ64" s="88">
        <v>0</v>
      </c>
      <c r="AK64" s="79">
        <v>0</v>
      </c>
      <c r="AL64" s="91">
        <v>0</v>
      </c>
      <c r="AM64" s="91">
        <v>0</v>
      </c>
      <c r="AN64" s="91">
        <v>0</v>
      </c>
      <c r="AO64" s="85">
        <v>2</v>
      </c>
      <c r="AP64" s="92" t="s">
        <v>745</v>
      </c>
      <c r="AQ64" s="92" t="s">
        <v>746</v>
      </c>
    </row>
    <row r="65" spans="1:43">
      <c r="A65" s="93" t="s">
        <v>381</v>
      </c>
      <c r="B65" s="2"/>
      <c r="C65" s="2"/>
      <c r="D65" s="93">
        <v>0</v>
      </c>
      <c r="E65" s="93">
        <v>0</v>
      </c>
      <c r="F65" s="93"/>
      <c r="G65" s="93">
        <v>0</v>
      </c>
      <c r="H65" s="93">
        <v>0</v>
      </c>
      <c r="I65" s="93"/>
      <c r="J65" s="93"/>
      <c r="K65" s="93"/>
      <c r="L65" s="93"/>
      <c r="M65" s="93"/>
      <c r="N65" s="93"/>
      <c r="P65" s="87" t="s">
        <v>555</v>
      </c>
      <c r="Q65" s="80">
        <f t="shared" ref="Q65:AC65" si="64">VLOOKUP($P65,$A:$N,B$1,0)</f>
        <v>0</v>
      </c>
      <c r="R65" s="80">
        <f t="shared" si="64"/>
        <v>0</v>
      </c>
      <c r="S65" s="80">
        <f t="shared" si="64"/>
        <v>0</v>
      </c>
      <c r="T65" s="80">
        <f t="shared" si="64"/>
        <v>1</v>
      </c>
      <c r="U65" s="80">
        <f t="shared" si="64"/>
        <v>0</v>
      </c>
      <c r="V65" s="80">
        <f t="shared" si="64"/>
        <v>0</v>
      </c>
      <c r="W65" s="80">
        <f t="shared" si="64"/>
        <v>0</v>
      </c>
      <c r="X65" s="80">
        <f t="shared" si="64"/>
        <v>0</v>
      </c>
      <c r="Y65" s="80">
        <f t="shared" si="64"/>
        <v>0</v>
      </c>
      <c r="Z65" s="80">
        <f t="shared" si="64"/>
        <v>0</v>
      </c>
      <c r="AA65" s="80">
        <f t="shared" si="64"/>
        <v>11</v>
      </c>
      <c r="AB65" s="80" t="str">
        <f t="shared" si="64"/>
        <v>6.15离职</v>
      </c>
      <c r="AC65" s="80" t="str">
        <f t="shared" si="64"/>
        <v>事假1天，缺卡22次记旷工11天，本月共出勤1天</v>
      </c>
      <c r="AE65" s="88">
        <v>0</v>
      </c>
      <c r="AF65" s="79">
        <v>0</v>
      </c>
      <c r="AG65" s="85">
        <v>0</v>
      </c>
      <c r="AH65" s="89">
        <v>1</v>
      </c>
      <c r="AI65" s="90">
        <v>0</v>
      </c>
      <c r="AJ65" s="88">
        <v>0</v>
      </c>
      <c r="AK65" s="79">
        <v>0</v>
      </c>
      <c r="AL65" s="91">
        <v>0</v>
      </c>
      <c r="AM65" s="91">
        <v>0</v>
      </c>
      <c r="AN65" s="91">
        <v>0</v>
      </c>
      <c r="AO65" s="85">
        <v>11</v>
      </c>
      <c r="AP65" s="92" t="s">
        <v>745</v>
      </c>
      <c r="AQ65" s="92" t="s">
        <v>747</v>
      </c>
    </row>
    <row r="66" spans="1:43">
      <c r="A66" s="93" t="s">
        <v>471</v>
      </c>
      <c r="B66" s="2"/>
      <c r="C66" s="2"/>
      <c r="D66" s="93">
        <v>0</v>
      </c>
      <c r="E66" s="93">
        <v>0</v>
      </c>
      <c r="F66" s="93"/>
      <c r="G66" s="93">
        <v>0</v>
      </c>
      <c r="H66" s="93">
        <v>0</v>
      </c>
      <c r="I66" s="93"/>
      <c r="J66" s="93"/>
      <c r="K66" s="93"/>
      <c r="L66" s="93"/>
      <c r="M66" s="93"/>
      <c r="N66" s="93" t="s">
        <v>748</v>
      </c>
      <c r="P66" s="87" t="s">
        <v>464</v>
      </c>
      <c r="Q66" s="80">
        <f t="shared" ref="Q66:AC66" si="65">VLOOKUP($P66,$A:$N,B$1,0)</f>
        <v>0</v>
      </c>
      <c r="R66" s="80">
        <f t="shared" si="65"/>
        <v>0</v>
      </c>
      <c r="S66" s="80">
        <f t="shared" si="65"/>
        <v>0</v>
      </c>
      <c r="T66" s="80">
        <f t="shared" si="65"/>
        <v>0</v>
      </c>
      <c r="U66" s="80">
        <f t="shared" si="65"/>
        <v>0</v>
      </c>
      <c r="V66" s="80">
        <f t="shared" si="65"/>
        <v>0</v>
      </c>
      <c r="W66" s="80">
        <f t="shared" si="65"/>
        <v>0</v>
      </c>
      <c r="X66" s="80">
        <f t="shared" si="65"/>
        <v>0</v>
      </c>
      <c r="Y66" s="80">
        <f t="shared" si="65"/>
        <v>0</v>
      </c>
      <c r="Z66" s="80">
        <f t="shared" si="65"/>
        <v>0</v>
      </c>
      <c r="AA66" s="80">
        <f t="shared" si="65"/>
        <v>0</v>
      </c>
      <c r="AB66" s="80">
        <f t="shared" si="65"/>
        <v>0</v>
      </c>
      <c r="AC66" s="80" t="str">
        <f t="shared" si="65"/>
        <v>节假日加班一天补贴200</v>
      </c>
      <c r="AE66" s="88">
        <v>0</v>
      </c>
      <c r="AF66" s="79">
        <v>0</v>
      </c>
      <c r="AG66" s="85">
        <v>0</v>
      </c>
      <c r="AH66" s="89">
        <v>0</v>
      </c>
      <c r="AI66" s="90">
        <v>0</v>
      </c>
      <c r="AJ66" s="88">
        <v>0</v>
      </c>
      <c r="AK66" s="79">
        <v>0</v>
      </c>
      <c r="AL66" s="91">
        <v>0</v>
      </c>
      <c r="AM66" s="91">
        <v>0</v>
      </c>
      <c r="AN66" s="91">
        <v>0</v>
      </c>
      <c r="AO66" s="85">
        <v>0</v>
      </c>
      <c r="AP66" s="92">
        <v>0</v>
      </c>
      <c r="AQ66" s="92" t="s">
        <v>744</v>
      </c>
    </row>
    <row r="67" spans="1:43">
      <c r="A67" s="93" t="s">
        <v>566</v>
      </c>
      <c r="B67" s="2"/>
      <c r="C67" s="2"/>
      <c r="D67" s="93">
        <v>0</v>
      </c>
      <c r="E67" s="93">
        <v>0</v>
      </c>
      <c r="F67" s="93"/>
      <c r="G67" s="93">
        <v>0</v>
      </c>
      <c r="H67" s="93">
        <v>0</v>
      </c>
      <c r="I67" s="93"/>
      <c r="J67" s="93"/>
      <c r="K67" s="93"/>
      <c r="L67" s="93"/>
      <c r="M67" s="93" t="s">
        <v>760</v>
      </c>
      <c r="N67" s="93" t="s">
        <v>761</v>
      </c>
      <c r="P67" s="87" t="s">
        <v>471</v>
      </c>
      <c r="Q67" s="80">
        <f t="shared" ref="Q67:AC67" si="66">VLOOKUP($P67,$A:$N,B$1,0)</f>
        <v>0</v>
      </c>
      <c r="R67" s="80">
        <f t="shared" si="66"/>
        <v>0</v>
      </c>
      <c r="S67" s="80">
        <f t="shared" si="66"/>
        <v>0</v>
      </c>
      <c r="T67" s="80">
        <f t="shared" si="66"/>
        <v>0</v>
      </c>
      <c r="U67" s="80">
        <f t="shared" si="66"/>
        <v>0</v>
      </c>
      <c r="V67" s="80">
        <f t="shared" si="66"/>
        <v>0</v>
      </c>
      <c r="W67" s="80">
        <f t="shared" si="66"/>
        <v>0</v>
      </c>
      <c r="X67" s="80">
        <f t="shared" si="66"/>
        <v>0</v>
      </c>
      <c r="Y67" s="80">
        <f t="shared" si="66"/>
        <v>0</v>
      </c>
      <c r="Z67" s="80">
        <f t="shared" si="66"/>
        <v>0</v>
      </c>
      <c r="AA67" s="80">
        <f t="shared" si="66"/>
        <v>0</v>
      </c>
      <c r="AB67" s="80">
        <f t="shared" si="66"/>
        <v>0</v>
      </c>
      <c r="AC67" s="80" t="str">
        <f t="shared" si="66"/>
        <v>2天平时加班算工资，节假日加班一天补贴200</v>
      </c>
      <c r="AE67" s="88">
        <v>0</v>
      </c>
      <c r="AF67" s="79">
        <v>0</v>
      </c>
      <c r="AG67" s="85">
        <v>0</v>
      </c>
      <c r="AH67" s="89">
        <v>0</v>
      </c>
      <c r="AI67" s="90">
        <v>0</v>
      </c>
      <c r="AJ67" s="88">
        <v>0</v>
      </c>
      <c r="AK67" s="79">
        <v>0</v>
      </c>
      <c r="AL67" s="91">
        <v>0</v>
      </c>
      <c r="AM67" s="91">
        <v>0</v>
      </c>
      <c r="AN67" s="91">
        <v>0</v>
      </c>
      <c r="AO67" s="85">
        <v>0</v>
      </c>
      <c r="AP67" s="92">
        <v>0</v>
      </c>
      <c r="AQ67" s="92" t="s">
        <v>748</v>
      </c>
    </row>
    <row r="68" spans="1:43">
      <c r="A68" s="93" t="s">
        <v>575</v>
      </c>
      <c r="B68" s="2"/>
      <c r="C68" s="2"/>
      <c r="D68" s="93">
        <v>0</v>
      </c>
      <c r="E68" s="93">
        <v>0</v>
      </c>
      <c r="F68" s="93"/>
      <c r="G68" s="93">
        <v>0</v>
      </c>
      <c r="H68" s="93">
        <v>0</v>
      </c>
      <c r="I68" s="93"/>
      <c r="J68" s="93"/>
      <c r="K68" s="93"/>
      <c r="L68" s="93"/>
      <c r="M68" s="93"/>
      <c r="N68" s="93" t="s">
        <v>755</v>
      </c>
      <c r="P68" s="87" t="s">
        <v>341</v>
      </c>
      <c r="Q68" s="80">
        <f t="shared" ref="Q68:AC68" si="67">VLOOKUP($P68,$A:$N,B$1,0)</f>
        <v>0</v>
      </c>
      <c r="R68" s="80">
        <f t="shared" si="67"/>
        <v>0</v>
      </c>
      <c r="S68" s="80">
        <f t="shared" si="67"/>
        <v>0</v>
      </c>
      <c r="T68" s="80">
        <f t="shared" si="67"/>
        <v>0</v>
      </c>
      <c r="U68" s="80">
        <f t="shared" si="67"/>
        <v>0</v>
      </c>
      <c r="V68" s="80">
        <f t="shared" si="67"/>
        <v>0</v>
      </c>
      <c r="W68" s="80">
        <f t="shared" si="67"/>
        <v>0</v>
      </c>
      <c r="X68" s="80">
        <f t="shared" si="67"/>
        <v>0</v>
      </c>
      <c r="Y68" s="80">
        <f t="shared" si="67"/>
        <v>0</v>
      </c>
      <c r="Z68" s="80">
        <f t="shared" si="67"/>
        <v>0</v>
      </c>
      <c r="AA68" s="80">
        <f t="shared" si="67"/>
        <v>0</v>
      </c>
      <c r="AB68" s="80">
        <f t="shared" si="67"/>
        <v>0</v>
      </c>
      <c r="AC68" s="80">
        <f t="shared" si="67"/>
        <v>0</v>
      </c>
      <c r="AE68" s="88">
        <v>0</v>
      </c>
      <c r="AF68" s="79">
        <v>0</v>
      </c>
      <c r="AG68" s="85">
        <v>0</v>
      </c>
      <c r="AH68" s="89">
        <v>0</v>
      </c>
      <c r="AI68" s="90">
        <v>0</v>
      </c>
      <c r="AJ68" s="88">
        <v>0</v>
      </c>
      <c r="AK68" s="79">
        <v>0</v>
      </c>
      <c r="AL68" s="91">
        <v>0</v>
      </c>
      <c r="AM68" s="91">
        <v>0</v>
      </c>
      <c r="AN68" s="91">
        <v>0</v>
      </c>
      <c r="AO68" s="85">
        <v>0</v>
      </c>
      <c r="AP68" s="92">
        <v>0</v>
      </c>
      <c r="AQ68" s="92">
        <v>0</v>
      </c>
    </row>
    <row r="69" spans="1:43">
      <c r="A69" s="93" t="s">
        <v>467</v>
      </c>
      <c r="B69" s="2"/>
      <c r="C69" s="2"/>
      <c r="D69" s="93">
        <v>0</v>
      </c>
      <c r="E69" s="93">
        <v>0</v>
      </c>
      <c r="F69" s="93"/>
      <c r="G69" s="93">
        <v>0</v>
      </c>
      <c r="H69" s="93">
        <v>0</v>
      </c>
      <c r="I69" s="93"/>
      <c r="J69" s="93"/>
      <c r="K69" s="93"/>
      <c r="L69" s="93"/>
      <c r="M69" s="93"/>
      <c r="N69" s="93"/>
      <c r="P69" s="87" t="s">
        <v>108</v>
      </c>
      <c r="Q69" s="80">
        <f t="shared" ref="Q69:AC69" si="68">VLOOKUP($P69,$A:$N,B$1,0)</f>
        <v>0</v>
      </c>
      <c r="R69" s="80">
        <f t="shared" si="68"/>
        <v>0</v>
      </c>
      <c r="S69" s="80">
        <f t="shared" si="68"/>
        <v>0</v>
      </c>
      <c r="T69" s="80">
        <f t="shared" si="68"/>
        <v>0</v>
      </c>
      <c r="U69" s="80">
        <f t="shared" si="68"/>
        <v>0</v>
      </c>
      <c r="V69" s="80">
        <f t="shared" si="68"/>
        <v>0</v>
      </c>
      <c r="W69" s="80">
        <f t="shared" si="68"/>
        <v>0</v>
      </c>
      <c r="X69" s="80">
        <f t="shared" si="68"/>
        <v>0</v>
      </c>
      <c r="Y69" s="80">
        <f t="shared" si="68"/>
        <v>0</v>
      </c>
      <c r="Z69" s="80">
        <f t="shared" si="68"/>
        <v>0</v>
      </c>
      <c r="AA69" s="80">
        <f t="shared" si="68"/>
        <v>0</v>
      </c>
      <c r="AB69" s="80">
        <f t="shared" si="68"/>
        <v>0</v>
      </c>
      <c r="AC69" s="80" t="str">
        <f t="shared" si="68"/>
        <v>按每日200发放21天出差津贴</v>
      </c>
      <c r="AE69" s="88">
        <v>0</v>
      </c>
      <c r="AF69" s="79">
        <v>0</v>
      </c>
      <c r="AG69" s="85">
        <v>0</v>
      </c>
      <c r="AH69" s="89">
        <v>0</v>
      </c>
      <c r="AI69" s="90">
        <v>0</v>
      </c>
      <c r="AJ69" s="88">
        <v>0</v>
      </c>
      <c r="AK69" s="79">
        <v>0</v>
      </c>
      <c r="AL69" s="91">
        <v>0</v>
      </c>
      <c r="AM69" s="91">
        <v>0</v>
      </c>
      <c r="AN69" s="91">
        <v>0</v>
      </c>
      <c r="AO69" s="85">
        <v>0</v>
      </c>
      <c r="AP69" s="92">
        <v>0</v>
      </c>
      <c r="AQ69" s="92" t="s">
        <v>749</v>
      </c>
    </row>
    <row r="70" spans="1:43">
      <c r="A70" s="93" t="s">
        <v>469</v>
      </c>
      <c r="B70" s="2"/>
      <c r="C70" s="2"/>
      <c r="D70" s="93">
        <v>0</v>
      </c>
      <c r="E70" s="93">
        <v>0</v>
      </c>
      <c r="F70" s="93"/>
      <c r="G70" s="93">
        <v>0</v>
      </c>
      <c r="H70" s="93">
        <v>0</v>
      </c>
      <c r="I70" s="93"/>
      <c r="J70" s="93"/>
      <c r="K70" s="93"/>
      <c r="L70" s="93"/>
      <c r="M70" s="93"/>
      <c r="N70" s="93"/>
      <c r="P70" s="87" t="s">
        <v>467</v>
      </c>
      <c r="Q70" s="80">
        <f t="shared" ref="Q70:AC70" si="69">VLOOKUP($P70,$A:$N,B$1,0)</f>
        <v>0</v>
      </c>
      <c r="R70" s="80">
        <f t="shared" si="69"/>
        <v>0</v>
      </c>
      <c r="S70" s="80">
        <f t="shared" si="69"/>
        <v>0</v>
      </c>
      <c r="T70" s="80">
        <f t="shared" si="69"/>
        <v>0</v>
      </c>
      <c r="U70" s="80">
        <f t="shared" si="69"/>
        <v>0</v>
      </c>
      <c r="V70" s="80">
        <f t="shared" si="69"/>
        <v>0</v>
      </c>
      <c r="W70" s="80">
        <f t="shared" si="69"/>
        <v>0</v>
      </c>
      <c r="X70" s="80">
        <f t="shared" si="69"/>
        <v>0</v>
      </c>
      <c r="Y70" s="80">
        <f t="shared" si="69"/>
        <v>0</v>
      </c>
      <c r="Z70" s="80">
        <f t="shared" si="69"/>
        <v>0</v>
      </c>
      <c r="AA70" s="80">
        <f t="shared" si="69"/>
        <v>0</v>
      </c>
      <c r="AB70" s="80">
        <f t="shared" si="69"/>
        <v>0</v>
      </c>
      <c r="AC70" s="80">
        <f t="shared" si="69"/>
        <v>0</v>
      </c>
      <c r="AE70" s="88">
        <v>0</v>
      </c>
      <c r="AF70" s="79">
        <v>0</v>
      </c>
      <c r="AG70" s="85">
        <v>0</v>
      </c>
      <c r="AH70" s="89">
        <v>0</v>
      </c>
      <c r="AI70" s="90">
        <v>0</v>
      </c>
      <c r="AJ70" s="88">
        <v>0</v>
      </c>
      <c r="AK70" s="79">
        <v>0</v>
      </c>
      <c r="AL70" s="91">
        <v>0</v>
      </c>
      <c r="AM70" s="91">
        <v>0</v>
      </c>
      <c r="AN70" s="91">
        <v>0</v>
      </c>
      <c r="AO70" s="85">
        <v>0</v>
      </c>
      <c r="AP70" s="92">
        <v>0</v>
      </c>
      <c r="AQ70" s="92">
        <v>0</v>
      </c>
    </row>
    <row r="71" spans="1:43">
      <c r="A71" s="93" t="s">
        <v>571</v>
      </c>
      <c r="B71" s="2"/>
      <c r="C71" s="2"/>
      <c r="D71" s="93">
        <v>0</v>
      </c>
      <c r="E71" s="93">
        <v>0</v>
      </c>
      <c r="F71" s="93"/>
      <c r="G71" s="93">
        <v>0</v>
      </c>
      <c r="H71" s="93">
        <v>0</v>
      </c>
      <c r="I71" s="93"/>
      <c r="J71" s="93"/>
      <c r="K71" s="93"/>
      <c r="L71" s="93"/>
      <c r="M71" s="93"/>
      <c r="N71" s="93"/>
      <c r="P71" s="87" t="s">
        <v>474</v>
      </c>
      <c r="Q71" s="80">
        <f t="shared" ref="Q71:AC71" si="70">VLOOKUP($P71,$A:$N,B$1,0)</f>
        <v>0</v>
      </c>
      <c r="R71" s="80">
        <f t="shared" si="70"/>
        <v>0</v>
      </c>
      <c r="S71" s="80">
        <f t="shared" si="70"/>
        <v>0</v>
      </c>
      <c r="T71" s="80">
        <f t="shared" si="70"/>
        <v>0</v>
      </c>
      <c r="U71" s="80">
        <f t="shared" si="70"/>
        <v>0</v>
      </c>
      <c r="V71" s="80">
        <f t="shared" si="70"/>
        <v>0</v>
      </c>
      <c r="W71" s="80">
        <f t="shared" si="70"/>
        <v>0</v>
      </c>
      <c r="X71" s="80">
        <f t="shared" si="70"/>
        <v>0</v>
      </c>
      <c r="Y71" s="80">
        <f t="shared" si="70"/>
        <v>0</v>
      </c>
      <c r="Z71" s="80">
        <f t="shared" si="70"/>
        <v>0</v>
      </c>
      <c r="AA71" s="80">
        <f t="shared" si="70"/>
        <v>0</v>
      </c>
      <c r="AB71" s="80">
        <f t="shared" si="70"/>
        <v>0</v>
      </c>
      <c r="AC71" s="80" t="str">
        <f t="shared" si="70"/>
        <v>节假日加班一天算三倍</v>
      </c>
      <c r="AE71" s="88">
        <v>0</v>
      </c>
      <c r="AF71" s="79">
        <v>0</v>
      </c>
      <c r="AG71" s="85">
        <v>0</v>
      </c>
      <c r="AH71" s="89">
        <v>0</v>
      </c>
      <c r="AI71" s="90">
        <v>0</v>
      </c>
      <c r="AJ71" s="88">
        <v>0</v>
      </c>
      <c r="AK71" s="79">
        <v>0</v>
      </c>
      <c r="AL71" s="91">
        <v>0</v>
      </c>
      <c r="AM71" s="91">
        <v>0</v>
      </c>
      <c r="AN71" s="91">
        <v>0</v>
      </c>
      <c r="AO71" s="85">
        <v>0</v>
      </c>
      <c r="AP71" s="92">
        <v>0</v>
      </c>
      <c r="AQ71" s="92" t="s">
        <v>750</v>
      </c>
    </row>
    <row r="72" spans="1:43">
      <c r="A72" s="93" t="s">
        <v>576</v>
      </c>
      <c r="B72" s="2"/>
      <c r="C72" s="2"/>
      <c r="D72" s="93">
        <v>0</v>
      </c>
      <c r="E72" s="93">
        <v>0</v>
      </c>
      <c r="F72" s="93"/>
      <c r="G72" s="93">
        <v>0</v>
      </c>
      <c r="H72" s="93">
        <v>0</v>
      </c>
      <c r="I72" s="93"/>
      <c r="J72" s="93"/>
      <c r="K72" s="93"/>
      <c r="L72" s="93"/>
      <c r="M72" s="93"/>
      <c r="N72" s="93"/>
      <c r="P72" s="87" t="s">
        <v>560</v>
      </c>
      <c r="Q72" s="80">
        <f t="shared" ref="Q72:AC72" si="71">VLOOKUP($P72,$A:$N,B$1,0)</f>
        <v>0</v>
      </c>
      <c r="R72" s="80">
        <f t="shared" si="71"/>
        <v>0</v>
      </c>
      <c r="S72" s="80">
        <f t="shared" si="71"/>
        <v>0</v>
      </c>
      <c r="T72" s="80">
        <f t="shared" si="71"/>
        <v>0</v>
      </c>
      <c r="U72" s="80">
        <f t="shared" si="71"/>
        <v>0</v>
      </c>
      <c r="V72" s="80">
        <f t="shared" si="71"/>
        <v>0</v>
      </c>
      <c r="W72" s="80">
        <f t="shared" si="71"/>
        <v>0</v>
      </c>
      <c r="X72" s="80">
        <f t="shared" si="71"/>
        <v>0</v>
      </c>
      <c r="Y72" s="80">
        <f t="shared" si="71"/>
        <v>0</v>
      </c>
      <c r="Z72" s="80">
        <f t="shared" si="71"/>
        <v>0</v>
      </c>
      <c r="AA72" s="80">
        <f t="shared" si="71"/>
        <v>0</v>
      </c>
      <c r="AB72" s="80">
        <f t="shared" si="71"/>
        <v>0</v>
      </c>
      <c r="AC72" s="80" t="str">
        <f t="shared" si="71"/>
        <v>按每日200发放21天出差津贴</v>
      </c>
      <c r="AE72" s="88">
        <v>0</v>
      </c>
      <c r="AF72" s="79">
        <v>0</v>
      </c>
      <c r="AG72" s="85">
        <v>0</v>
      </c>
      <c r="AH72" s="89">
        <v>0</v>
      </c>
      <c r="AI72" s="90">
        <v>0</v>
      </c>
      <c r="AJ72" s="88">
        <v>0</v>
      </c>
      <c r="AK72" s="79">
        <v>0</v>
      </c>
      <c r="AL72" s="91">
        <v>0</v>
      </c>
      <c r="AM72" s="91">
        <v>0</v>
      </c>
      <c r="AN72" s="91">
        <v>0</v>
      </c>
      <c r="AO72" s="85">
        <v>0</v>
      </c>
      <c r="AP72" s="92">
        <v>0</v>
      </c>
      <c r="AQ72" s="92" t="s">
        <v>749</v>
      </c>
    </row>
    <row r="73" spans="1:43">
      <c r="A73" s="93" t="s">
        <v>555</v>
      </c>
      <c r="B73" s="2"/>
      <c r="C73" s="2"/>
      <c r="D73" s="93">
        <v>0</v>
      </c>
      <c r="E73" s="93">
        <v>1</v>
      </c>
      <c r="F73" s="93"/>
      <c r="G73" s="93">
        <v>0</v>
      </c>
      <c r="H73" s="93">
        <v>0</v>
      </c>
      <c r="I73" s="93"/>
      <c r="J73" s="93"/>
      <c r="K73" s="93"/>
      <c r="L73" s="93">
        <v>11</v>
      </c>
      <c r="M73" s="93" t="s">
        <v>745</v>
      </c>
      <c r="N73" s="93" t="s">
        <v>747</v>
      </c>
      <c r="P73" s="87" t="s">
        <v>477</v>
      </c>
      <c r="Q73" s="80">
        <f t="shared" ref="Q73:AC73" si="72">VLOOKUP($P73,$A:$N,B$1,0)</f>
        <v>0</v>
      </c>
      <c r="R73" s="80">
        <f t="shared" si="72"/>
        <v>0</v>
      </c>
      <c r="S73" s="80">
        <f t="shared" si="72"/>
        <v>0</v>
      </c>
      <c r="T73" s="80">
        <f t="shared" si="72"/>
        <v>0</v>
      </c>
      <c r="U73" s="80">
        <f t="shared" si="72"/>
        <v>0</v>
      </c>
      <c r="V73" s="80">
        <f t="shared" si="72"/>
        <v>0</v>
      </c>
      <c r="W73" s="80">
        <f t="shared" si="72"/>
        <v>0</v>
      </c>
      <c r="X73" s="80">
        <f t="shared" si="72"/>
        <v>0</v>
      </c>
      <c r="Y73" s="80">
        <f t="shared" si="72"/>
        <v>0</v>
      </c>
      <c r="Z73" s="80">
        <f t="shared" si="72"/>
        <v>0</v>
      </c>
      <c r="AA73" s="80">
        <f t="shared" si="72"/>
        <v>0</v>
      </c>
      <c r="AB73" s="80">
        <f t="shared" si="72"/>
        <v>0</v>
      </c>
      <c r="AC73" s="80" t="str">
        <f t="shared" si="72"/>
        <v>节假日加班一天算三倍</v>
      </c>
      <c r="AE73" s="88">
        <v>0</v>
      </c>
      <c r="AF73" s="79">
        <v>0</v>
      </c>
      <c r="AG73" s="85">
        <v>0</v>
      </c>
      <c r="AH73" s="89">
        <v>0</v>
      </c>
      <c r="AI73" s="90">
        <v>0</v>
      </c>
      <c r="AJ73" s="88">
        <v>0</v>
      </c>
      <c r="AK73" s="79">
        <v>0</v>
      </c>
      <c r="AL73" s="91">
        <v>0</v>
      </c>
      <c r="AM73" s="91">
        <v>0</v>
      </c>
      <c r="AN73" s="91">
        <v>0</v>
      </c>
      <c r="AO73" s="85">
        <v>0</v>
      </c>
      <c r="AP73" s="92">
        <v>0</v>
      </c>
      <c r="AQ73" s="92" t="s">
        <v>750</v>
      </c>
    </row>
    <row r="74" spans="1:43">
      <c r="A74" s="93" t="s">
        <v>577</v>
      </c>
      <c r="B74" s="2"/>
      <c r="C74" s="2"/>
      <c r="D74" s="93">
        <v>0</v>
      </c>
      <c r="E74" s="93">
        <v>0</v>
      </c>
      <c r="F74" s="93"/>
      <c r="G74" s="93">
        <v>0</v>
      </c>
      <c r="H74" s="93">
        <v>0</v>
      </c>
      <c r="I74" s="93"/>
      <c r="J74" s="93"/>
      <c r="K74" s="93"/>
      <c r="L74" s="93">
        <v>2</v>
      </c>
      <c r="M74" s="93" t="s">
        <v>745</v>
      </c>
      <c r="N74" s="93" t="s">
        <v>746</v>
      </c>
      <c r="P74" s="87" t="s">
        <v>479</v>
      </c>
      <c r="Q74" s="80">
        <f t="shared" ref="Q74:AC74" si="73">VLOOKUP($P74,$A:$N,B$1,0)</f>
        <v>0</v>
      </c>
      <c r="R74" s="80">
        <f t="shared" si="73"/>
        <v>0</v>
      </c>
      <c r="S74" s="80">
        <f t="shared" si="73"/>
        <v>0</v>
      </c>
      <c r="T74" s="80">
        <f t="shared" si="73"/>
        <v>0</v>
      </c>
      <c r="U74" s="80">
        <f t="shared" si="73"/>
        <v>0</v>
      </c>
      <c r="V74" s="80">
        <f t="shared" si="73"/>
        <v>0</v>
      </c>
      <c r="W74" s="80">
        <f t="shared" si="73"/>
        <v>0</v>
      </c>
      <c r="X74" s="80">
        <f t="shared" si="73"/>
        <v>0</v>
      </c>
      <c r="Y74" s="80">
        <f t="shared" si="73"/>
        <v>0</v>
      </c>
      <c r="Z74" s="80">
        <f t="shared" si="73"/>
        <v>0</v>
      </c>
      <c r="AA74" s="80">
        <f t="shared" si="73"/>
        <v>0</v>
      </c>
      <c r="AB74" s="80">
        <f t="shared" si="73"/>
        <v>0</v>
      </c>
      <c r="AC74" s="80" t="str">
        <f t="shared" si="73"/>
        <v>节假日加班一天算三倍</v>
      </c>
      <c r="AE74" s="88">
        <v>0</v>
      </c>
      <c r="AF74" s="79">
        <v>0</v>
      </c>
      <c r="AG74" s="85">
        <v>0</v>
      </c>
      <c r="AH74" s="89">
        <v>0</v>
      </c>
      <c r="AI74" s="90">
        <v>0</v>
      </c>
      <c r="AJ74" s="88">
        <v>0</v>
      </c>
      <c r="AK74" s="79">
        <v>0</v>
      </c>
      <c r="AL74" s="91">
        <v>0</v>
      </c>
      <c r="AM74" s="91">
        <v>0</v>
      </c>
      <c r="AN74" s="91">
        <v>0</v>
      </c>
      <c r="AO74" s="85">
        <v>0</v>
      </c>
      <c r="AP74" s="92">
        <v>0</v>
      </c>
      <c r="AQ74" s="92" t="s">
        <v>750</v>
      </c>
    </row>
    <row r="75" spans="1:43">
      <c r="A75" s="93" t="s">
        <v>568</v>
      </c>
      <c r="B75" s="2"/>
      <c r="C75" s="2"/>
      <c r="D75" s="93"/>
      <c r="E75" s="93"/>
      <c r="F75" s="93"/>
      <c r="G75" s="93"/>
      <c r="H75" s="93"/>
      <c r="I75" s="93"/>
      <c r="J75" s="93"/>
      <c r="K75" s="93"/>
      <c r="L75" s="93"/>
      <c r="M75" s="93" t="s">
        <v>764</v>
      </c>
      <c r="N75" s="93" t="s">
        <v>765</v>
      </c>
      <c r="P75" s="87" t="s">
        <v>481</v>
      </c>
      <c r="Q75" s="80">
        <f t="shared" ref="Q75:AC75" si="74">VLOOKUP($P75,$A:$N,B$1,0)</f>
        <v>0</v>
      </c>
      <c r="R75" s="80">
        <f t="shared" si="74"/>
        <v>0</v>
      </c>
      <c r="S75" s="80">
        <f t="shared" si="74"/>
        <v>0</v>
      </c>
      <c r="T75" s="80">
        <f t="shared" si="74"/>
        <v>0</v>
      </c>
      <c r="U75" s="80">
        <f t="shared" si="74"/>
        <v>0</v>
      </c>
      <c r="V75" s="80">
        <f t="shared" si="74"/>
        <v>0</v>
      </c>
      <c r="W75" s="80">
        <f t="shared" si="74"/>
        <v>0</v>
      </c>
      <c r="X75" s="80">
        <f t="shared" si="74"/>
        <v>0</v>
      </c>
      <c r="Y75" s="80">
        <f t="shared" si="74"/>
        <v>0</v>
      </c>
      <c r="Z75" s="80">
        <f t="shared" si="74"/>
        <v>0</v>
      </c>
      <c r="AA75" s="80">
        <f t="shared" si="74"/>
        <v>0</v>
      </c>
      <c r="AB75" s="80">
        <f t="shared" si="74"/>
        <v>0</v>
      </c>
      <c r="AC75" s="80" t="str">
        <f t="shared" si="74"/>
        <v>节假日加班一天算三倍</v>
      </c>
      <c r="AE75" s="88">
        <v>0</v>
      </c>
      <c r="AF75" s="79">
        <v>0</v>
      </c>
      <c r="AG75" s="85">
        <v>0</v>
      </c>
      <c r="AH75" s="89">
        <v>0</v>
      </c>
      <c r="AI75" s="90">
        <v>0</v>
      </c>
      <c r="AJ75" s="88">
        <v>0</v>
      </c>
      <c r="AK75" s="79">
        <v>0</v>
      </c>
      <c r="AL75" s="91">
        <v>0</v>
      </c>
      <c r="AM75" s="91">
        <v>0</v>
      </c>
      <c r="AN75" s="91">
        <v>0</v>
      </c>
      <c r="AO75" s="85">
        <v>0</v>
      </c>
      <c r="AP75" s="92">
        <v>0</v>
      </c>
      <c r="AQ75" s="92" t="s">
        <v>750</v>
      </c>
    </row>
    <row r="76" spans="1:43">
      <c r="A76" s="6" t="s">
        <v>436</v>
      </c>
      <c r="B76"/>
      <c r="C76"/>
      <c r="D76" s="6">
        <v>0</v>
      </c>
      <c r="E76" s="6">
        <v>0</v>
      </c>
      <c r="F76" s="6"/>
      <c r="G76" s="6">
        <v>0</v>
      </c>
      <c r="H76" s="6">
        <v>0</v>
      </c>
      <c r="I76" s="6"/>
      <c r="J76" s="6">
        <v>2</v>
      </c>
      <c r="K76" s="6"/>
      <c r="L76" s="6"/>
      <c r="M76" s="6"/>
      <c r="N76" s="6" t="s">
        <v>741</v>
      </c>
      <c r="P76" s="87" t="s">
        <v>361</v>
      </c>
      <c r="Q76" s="80">
        <f t="shared" ref="Q76:AC76" si="75">VLOOKUP($P76,$A:$N,B$1,0)</f>
        <v>0</v>
      </c>
      <c r="R76" s="80">
        <f t="shared" si="75"/>
        <v>0</v>
      </c>
      <c r="S76" s="80">
        <f t="shared" si="75"/>
        <v>0</v>
      </c>
      <c r="T76" s="80">
        <f t="shared" si="75"/>
        <v>0</v>
      </c>
      <c r="U76" s="80">
        <f t="shared" si="75"/>
        <v>0</v>
      </c>
      <c r="V76" s="80">
        <f t="shared" si="75"/>
        <v>1</v>
      </c>
      <c r="W76" s="80">
        <f t="shared" si="75"/>
        <v>0</v>
      </c>
      <c r="X76" s="80">
        <f t="shared" si="75"/>
        <v>0</v>
      </c>
      <c r="Y76" s="80">
        <f t="shared" si="75"/>
        <v>0</v>
      </c>
      <c r="Z76" s="80">
        <f t="shared" si="75"/>
        <v>0</v>
      </c>
      <c r="AA76" s="80">
        <f t="shared" si="75"/>
        <v>0</v>
      </c>
      <c r="AB76" s="80">
        <f t="shared" si="75"/>
        <v>0</v>
      </c>
      <c r="AC76" s="80" t="str">
        <f t="shared" si="75"/>
        <v>年假1天</v>
      </c>
      <c r="AE76" s="88">
        <v>0</v>
      </c>
      <c r="AF76" s="79">
        <v>0</v>
      </c>
      <c r="AG76" s="85">
        <v>0</v>
      </c>
      <c r="AH76" s="89">
        <v>0</v>
      </c>
      <c r="AI76" s="90">
        <v>0</v>
      </c>
      <c r="AJ76" s="88">
        <v>1</v>
      </c>
      <c r="AK76" s="79">
        <v>0</v>
      </c>
      <c r="AL76" s="91">
        <v>0</v>
      </c>
      <c r="AM76" s="91">
        <v>0</v>
      </c>
      <c r="AN76" s="91">
        <v>0</v>
      </c>
      <c r="AO76" s="85">
        <v>0</v>
      </c>
      <c r="AP76" s="92">
        <v>0</v>
      </c>
      <c r="AQ76" s="92" t="s">
        <v>726</v>
      </c>
    </row>
    <row r="77" spans="1:43">
      <c r="A77" s="6" t="s">
        <v>549</v>
      </c>
      <c r="B77"/>
      <c r="C77"/>
      <c r="D77" s="6">
        <v>0</v>
      </c>
      <c r="E77" s="6">
        <v>0</v>
      </c>
      <c r="F77" s="6"/>
      <c r="G77" s="6">
        <v>0</v>
      </c>
      <c r="H77" s="6">
        <v>5</v>
      </c>
      <c r="I77" s="6"/>
      <c r="J77" s="6"/>
      <c r="K77" s="6"/>
      <c r="L77" s="6"/>
      <c r="M77" s="6"/>
      <c r="N77" s="6" t="s">
        <v>740</v>
      </c>
      <c r="P77" s="87" t="s">
        <v>352</v>
      </c>
      <c r="Q77" s="80">
        <f t="shared" ref="Q77:AC77" si="76">VLOOKUP($P77,$A:$N,B$1,0)</f>
        <v>0</v>
      </c>
      <c r="R77" s="80">
        <f t="shared" si="76"/>
        <v>0</v>
      </c>
      <c r="S77" s="80">
        <f t="shared" si="76"/>
        <v>0</v>
      </c>
      <c r="T77" s="80">
        <f t="shared" si="76"/>
        <v>10</v>
      </c>
      <c r="U77" s="80">
        <f t="shared" si="76"/>
        <v>0</v>
      </c>
      <c r="V77" s="80">
        <f t="shared" si="76"/>
        <v>6</v>
      </c>
      <c r="W77" s="80">
        <f t="shared" si="76"/>
        <v>0</v>
      </c>
      <c r="X77" s="80">
        <f t="shared" si="76"/>
        <v>0</v>
      </c>
      <c r="Y77" s="80">
        <f t="shared" si="76"/>
        <v>0</v>
      </c>
      <c r="Z77" s="80">
        <f t="shared" si="76"/>
        <v>0</v>
      </c>
      <c r="AA77" s="80">
        <f t="shared" si="76"/>
        <v>0</v>
      </c>
      <c r="AB77" s="80">
        <f t="shared" si="76"/>
        <v>0</v>
      </c>
      <c r="AC77" s="80" t="str">
        <f t="shared" si="76"/>
        <v>事假10天，年假6天</v>
      </c>
      <c r="AE77" s="88">
        <v>0</v>
      </c>
      <c r="AF77" s="79">
        <v>0</v>
      </c>
      <c r="AG77" s="85">
        <v>0</v>
      </c>
      <c r="AH77" s="89">
        <v>10</v>
      </c>
      <c r="AI77" s="90">
        <v>0</v>
      </c>
      <c r="AJ77" s="88">
        <v>6</v>
      </c>
      <c r="AK77" s="79">
        <v>0</v>
      </c>
      <c r="AL77" s="91">
        <v>0</v>
      </c>
      <c r="AM77" s="91">
        <v>0</v>
      </c>
      <c r="AN77" s="91">
        <v>0</v>
      </c>
      <c r="AO77" s="85">
        <v>0</v>
      </c>
      <c r="AP77" s="92">
        <v>0</v>
      </c>
      <c r="AQ77" s="92" t="s">
        <v>754</v>
      </c>
    </row>
    <row r="78" spans="1:43">
      <c r="A78" s="6" t="s">
        <v>477</v>
      </c>
      <c r="B78"/>
      <c r="C78"/>
      <c r="D78" s="6">
        <v>0</v>
      </c>
      <c r="E78" s="6">
        <v>0</v>
      </c>
      <c r="F78" s="6"/>
      <c r="G78" s="6">
        <v>0</v>
      </c>
      <c r="H78" s="6">
        <v>0</v>
      </c>
      <c r="I78" s="6"/>
      <c r="J78" s="6"/>
      <c r="K78" s="6"/>
      <c r="L78" s="6"/>
      <c r="M78" s="6"/>
      <c r="N78" s="6" t="s">
        <v>750</v>
      </c>
      <c r="P78" s="87" t="s">
        <v>542</v>
      </c>
      <c r="Q78" s="80">
        <f t="shared" ref="Q78:AC78" si="77">VLOOKUP($P78,$A:$N,B$1,0)</f>
        <v>0</v>
      </c>
      <c r="R78" s="80">
        <f t="shared" si="77"/>
        <v>0</v>
      </c>
      <c r="S78" s="80">
        <f t="shared" si="77"/>
        <v>0</v>
      </c>
      <c r="T78" s="80">
        <f t="shared" si="77"/>
        <v>0</v>
      </c>
      <c r="U78" s="80">
        <f t="shared" si="77"/>
        <v>0</v>
      </c>
      <c r="V78" s="80">
        <f t="shared" si="77"/>
        <v>0</v>
      </c>
      <c r="W78" s="80">
        <f t="shared" si="77"/>
        <v>0</v>
      </c>
      <c r="X78" s="80">
        <f t="shared" si="77"/>
        <v>0</v>
      </c>
      <c r="Y78" s="80">
        <f t="shared" si="77"/>
        <v>0</v>
      </c>
      <c r="Z78" s="80">
        <f t="shared" si="77"/>
        <v>0</v>
      </c>
      <c r="AA78" s="80">
        <f t="shared" si="77"/>
        <v>0</v>
      </c>
      <c r="AB78" s="80">
        <f t="shared" si="77"/>
        <v>0</v>
      </c>
      <c r="AC78" s="80">
        <f t="shared" si="77"/>
        <v>0</v>
      </c>
      <c r="AE78" s="88">
        <v>0</v>
      </c>
      <c r="AF78" s="79">
        <v>0</v>
      </c>
      <c r="AG78" s="85">
        <v>0</v>
      </c>
      <c r="AH78" s="89">
        <v>0</v>
      </c>
      <c r="AI78" s="90">
        <v>0</v>
      </c>
      <c r="AJ78" s="88">
        <v>0</v>
      </c>
      <c r="AK78" s="79">
        <v>0</v>
      </c>
      <c r="AL78" s="91">
        <v>0</v>
      </c>
      <c r="AM78" s="91">
        <v>0</v>
      </c>
      <c r="AN78" s="91">
        <v>0</v>
      </c>
      <c r="AO78" s="85">
        <v>0</v>
      </c>
      <c r="AP78" s="92">
        <v>0</v>
      </c>
      <c r="AQ78" s="92">
        <v>0</v>
      </c>
    </row>
    <row r="79" spans="1:43">
      <c r="A79" s="6" t="s">
        <v>481</v>
      </c>
      <c r="B79"/>
      <c r="C79"/>
      <c r="D79" s="6">
        <v>0</v>
      </c>
      <c r="E79" s="6">
        <v>0</v>
      </c>
      <c r="F79" s="6"/>
      <c r="G79" s="6">
        <v>0</v>
      </c>
      <c r="H79" s="6">
        <v>0</v>
      </c>
      <c r="I79" s="6"/>
      <c r="J79" s="6"/>
      <c r="K79" s="6"/>
      <c r="L79" s="6"/>
      <c r="M79" s="6"/>
      <c r="N79" s="6" t="s">
        <v>750</v>
      </c>
      <c r="P79" s="87" t="s">
        <v>575</v>
      </c>
      <c r="Q79" s="80">
        <f t="shared" ref="Q79:AC79" si="78">VLOOKUP($P79,$A:$N,B$1,0)</f>
        <v>0</v>
      </c>
      <c r="R79" s="80">
        <f t="shared" si="78"/>
        <v>0</v>
      </c>
      <c r="S79" s="80">
        <f t="shared" si="78"/>
        <v>0</v>
      </c>
      <c r="T79" s="80">
        <f t="shared" si="78"/>
        <v>0</v>
      </c>
      <c r="U79" s="80">
        <f t="shared" si="78"/>
        <v>0</v>
      </c>
      <c r="V79" s="80">
        <f t="shared" si="78"/>
        <v>0</v>
      </c>
      <c r="W79" s="80">
        <f t="shared" si="78"/>
        <v>0</v>
      </c>
      <c r="X79" s="80">
        <f t="shared" si="78"/>
        <v>0</v>
      </c>
      <c r="Y79" s="80">
        <f t="shared" si="78"/>
        <v>0</v>
      </c>
      <c r="Z79" s="80">
        <f t="shared" si="78"/>
        <v>0</v>
      </c>
      <c r="AA79" s="80">
        <f t="shared" si="78"/>
        <v>0</v>
      </c>
      <c r="AB79" s="80">
        <f t="shared" si="78"/>
        <v>0</v>
      </c>
      <c r="AC79" s="80" t="str">
        <f t="shared" si="78"/>
        <v>3天平时加班算工资，节假日加班一天补贴200</v>
      </c>
      <c r="AE79" s="88">
        <v>0</v>
      </c>
      <c r="AF79" s="79">
        <v>0</v>
      </c>
      <c r="AG79" s="85">
        <v>0</v>
      </c>
      <c r="AH79" s="89">
        <v>0</v>
      </c>
      <c r="AI79" s="90">
        <v>0</v>
      </c>
      <c r="AJ79" s="88">
        <v>0</v>
      </c>
      <c r="AK79" s="79">
        <v>0</v>
      </c>
      <c r="AL79" s="91">
        <v>0</v>
      </c>
      <c r="AM79" s="91">
        <v>0</v>
      </c>
      <c r="AN79" s="91">
        <v>0</v>
      </c>
      <c r="AO79" s="85">
        <v>0</v>
      </c>
      <c r="AP79" s="92">
        <v>0</v>
      </c>
      <c r="AQ79" s="92" t="s">
        <v>755</v>
      </c>
    </row>
    <row r="80" spans="1:43">
      <c r="A80" s="6" t="s">
        <v>479</v>
      </c>
      <c r="B80"/>
      <c r="C80"/>
      <c r="D80" s="6">
        <v>0</v>
      </c>
      <c r="E80" s="6">
        <v>0</v>
      </c>
      <c r="F80" s="6"/>
      <c r="G80" s="6">
        <v>0</v>
      </c>
      <c r="H80" s="6">
        <v>0</v>
      </c>
      <c r="I80" s="6"/>
      <c r="J80" s="6"/>
      <c r="K80" s="6"/>
      <c r="L80" s="6"/>
      <c r="M80" s="6"/>
      <c r="N80" s="6" t="s">
        <v>750</v>
      </c>
      <c r="P80" s="87" t="s">
        <v>364</v>
      </c>
      <c r="Q80" s="80" t="e">
        <f t="shared" ref="Q80:AC80" si="79">VLOOKUP($P80,$A:$N,B$1,0)</f>
        <v>#N/A</v>
      </c>
      <c r="R80" s="80" t="e">
        <f t="shared" si="79"/>
        <v>#N/A</v>
      </c>
      <c r="S80" s="80" t="e">
        <f t="shared" si="79"/>
        <v>#N/A</v>
      </c>
      <c r="T80" s="80" t="e">
        <f t="shared" si="79"/>
        <v>#N/A</v>
      </c>
      <c r="U80" s="80" t="e">
        <f t="shared" si="79"/>
        <v>#N/A</v>
      </c>
      <c r="V80" s="80" t="e">
        <f t="shared" si="79"/>
        <v>#N/A</v>
      </c>
      <c r="W80" s="80" t="e">
        <f t="shared" si="79"/>
        <v>#N/A</v>
      </c>
      <c r="X80" s="80" t="e">
        <f t="shared" si="79"/>
        <v>#N/A</v>
      </c>
      <c r="Y80" s="80" t="e">
        <f t="shared" si="79"/>
        <v>#N/A</v>
      </c>
      <c r="Z80" s="80" t="e">
        <f t="shared" si="79"/>
        <v>#N/A</v>
      </c>
      <c r="AA80" s="80" t="e">
        <f t="shared" si="79"/>
        <v>#N/A</v>
      </c>
      <c r="AB80" s="80" t="e">
        <f t="shared" si="79"/>
        <v>#N/A</v>
      </c>
      <c r="AC80" s="80" t="e">
        <f t="shared" si="79"/>
        <v>#N/A</v>
      </c>
      <c r="AE80" s="88"/>
      <c r="AF80" s="79"/>
      <c r="AG80" s="85"/>
      <c r="AH80" s="89"/>
      <c r="AI80" s="90"/>
      <c r="AJ80" s="88"/>
      <c r="AK80" s="79"/>
      <c r="AL80" s="91"/>
      <c r="AM80" s="91"/>
      <c r="AN80" s="91"/>
      <c r="AO80" s="85"/>
      <c r="AP80" s="92"/>
      <c r="AQ80" s="92"/>
    </row>
    <row r="81" spans="1:44">
      <c r="A81" s="6" t="s">
        <v>474</v>
      </c>
      <c r="B81"/>
      <c r="C81"/>
      <c r="D81" s="6">
        <v>0</v>
      </c>
      <c r="E81" s="6">
        <v>0</v>
      </c>
      <c r="F81" s="6"/>
      <c r="G81" s="6">
        <v>0</v>
      </c>
      <c r="H81" s="6">
        <v>0</v>
      </c>
      <c r="I81" s="6"/>
      <c r="J81" s="6"/>
      <c r="K81" s="6"/>
      <c r="L81" s="6"/>
      <c r="M81" s="6"/>
      <c r="N81" s="6" t="s">
        <v>750</v>
      </c>
      <c r="P81" s="87" t="s">
        <v>367</v>
      </c>
      <c r="Q81" s="80" t="e">
        <f t="shared" ref="Q81:AC81" si="80">VLOOKUP($P81,$A:$N,B$1,0)</f>
        <v>#N/A</v>
      </c>
      <c r="R81" s="80" t="e">
        <f t="shared" si="80"/>
        <v>#N/A</v>
      </c>
      <c r="S81" s="80" t="e">
        <f t="shared" si="80"/>
        <v>#N/A</v>
      </c>
      <c r="T81" s="80" t="e">
        <f t="shared" si="80"/>
        <v>#N/A</v>
      </c>
      <c r="U81" s="80" t="e">
        <f t="shared" si="80"/>
        <v>#N/A</v>
      </c>
      <c r="V81" s="80" t="e">
        <f t="shared" si="80"/>
        <v>#N/A</v>
      </c>
      <c r="W81" s="80" t="e">
        <f t="shared" si="80"/>
        <v>#N/A</v>
      </c>
      <c r="X81" s="80" t="e">
        <f t="shared" si="80"/>
        <v>#N/A</v>
      </c>
      <c r="Y81" s="80" t="e">
        <f t="shared" si="80"/>
        <v>#N/A</v>
      </c>
      <c r="Z81" s="80" t="e">
        <f t="shared" si="80"/>
        <v>#N/A</v>
      </c>
      <c r="AA81" s="80" t="e">
        <f t="shared" si="80"/>
        <v>#N/A</v>
      </c>
      <c r="AB81" s="80" t="e">
        <f t="shared" si="80"/>
        <v>#N/A</v>
      </c>
      <c r="AC81" s="80" t="e">
        <f t="shared" si="80"/>
        <v>#N/A</v>
      </c>
      <c r="AE81" s="88"/>
      <c r="AF81" s="79"/>
      <c r="AG81" s="85"/>
      <c r="AH81" s="89"/>
      <c r="AI81" s="90"/>
      <c r="AJ81" s="88"/>
      <c r="AK81" s="79"/>
      <c r="AL81" s="91"/>
      <c r="AM81" s="91"/>
      <c r="AN81" s="91"/>
      <c r="AO81" s="85"/>
      <c r="AP81" s="92"/>
      <c r="AQ81" s="92"/>
    </row>
    <row r="82" spans="1:44">
      <c r="A82" s="6" t="s">
        <v>438</v>
      </c>
      <c r="B82"/>
      <c r="C82"/>
      <c r="D82" s="6">
        <v>0</v>
      </c>
      <c r="E82" s="6">
        <v>0</v>
      </c>
      <c r="F82" s="6"/>
      <c r="G82" s="6">
        <v>0</v>
      </c>
      <c r="H82" s="6">
        <v>0</v>
      </c>
      <c r="I82" s="6"/>
      <c r="J82" s="6"/>
      <c r="K82" s="6"/>
      <c r="L82" s="6"/>
      <c r="M82" s="6"/>
      <c r="N82" s="6"/>
      <c r="P82" s="87" t="s">
        <v>369</v>
      </c>
      <c r="Q82" s="80" t="e">
        <f t="shared" ref="Q82:AC82" si="81">VLOOKUP($P82,$A:$N,B$1,0)</f>
        <v>#N/A</v>
      </c>
      <c r="R82" s="80" t="e">
        <f t="shared" si="81"/>
        <v>#N/A</v>
      </c>
      <c r="S82" s="80" t="e">
        <f t="shared" si="81"/>
        <v>#N/A</v>
      </c>
      <c r="T82" s="80" t="e">
        <f t="shared" si="81"/>
        <v>#N/A</v>
      </c>
      <c r="U82" s="80" t="e">
        <f t="shared" si="81"/>
        <v>#N/A</v>
      </c>
      <c r="V82" s="80" t="e">
        <f t="shared" si="81"/>
        <v>#N/A</v>
      </c>
      <c r="W82" s="80" t="e">
        <f t="shared" si="81"/>
        <v>#N/A</v>
      </c>
      <c r="X82" s="80" t="e">
        <f t="shared" si="81"/>
        <v>#N/A</v>
      </c>
      <c r="Y82" s="80" t="e">
        <f t="shared" si="81"/>
        <v>#N/A</v>
      </c>
      <c r="Z82" s="80" t="e">
        <f t="shared" si="81"/>
        <v>#N/A</v>
      </c>
      <c r="AA82" s="80" t="e">
        <f t="shared" si="81"/>
        <v>#N/A</v>
      </c>
      <c r="AB82" s="80" t="e">
        <f t="shared" si="81"/>
        <v>#N/A</v>
      </c>
      <c r="AC82" s="80" t="e">
        <f t="shared" si="81"/>
        <v>#N/A</v>
      </c>
      <c r="AE82" s="88"/>
      <c r="AF82" s="79"/>
      <c r="AG82" s="85"/>
      <c r="AH82" s="89"/>
      <c r="AI82" s="90"/>
      <c r="AJ82" s="88"/>
      <c r="AK82" s="79"/>
      <c r="AL82" s="91"/>
      <c r="AM82" s="91"/>
      <c r="AN82" s="91"/>
      <c r="AO82" s="85"/>
      <c r="AP82" s="92"/>
      <c r="AQ82" s="92"/>
    </row>
    <row r="83" spans="1:4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P83" s="87" t="s">
        <v>576</v>
      </c>
      <c r="Q83" s="80">
        <f t="shared" ref="Q83:AC83" si="82">VLOOKUP($P83,$A:$N,B$1,0)</f>
        <v>0</v>
      </c>
      <c r="R83" s="80">
        <f t="shared" si="82"/>
        <v>0</v>
      </c>
      <c r="S83" s="80">
        <f t="shared" si="82"/>
        <v>0</v>
      </c>
      <c r="T83" s="80">
        <f t="shared" si="82"/>
        <v>0</v>
      </c>
      <c r="U83" s="80">
        <f t="shared" si="82"/>
        <v>0</v>
      </c>
      <c r="V83" s="80">
        <f t="shared" si="82"/>
        <v>0</v>
      </c>
      <c r="W83" s="80">
        <f t="shared" si="82"/>
        <v>0</v>
      </c>
      <c r="X83" s="80">
        <f t="shared" si="82"/>
        <v>0</v>
      </c>
      <c r="Y83" s="80">
        <f t="shared" si="82"/>
        <v>0</v>
      </c>
      <c r="Z83" s="80">
        <f t="shared" si="82"/>
        <v>0</v>
      </c>
      <c r="AA83" s="80">
        <f t="shared" si="82"/>
        <v>0</v>
      </c>
      <c r="AB83" s="80">
        <f t="shared" si="82"/>
        <v>0</v>
      </c>
      <c r="AC83" s="80">
        <f t="shared" si="82"/>
        <v>0</v>
      </c>
      <c r="AE83" s="88">
        <v>0</v>
      </c>
      <c r="AF83" s="79">
        <v>0</v>
      </c>
      <c r="AG83" s="85">
        <v>0</v>
      </c>
      <c r="AH83" s="89">
        <v>0</v>
      </c>
      <c r="AI83" s="90">
        <v>0</v>
      </c>
      <c r="AJ83" s="88">
        <v>0</v>
      </c>
      <c r="AK83" s="79">
        <v>0</v>
      </c>
      <c r="AL83" s="91">
        <v>0</v>
      </c>
      <c r="AM83" s="91">
        <v>0</v>
      </c>
      <c r="AN83" s="91">
        <v>0</v>
      </c>
      <c r="AO83" s="85">
        <v>0</v>
      </c>
      <c r="AP83" s="92">
        <v>0</v>
      </c>
      <c r="AQ83" s="92">
        <v>0</v>
      </c>
    </row>
    <row r="84" spans="1:4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P84" s="87" t="s">
        <v>469</v>
      </c>
      <c r="Q84" s="80">
        <f t="shared" ref="Q84:AC84" si="83">VLOOKUP($P84,$A:$N,B$1,0)</f>
        <v>0</v>
      </c>
      <c r="R84" s="80">
        <f t="shared" si="83"/>
        <v>0</v>
      </c>
      <c r="S84" s="80">
        <f t="shared" si="83"/>
        <v>0</v>
      </c>
      <c r="T84" s="80">
        <f t="shared" si="83"/>
        <v>0</v>
      </c>
      <c r="U84" s="80">
        <f t="shared" si="83"/>
        <v>0</v>
      </c>
      <c r="V84" s="80">
        <f t="shared" si="83"/>
        <v>0</v>
      </c>
      <c r="W84" s="80">
        <f t="shared" si="83"/>
        <v>0</v>
      </c>
      <c r="X84" s="80">
        <f t="shared" si="83"/>
        <v>0</v>
      </c>
      <c r="Y84" s="80">
        <f t="shared" si="83"/>
        <v>0</v>
      </c>
      <c r="Z84" s="80">
        <f t="shared" si="83"/>
        <v>0</v>
      </c>
      <c r="AA84" s="80">
        <f t="shared" si="83"/>
        <v>0</v>
      </c>
      <c r="AB84" s="80">
        <f t="shared" si="83"/>
        <v>0</v>
      </c>
      <c r="AC84" s="80">
        <f t="shared" si="83"/>
        <v>0</v>
      </c>
      <c r="AE84" s="88">
        <v>0</v>
      </c>
      <c r="AF84" s="79">
        <v>0</v>
      </c>
      <c r="AG84" s="85">
        <v>0</v>
      </c>
      <c r="AH84" s="89">
        <v>0</v>
      </c>
      <c r="AI84" s="90">
        <v>0</v>
      </c>
      <c r="AJ84" s="88">
        <v>0</v>
      </c>
      <c r="AK84" s="79">
        <v>0</v>
      </c>
      <c r="AL84" s="91">
        <v>0</v>
      </c>
      <c r="AM84" s="91">
        <v>0</v>
      </c>
      <c r="AN84" s="91">
        <v>0</v>
      </c>
      <c r="AO84" s="85">
        <v>0</v>
      </c>
      <c r="AP84" s="92">
        <v>0</v>
      </c>
      <c r="AQ84" s="92">
        <v>0</v>
      </c>
    </row>
    <row r="85" spans="1:4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P85" s="87" t="s">
        <v>461</v>
      </c>
      <c r="Q85" s="80">
        <f t="shared" ref="Q85:AC85" si="84">VLOOKUP($P85,$A:$N,B$1,0)</f>
        <v>0</v>
      </c>
      <c r="R85" s="80">
        <f t="shared" si="84"/>
        <v>0</v>
      </c>
      <c r="S85" s="80">
        <f t="shared" si="84"/>
        <v>0</v>
      </c>
      <c r="T85" s="80">
        <f t="shared" si="84"/>
        <v>0</v>
      </c>
      <c r="U85" s="80">
        <f t="shared" si="84"/>
        <v>0</v>
      </c>
      <c r="V85" s="80">
        <f t="shared" si="84"/>
        <v>0</v>
      </c>
      <c r="W85" s="80">
        <f t="shared" si="84"/>
        <v>0</v>
      </c>
      <c r="X85" s="80">
        <f t="shared" si="84"/>
        <v>0</v>
      </c>
      <c r="Y85" s="80">
        <f t="shared" si="84"/>
        <v>0</v>
      </c>
      <c r="Z85" s="80">
        <f t="shared" si="84"/>
        <v>0</v>
      </c>
      <c r="AA85" s="80">
        <f t="shared" si="84"/>
        <v>0</v>
      </c>
      <c r="AB85" s="80">
        <f t="shared" si="84"/>
        <v>0</v>
      </c>
      <c r="AC85" s="80">
        <f t="shared" si="84"/>
        <v>0</v>
      </c>
      <c r="AE85" s="88">
        <v>0</v>
      </c>
      <c r="AF85" s="79">
        <v>0</v>
      </c>
      <c r="AG85" s="85">
        <v>0</v>
      </c>
      <c r="AH85" s="89">
        <v>0</v>
      </c>
      <c r="AI85" s="90">
        <v>0</v>
      </c>
      <c r="AJ85" s="88">
        <v>0</v>
      </c>
      <c r="AK85" s="79">
        <v>0</v>
      </c>
      <c r="AL85" s="91">
        <v>0</v>
      </c>
      <c r="AM85" s="91">
        <v>0</v>
      </c>
      <c r="AN85" s="91">
        <v>0</v>
      </c>
      <c r="AO85" s="85">
        <v>0</v>
      </c>
      <c r="AP85" s="92">
        <v>0</v>
      </c>
      <c r="AQ85" s="92">
        <v>0</v>
      </c>
    </row>
    <row r="86" spans="1:4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P86" s="87" t="s">
        <v>562</v>
      </c>
      <c r="Q86" s="80">
        <f t="shared" ref="Q86:AC86" si="85">VLOOKUP($P86,$A:$N,B$1,0)</f>
        <v>0</v>
      </c>
      <c r="R86" s="80">
        <f t="shared" si="85"/>
        <v>0</v>
      </c>
      <c r="S86" s="80">
        <f t="shared" si="85"/>
        <v>0</v>
      </c>
      <c r="T86" s="80">
        <f t="shared" si="85"/>
        <v>1</v>
      </c>
      <c r="U86" s="80">
        <f t="shared" si="85"/>
        <v>0</v>
      </c>
      <c r="V86" s="80">
        <f t="shared" si="85"/>
        <v>0</v>
      </c>
      <c r="W86" s="80">
        <f t="shared" si="85"/>
        <v>0</v>
      </c>
      <c r="X86" s="80">
        <f t="shared" si="85"/>
        <v>0</v>
      </c>
      <c r="Y86" s="80">
        <f t="shared" si="85"/>
        <v>0</v>
      </c>
      <c r="Z86" s="80">
        <f t="shared" si="85"/>
        <v>0</v>
      </c>
      <c r="AA86" s="80">
        <f t="shared" si="85"/>
        <v>0</v>
      </c>
      <c r="AB86" s="80" t="str">
        <f t="shared" si="85"/>
        <v>6.1入职</v>
      </c>
      <c r="AC86" s="80" t="str">
        <f t="shared" si="85"/>
        <v>事假1天</v>
      </c>
      <c r="AE86" s="88">
        <v>0</v>
      </c>
      <c r="AF86" s="79">
        <v>0</v>
      </c>
      <c r="AG86" s="85">
        <v>0</v>
      </c>
      <c r="AH86" s="89">
        <v>1</v>
      </c>
      <c r="AI86" s="90">
        <v>0</v>
      </c>
      <c r="AJ86" s="88">
        <v>0</v>
      </c>
      <c r="AK86" s="79">
        <v>0</v>
      </c>
      <c r="AL86" s="91">
        <v>0</v>
      </c>
      <c r="AM86" s="91">
        <v>0</v>
      </c>
      <c r="AN86" s="91">
        <v>0</v>
      </c>
      <c r="AO86" s="85">
        <v>0</v>
      </c>
      <c r="AP86" s="92" t="s">
        <v>756</v>
      </c>
      <c r="AQ86" s="92" t="s">
        <v>757</v>
      </c>
    </row>
    <row r="87" spans="1:4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P87" s="87" t="s">
        <v>563</v>
      </c>
      <c r="Q87" s="80">
        <f t="shared" ref="Q87:AC87" si="86">VLOOKUP($P87,$A:$N,B$1,0)</f>
        <v>0</v>
      </c>
      <c r="R87" s="80">
        <f t="shared" si="86"/>
        <v>0</v>
      </c>
      <c r="S87" s="80">
        <f t="shared" si="86"/>
        <v>0</v>
      </c>
      <c r="T87" s="80">
        <f t="shared" si="86"/>
        <v>1</v>
      </c>
      <c r="U87" s="80">
        <f t="shared" si="86"/>
        <v>0</v>
      </c>
      <c r="V87" s="80">
        <f t="shared" si="86"/>
        <v>0</v>
      </c>
      <c r="W87" s="80">
        <f t="shared" si="86"/>
        <v>0</v>
      </c>
      <c r="X87" s="80">
        <f t="shared" si="86"/>
        <v>0</v>
      </c>
      <c r="Y87" s="80">
        <f t="shared" si="86"/>
        <v>0</v>
      </c>
      <c r="Z87" s="80">
        <f t="shared" si="86"/>
        <v>0</v>
      </c>
      <c r="AA87" s="80">
        <f t="shared" si="86"/>
        <v>0</v>
      </c>
      <c r="AB87" s="80" t="str">
        <f t="shared" si="86"/>
        <v>6.1入职</v>
      </c>
      <c r="AC87" s="80" t="str">
        <f t="shared" si="86"/>
        <v>事假1天</v>
      </c>
      <c r="AE87" s="88">
        <v>0</v>
      </c>
      <c r="AF87" s="79">
        <v>0</v>
      </c>
      <c r="AG87" s="85">
        <v>0</v>
      </c>
      <c r="AH87" s="89">
        <v>1</v>
      </c>
      <c r="AI87" s="90">
        <v>0</v>
      </c>
      <c r="AJ87" s="88">
        <v>0</v>
      </c>
      <c r="AK87" s="79">
        <v>0</v>
      </c>
      <c r="AL87" s="91">
        <v>0</v>
      </c>
      <c r="AM87" s="91">
        <v>0</v>
      </c>
      <c r="AN87" s="91">
        <v>0</v>
      </c>
      <c r="AO87" s="85">
        <v>0</v>
      </c>
      <c r="AP87" s="92" t="s">
        <v>756</v>
      </c>
      <c r="AQ87" s="92" t="s">
        <v>757</v>
      </c>
      <c r="AR87"/>
    </row>
    <row r="88" spans="1:4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P88" s="5" t="s">
        <v>564</v>
      </c>
      <c r="Q88" s="80">
        <f t="shared" ref="Q88:AC88" si="87">VLOOKUP($P88,$A:$N,B$1,0)</f>
        <v>0</v>
      </c>
      <c r="R88" s="80">
        <f t="shared" si="87"/>
        <v>0</v>
      </c>
      <c r="S88" s="80">
        <f t="shared" si="87"/>
        <v>0</v>
      </c>
      <c r="T88" s="80">
        <f t="shared" si="87"/>
        <v>2</v>
      </c>
      <c r="U88" s="80">
        <f t="shared" si="87"/>
        <v>0</v>
      </c>
      <c r="V88" s="80">
        <f t="shared" si="87"/>
        <v>0</v>
      </c>
      <c r="W88" s="80">
        <f t="shared" si="87"/>
        <v>0</v>
      </c>
      <c r="X88" s="80">
        <f t="shared" si="87"/>
        <v>0</v>
      </c>
      <c r="Y88" s="80">
        <f t="shared" si="87"/>
        <v>0</v>
      </c>
      <c r="Z88" s="80">
        <f t="shared" si="87"/>
        <v>0</v>
      </c>
      <c r="AA88" s="80">
        <f t="shared" si="87"/>
        <v>0</v>
      </c>
      <c r="AB88" s="80" t="str">
        <f t="shared" si="87"/>
        <v>6.1入职</v>
      </c>
      <c r="AC88" s="80" t="str">
        <f t="shared" si="87"/>
        <v>事假2天</v>
      </c>
      <c r="AE88" s="88">
        <v>0</v>
      </c>
      <c r="AF88" s="79">
        <v>0</v>
      </c>
      <c r="AG88" s="85">
        <v>0</v>
      </c>
      <c r="AH88" s="89">
        <v>2</v>
      </c>
      <c r="AI88" s="90">
        <v>0</v>
      </c>
      <c r="AJ88" s="88">
        <v>0</v>
      </c>
      <c r="AK88" s="79">
        <v>0</v>
      </c>
      <c r="AL88" s="91">
        <v>0</v>
      </c>
      <c r="AM88" s="91">
        <v>0</v>
      </c>
      <c r="AN88" s="91">
        <v>0</v>
      </c>
      <c r="AO88" s="85">
        <v>0</v>
      </c>
      <c r="AP88" s="92" t="s">
        <v>756</v>
      </c>
      <c r="AQ88" s="92" t="s">
        <v>758</v>
      </c>
      <c r="AR88"/>
    </row>
    <row r="89" spans="1:4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P89" s="5" t="s">
        <v>565</v>
      </c>
      <c r="Q89" s="80">
        <f t="shared" ref="Q89:AC89" si="88">VLOOKUP($P89,$A:$N,B$1,0)</f>
        <v>0</v>
      </c>
      <c r="R89" s="80">
        <f t="shared" si="88"/>
        <v>0</v>
      </c>
      <c r="S89" s="80">
        <f t="shared" si="88"/>
        <v>0</v>
      </c>
      <c r="T89" s="80">
        <f t="shared" si="88"/>
        <v>0</v>
      </c>
      <c r="U89" s="80">
        <f t="shared" si="88"/>
        <v>0</v>
      </c>
      <c r="V89" s="80">
        <f t="shared" si="88"/>
        <v>0</v>
      </c>
      <c r="W89" s="80">
        <f t="shared" si="88"/>
        <v>0</v>
      </c>
      <c r="X89" s="80">
        <f t="shared" si="88"/>
        <v>0</v>
      </c>
      <c r="Y89" s="80">
        <f t="shared" si="88"/>
        <v>0</v>
      </c>
      <c r="Z89" s="80">
        <f t="shared" si="88"/>
        <v>0</v>
      </c>
      <c r="AA89" s="80">
        <f t="shared" si="88"/>
        <v>0</v>
      </c>
      <c r="AB89" s="80" t="str">
        <f t="shared" si="88"/>
        <v>6.1入职</v>
      </c>
      <c r="AC89" s="80" t="str">
        <f t="shared" si="88"/>
        <v>出勤4周＋2天，按500美元/周发放实习津贴</v>
      </c>
      <c r="AE89" s="88">
        <v>0</v>
      </c>
      <c r="AF89" s="79">
        <v>0</v>
      </c>
      <c r="AG89" s="85">
        <v>0</v>
      </c>
      <c r="AH89" s="89">
        <v>0</v>
      </c>
      <c r="AI89" s="90">
        <v>0</v>
      </c>
      <c r="AJ89" s="88">
        <v>0</v>
      </c>
      <c r="AK89" s="79">
        <v>0</v>
      </c>
      <c r="AL89" s="91">
        <v>0</v>
      </c>
      <c r="AM89" s="91">
        <v>0</v>
      </c>
      <c r="AN89" s="91">
        <v>0</v>
      </c>
      <c r="AO89" s="85">
        <v>0</v>
      </c>
      <c r="AP89" s="92" t="s">
        <v>756</v>
      </c>
      <c r="AQ89" s="92" t="s">
        <v>759</v>
      </c>
      <c r="AR89"/>
    </row>
    <row r="90" spans="1:4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P90" s="5" t="s">
        <v>566</v>
      </c>
      <c r="Q90" s="80">
        <f t="shared" ref="Q90:AC90" si="89">VLOOKUP($P90,$A:$N,B$1,0)</f>
        <v>0</v>
      </c>
      <c r="R90" s="80">
        <f t="shared" si="89"/>
        <v>0</v>
      </c>
      <c r="S90" s="80">
        <f t="shared" si="89"/>
        <v>0</v>
      </c>
      <c r="T90" s="80">
        <f t="shared" si="89"/>
        <v>0</v>
      </c>
      <c r="U90" s="80">
        <f t="shared" si="89"/>
        <v>0</v>
      </c>
      <c r="V90" s="80">
        <f t="shared" si="89"/>
        <v>0</v>
      </c>
      <c r="W90" s="80">
        <f t="shared" si="89"/>
        <v>0</v>
      </c>
      <c r="X90" s="80">
        <f t="shared" si="89"/>
        <v>0</v>
      </c>
      <c r="Y90" s="80">
        <f t="shared" si="89"/>
        <v>0</v>
      </c>
      <c r="Z90" s="80">
        <f t="shared" si="89"/>
        <v>0</v>
      </c>
      <c r="AA90" s="80">
        <f t="shared" si="89"/>
        <v>0</v>
      </c>
      <c r="AB90" s="80" t="str">
        <f t="shared" si="89"/>
        <v>6.12入职</v>
      </c>
      <c r="AC90" s="80" t="str">
        <f t="shared" si="89"/>
        <v>6.12入职，本月出勤一共17天（含加班），平时加班1天算工资</v>
      </c>
      <c r="AE90" s="88">
        <v>0</v>
      </c>
      <c r="AF90" s="79">
        <v>0</v>
      </c>
      <c r="AG90" s="85">
        <v>0</v>
      </c>
      <c r="AH90" s="89">
        <v>0</v>
      </c>
      <c r="AI90" s="90">
        <v>0</v>
      </c>
      <c r="AJ90" s="88">
        <v>0</v>
      </c>
      <c r="AK90" s="79">
        <v>0</v>
      </c>
      <c r="AL90" s="91">
        <v>0</v>
      </c>
      <c r="AM90" s="91">
        <v>0</v>
      </c>
      <c r="AN90" s="91">
        <v>0</v>
      </c>
      <c r="AO90" s="85">
        <v>0</v>
      </c>
      <c r="AP90" s="92" t="s">
        <v>760</v>
      </c>
      <c r="AQ90" s="92" t="s">
        <v>761</v>
      </c>
    </row>
    <row r="91" spans="1:44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P91" s="5" t="s">
        <v>567</v>
      </c>
      <c r="Q91" s="80">
        <f t="shared" ref="Q91:AC91" si="90">VLOOKUP($P91,$A:$N,B$1,0)</f>
        <v>0</v>
      </c>
      <c r="R91" s="80">
        <f t="shared" si="90"/>
        <v>0</v>
      </c>
      <c r="S91" s="80">
        <f t="shared" si="90"/>
        <v>0</v>
      </c>
      <c r="T91" s="80">
        <f t="shared" si="90"/>
        <v>0</v>
      </c>
      <c r="U91" s="80">
        <f t="shared" si="90"/>
        <v>0</v>
      </c>
      <c r="V91" s="80">
        <f t="shared" si="90"/>
        <v>0</v>
      </c>
      <c r="W91" s="80">
        <f t="shared" si="90"/>
        <v>0</v>
      </c>
      <c r="X91" s="80">
        <f t="shared" si="90"/>
        <v>0</v>
      </c>
      <c r="Y91" s="80">
        <f t="shared" si="90"/>
        <v>0</v>
      </c>
      <c r="Z91" s="80">
        <f t="shared" si="90"/>
        <v>0</v>
      </c>
      <c r="AA91" s="80">
        <f t="shared" si="90"/>
        <v>0</v>
      </c>
      <c r="AB91" s="80" t="str">
        <f t="shared" si="90"/>
        <v>6.20入职</v>
      </c>
      <c r="AC91" s="80" t="str">
        <f t="shared" si="90"/>
        <v>6.20入职，本月出勤9天</v>
      </c>
      <c r="AE91" s="88">
        <v>0</v>
      </c>
      <c r="AF91" s="79">
        <v>0</v>
      </c>
      <c r="AG91" s="85">
        <v>0</v>
      </c>
      <c r="AH91" s="89">
        <v>0</v>
      </c>
      <c r="AI91" s="90">
        <v>0</v>
      </c>
      <c r="AJ91" s="88">
        <v>0</v>
      </c>
      <c r="AK91" s="79">
        <v>0</v>
      </c>
      <c r="AL91" s="91">
        <v>0</v>
      </c>
      <c r="AM91" s="91">
        <v>0</v>
      </c>
      <c r="AN91" s="91">
        <v>0</v>
      </c>
      <c r="AO91" s="85">
        <v>0</v>
      </c>
      <c r="AP91" s="92" t="s">
        <v>762</v>
      </c>
      <c r="AQ91" s="92" t="s">
        <v>763</v>
      </c>
    </row>
    <row r="92" spans="1:44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P92" s="5" t="s">
        <v>568</v>
      </c>
      <c r="Q92" s="80">
        <f t="shared" ref="Q92:AC92" si="91">VLOOKUP($P92,$A:$N,B$1,0)</f>
        <v>0</v>
      </c>
      <c r="R92" s="80">
        <f t="shared" si="91"/>
        <v>0</v>
      </c>
      <c r="S92" s="80">
        <f t="shared" si="91"/>
        <v>0</v>
      </c>
      <c r="T92" s="80">
        <f t="shared" si="91"/>
        <v>0</v>
      </c>
      <c r="U92" s="80">
        <f t="shared" si="91"/>
        <v>0</v>
      </c>
      <c r="V92" s="80">
        <f t="shared" si="91"/>
        <v>0</v>
      </c>
      <c r="W92" s="80">
        <f t="shared" si="91"/>
        <v>0</v>
      </c>
      <c r="X92" s="80">
        <f t="shared" si="91"/>
        <v>0</v>
      </c>
      <c r="Y92" s="80">
        <f t="shared" si="91"/>
        <v>0</v>
      </c>
      <c r="Z92" s="80">
        <f t="shared" si="91"/>
        <v>0</v>
      </c>
      <c r="AA92" s="80">
        <f t="shared" si="91"/>
        <v>0</v>
      </c>
      <c r="AB92" s="80" t="str">
        <f t="shared" si="91"/>
        <v>6.5-6.11</v>
      </c>
      <c r="AC92" s="80" t="str">
        <f t="shared" si="91"/>
        <v>出勤6天</v>
      </c>
      <c r="AE92" s="88">
        <v>0</v>
      </c>
      <c r="AF92" s="79">
        <v>0</v>
      </c>
      <c r="AG92" s="85">
        <v>0</v>
      </c>
      <c r="AH92" s="89">
        <v>0</v>
      </c>
      <c r="AI92" s="90">
        <v>0</v>
      </c>
      <c r="AJ92" s="88">
        <v>0</v>
      </c>
      <c r="AK92" s="79">
        <v>0</v>
      </c>
      <c r="AL92" s="91">
        <v>0</v>
      </c>
      <c r="AM92" s="91">
        <v>0</v>
      </c>
      <c r="AN92" s="91">
        <v>0</v>
      </c>
      <c r="AO92" s="85">
        <v>0</v>
      </c>
      <c r="AP92" s="92" t="s">
        <v>764</v>
      </c>
      <c r="AQ92" s="92" t="s">
        <v>765</v>
      </c>
    </row>
    <row r="93" spans="1:4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P93" s="5" t="s">
        <v>423</v>
      </c>
      <c r="Q93" s="80">
        <f t="shared" ref="Q93:AC93" si="92">VLOOKUP($P93,$A:$N,B$1,0)</f>
        <v>0</v>
      </c>
      <c r="R93" s="80">
        <f t="shared" si="92"/>
        <v>0</v>
      </c>
      <c r="S93" s="80">
        <f t="shared" si="92"/>
        <v>0</v>
      </c>
      <c r="T93" s="80">
        <f t="shared" si="92"/>
        <v>0</v>
      </c>
      <c r="U93" s="80">
        <f t="shared" si="92"/>
        <v>0</v>
      </c>
      <c r="V93" s="80">
        <f t="shared" si="92"/>
        <v>0</v>
      </c>
      <c r="W93" s="80">
        <f t="shared" si="92"/>
        <v>0</v>
      </c>
      <c r="X93" s="80">
        <f t="shared" si="92"/>
        <v>0</v>
      </c>
      <c r="Y93" s="80">
        <f t="shared" si="92"/>
        <v>0</v>
      </c>
      <c r="Z93" s="80">
        <f t="shared" si="92"/>
        <v>0</v>
      </c>
      <c r="AA93" s="80">
        <f t="shared" si="92"/>
        <v>0</v>
      </c>
      <c r="AB93" s="80">
        <f t="shared" si="92"/>
        <v>0</v>
      </c>
      <c r="AC93" s="80">
        <f t="shared" si="92"/>
        <v>0</v>
      </c>
      <c r="AE93" s="88">
        <v>0</v>
      </c>
      <c r="AF93" s="79">
        <v>0</v>
      </c>
      <c r="AG93" s="85">
        <v>0</v>
      </c>
      <c r="AH93" s="89">
        <v>0</v>
      </c>
      <c r="AI93" s="90">
        <v>0</v>
      </c>
      <c r="AJ93" s="88">
        <v>0</v>
      </c>
      <c r="AK93" s="79">
        <v>0</v>
      </c>
      <c r="AL93" s="91">
        <v>0</v>
      </c>
      <c r="AM93" s="91">
        <v>0</v>
      </c>
      <c r="AN93" s="91">
        <v>0</v>
      </c>
      <c r="AO93" s="85">
        <v>0</v>
      </c>
      <c r="AP93" s="92">
        <v>0</v>
      </c>
      <c r="AQ93" s="92">
        <v>0</v>
      </c>
    </row>
    <row r="94" spans="1:44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P94"/>
      <c r="Q94" s="80" t="e">
        <f t="shared" ref="Q94:AC94" si="93">VLOOKUP($P94,$A:$N,B$1,0)</f>
        <v>#N/A</v>
      </c>
      <c r="R94" s="80" t="e">
        <f t="shared" si="93"/>
        <v>#N/A</v>
      </c>
      <c r="S94" s="80" t="e">
        <f t="shared" si="93"/>
        <v>#N/A</v>
      </c>
      <c r="T94" s="80" t="e">
        <f t="shared" si="93"/>
        <v>#N/A</v>
      </c>
      <c r="U94" s="80" t="e">
        <f t="shared" si="93"/>
        <v>#N/A</v>
      </c>
      <c r="V94" s="80" t="e">
        <f t="shared" si="93"/>
        <v>#N/A</v>
      </c>
      <c r="W94" s="80" t="e">
        <f t="shared" si="93"/>
        <v>#N/A</v>
      </c>
      <c r="X94" s="80" t="e">
        <f t="shared" si="93"/>
        <v>#N/A</v>
      </c>
      <c r="Y94" s="80" t="e">
        <f t="shared" si="93"/>
        <v>#N/A</v>
      </c>
      <c r="Z94" s="80" t="e">
        <f t="shared" si="93"/>
        <v>#N/A</v>
      </c>
      <c r="AA94" s="80" t="e">
        <f t="shared" si="93"/>
        <v>#N/A</v>
      </c>
      <c r="AB94" s="80" t="e">
        <f t="shared" si="93"/>
        <v>#N/A</v>
      </c>
      <c r="AC94" s="80" t="e">
        <f t="shared" si="93"/>
        <v>#N/A</v>
      </c>
      <c r="AE94"/>
      <c r="AF94"/>
      <c r="AG94"/>
      <c r="AH94"/>
      <c r="AI94"/>
      <c r="AJ94"/>
      <c r="AK94"/>
      <c r="AL94"/>
      <c r="AM94"/>
      <c r="AN94"/>
      <c r="AO94"/>
      <c r="AP94"/>
      <c r="AQ94"/>
    </row>
    <row r="95" spans="1:4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P95"/>
      <c r="Q95" s="80" t="e">
        <f t="shared" ref="Q95:AC95" si="94">VLOOKUP($P95,$A:$N,B$1,0)</f>
        <v>#N/A</v>
      </c>
      <c r="R95" s="80" t="e">
        <f t="shared" si="94"/>
        <v>#N/A</v>
      </c>
      <c r="S95" s="80" t="e">
        <f t="shared" si="94"/>
        <v>#N/A</v>
      </c>
      <c r="T95" s="80" t="e">
        <f t="shared" si="94"/>
        <v>#N/A</v>
      </c>
      <c r="U95" s="80" t="e">
        <f t="shared" si="94"/>
        <v>#N/A</v>
      </c>
      <c r="V95" s="80" t="e">
        <f t="shared" si="94"/>
        <v>#N/A</v>
      </c>
      <c r="W95" s="80" t="e">
        <f t="shared" si="94"/>
        <v>#N/A</v>
      </c>
      <c r="X95" s="80" t="e">
        <f t="shared" si="94"/>
        <v>#N/A</v>
      </c>
      <c r="Y95" s="80" t="e">
        <f t="shared" si="94"/>
        <v>#N/A</v>
      </c>
      <c r="Z95" s="80" t="e">
        <f t="shared" si="94"/>
        <v>#N/A</v>
      </c>
      <c r="AA95" s="80" t="e">
        <f t="shared" si="94"/>
        <v>#N/A</v>
      </c>
      <c r="AB95" s="80" t="e">
        <f t="shared" si="94"/>
        <v>#N/A</v>
      </c>
      <c r="AC95" s="80" t="e">
        <f t="shared" si="94"/>
        <v>#N/A</v>
      </c>
      <c r="AE95"/>
      <c r="AF95"/>
      <c r="AG95"/>
      <c r="AH95"/>
      <c r="AI95"/>
      <c r="AJ95"/>
      <c r="AK95"/>
      <c r="AL95"/>
      <c r="AM95"/>
      <c r="AN95"/>
      <c r="AO95"/>
      <c r="AP95"/>
      <c r="AQ95"/>
    </row>
    <row r="96" spans="1:4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P96"/>
      <c r="Q96" s="80" t="e">
        <f t="shared" ref="Q96:AC96" si="95">VLOOKUP($P96,$A:$N,B$1,0)</f>
        <v>#N/A</v>
      </c>
      <c r="R96" s="80" t="e">
        <f t="shared" si="95"/>
        <v>#N/A</v>
      </c>
      <c r="S96" s="80" t="e">
        <f t="shared" si="95"/>
        <v>#N/A</v>
      </c>
      <c r="T96" s="80" t="e">
        <f t="shared" si="95"/>
        <v>#N/A</v>
      </c>
      <c r="U96" s="80" t="e">
        <f t="shared" si="95"/>
        <v>#N/A</v>
      </c>
      <c r="V96" s="80" t="e">
        <f t="shared" si="95"/>
        <v>#N/A</v>
      </c>
      <c r="W96" s="80" t="e">
        <f t="shared" si="95"/>
        <v>#N/A</v>
      </c>
      <c r="X96" s="80" t="e">
        <f t="shared" si="95"/>
        <v>#N/A</v>
      </c>
      <c r="Y96" s="80" t="e">
        <f t="shared" si="95"/>
        <v>#N/A</v>
      </c>
      <c r="Z96" s="80" t="e">
        <f t="shared" si="95"/>
        <v>#N/A</v>
      </c>
      <c r="AA96" s="80" t="e">
        <f t="shared" si="95"/>
        <v>#N/A</v>
      </c>
      <c r="AB96" s="80" t="e">
        <f t="shared" si="95"/>
        <v>#N/A</v>
      </c>
      <c r="AC96" s="80" t="e">
        <f t="shared" si="95"/>
        <v>#N/A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</row>
    <row r="97" spans="1:4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P97"/>
      <c r="Q97" s="80" t="e">
        <f t="shared" ref="Q97:AC97" si="96">VLOOKUP($P97,$A:$N,B$1,0)</f>
        <v>#N/A</v>
      </c>
      <c r="R97" s="80" t="e">
        <f t="shared" si="96"/>
        <v>#N/A</v>
      </c>
      <c r="S97" s="80" t="e">
        <f t="shared" si="96"/>
        <v>#N/A</v>
      </c>
      <c r="T97" s="80" t="e">
        <f t="shared" si="96"/>
        <v>#N/A</v>
      </c>
      <c r="U97" s="80" t="e">
        <f t="shared" si="96"/>
        <v>#N/A</v>
      </c>
      <c r="V97" s="80" t="e">
        <f t="shared" si="96"/>
        <v>#N/A</v>
      </c>
      <c r="W97" s="80" t="e">
        <f t="shared" si="96"/>
        <v>#N/A</v>
      </c>
      <c r="X97" s="80" t="e">
        <f t="shared" si="96"/>
        <v>#N/A</v>
      </c>
      <c r="Y97" s="80" t="e">
        <f t="shared" si="96"/>
        <v>#N/A</v>
      </c>
      <c r="Z97" s="80" t="e">
        <f t="shared" si="96"/>
        <v>#N/A</v>
      </c>
      <c r="AA97" s="80" t="e">
        <f t="shared" si="96"/>
        <v>#N/A</v>
      </c>
      <c r="AB97" s="80" t="e">
        <f t="shared" si="96"/>
        <v>#N/A</v>
      </c>
      <c r="AC97" s="80" t="e">
        <f t="shared" si="96"/>
        <v>#N/A</v>
      </c>
    </row>
    <row r="98" spans="1:43">
      <c r="P98"/>
      <c r="Q98" s="80" t="e">
        <f t="shared" ref="Q98:AC98" si="97">VLOOKUP($P98,$A:$N,B$1,0)</f>
        <v>#N/A</v>
      </c>
      <c r="R98" s="80" t="e">
        <f t="shared" si="97"/>
        <v>#N/A</v>
      </c>
      <c r="S98" s="80" t="e">
        <f t="shared" si="97"/>
        <v>#N/A</v>
      </c>
      <c r="T98" s="80" t="e">
        <f t="shared" si="97"/>
        <v>#N/A</v>
      </c>
      <c r="U98" s="80" t="e">
        <f t="shared" si="97"/>
        <v>#N/A</v>
      </c>
      <c r="V98" s="80" t="e">
        <f t="shared" si="97"/>
        <v>#N/A</v>
      </c>
      <c r="W98" s="80" t="e">
        <f t="shared" si="97"/>
        <v>#N/A</v>
      </c>
      <c r="X98" s="80" t="e">
        <f t="shared" si="97"/>
        <v>#N/A</v>
      </c>
      <c r="Y98" s="80" t="e">
        <f t="shared" si="97"/>
        <v>#N/A</v>
      </c>
      <c r="Z98" s="80" t="e">
        <f t="shared" si="97"/>
        <v>#N/A</v>
      </c>
      <c r="AA98" s="80" t="e">
        <f t="shared" si="97"/>
        <v>#N/A</v>
      </c>
      <c r="AB98" s="80" t="e">
        <f t="shared" si="97"/>
        <v>#N/A</v>
      </c>
      <c r="AC98" s="80" t="e">
        <f t="shared" si="97"/>
        <v>#N/A</v>
      </c>
    </row>
    <row r="99" spans="1:43">
      <c r="P99"/>
      <c r="Q99" s="80" t="e">
        <f t="shared" ref="Q99:AC99" si="98">VLOOKUP($P99,$A:$N,B$1,0)</f>
        <v>#N/A</v>
      </c>
      <c r="R99" s="80" t="e">
        <f t="shared" si="98"/>
        <v>#N/A</v>
      </c>
      <c r="S99" s="80" t="e">
        <f t="shared" si="98"/>
        <v>#N/A</v>
      </c>
      <c r="T99" s="80" t="e">
        <f t="shared" si="98"/>
        <v>#N/A</v>
      </c>
      <c r="U99" s="80" t="e">
        <f t="shared" si="98"/>
        <v>#N/A</v>
      </c>
      <c r="V99" s="80" t="e">
        <f t="shared" si="98"/>
        <v>#N/A</v>
      </c>
      <c r="W99" s="80" t="e">
        <f t="shared" si="98"/>
        <v>#N/A</v>
      </c>
      <c r="X99" s="80" t="e">
        <f t="shared" si="98"/>
        <v>#N/A</v>
      </c>
      <c r="Y99" s="80" t="e">
        <f t="shared" si="98"/>
        <v>#N/A</v>
      </c>
      <c r="Z99" s="80" t="e">
        <f t="shared" si="98"/>
        <v>#N/A</v>
      </c>
      <c r="AA99" s="80" t="e">
        <f t="shared" si="98"/>
        <v>#N/A</v>
      </c>
      <c r="AB99" s="80" t="e">
        <f t="shared" si="98"/>
        <v>#N/A</v>
      </c>
      <c r="AC99" s="80" t="e">
        <f t="shared" si="98"/>
        <v>#N/A</v>
      </c>
      <c r="AE99"/>
      <c r="AF99"/>
      <c r="AG99"/>
      <c r="AH99"/>
      <c r="AI99"/>
      <c r="AJ99"/>
      <c r="AK99"/>
      <c r="AL99"/>
      <c r="AM99"/>
      <c r="AN99"/>
      <c r="AO99"/>
      <c r="AP99"/>
      <c r="AQ99"/>
    </row>
    <row r="100" spans="1:43">
      <c r="P100"/>
      <c r="Q100" s="80" t="e">
        <f t="shared" ref="Q100:AC100" si="99">VLOOKUP($P100,$A:$N,B$1,0)</f>
        <v>#N/A</v>
      </c>
      <c r="R100" s="80" t="e">
        <f t="shared" si="99"/>
        <v>#N/A</v>
      </c>
      <c r="S100" s="80" t="e">
        <f t="shared" si="99"/>
        <v>#N/A</v>
      </c>
      <c r="T100" s="80" t="e">
        <f t="shared" si="99"/>
        <v>#N/A</v>
      </c>
      <c r="U100" s="80" t="e">
        <f t="shared" si="99"/>
        <v>#N/A</v>
      </c>
      <c r="V100" s="80" t="e">
        <f t="shared" si="99"/>
        <v>#N/A</v>
      </c>
      <c r="W100" s="80" t="e">
        <f t="shared" si="99"/>
        <v>#N/A</v>
      </c>
      <c r="X100" s="80" t="e">
        <f t="shared" si="99"/>
        <v>#N/A</v>
      </c>
      <c r="Y100" s="80" t="e">
        <f t="shared" si="99"/>
        <v>#N/A</v>
      </c>
      <c r="Z100" s="80" t="e">
        <f t="shared" si="99"/>
        <v>#N/A</v>
      </c>
      <c r="AA100" s="80" t="e">
        <f t="shared" si="99"/>
        <v>#N/A</v>
      </c>
      <c r="AB100" s="80" t="e">
        <f t="shared" si="99"/>
        <v>#N/A</v>
      </c>
      <c r="AC100" s="80" t="e">
        <f t="shared" si="99"/>
        <v>#N/A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</row>
    <row r="101" spans="1:43">
      <c r="P101"/>
      <c r="Q101" s="80" t="e">
        <f t="shared" ref="Q101:AC101" si="100">VLOOKUP($P101,$A:$N,B$1,0)</f>
        <v>#N/A</v>
      </c>
      <c r="R101" s="80" t="e">
        <f t="shared" si="100"/>
        <v>#N/A</v>
      </c>
      <c r="S101" s="80" t="e">
        <f t="shared" si="100"/>
        <v>#N/A</v>
      </c>
      <c r="T101" s="80" t="e">
        <f t="shared" si="100"/>
        <v>#N/A</v>
      </c>
      <c r="U101" s="80" t="e">
        <f t="shared" si="100"/>
        <v>#N/A</v>
      </c>
      <c r="V101" s="80" t="e">
        <f t="shared" si="100"/>
        <v>#N/A</v>
      </c>
      <c r="W101" s="80" t="e">
        <f t="shared" si="100"/>
        <v>#N/A</v>
      </c>
      <c r="X101" s="80" t="e">
        <f t="shared" si="100"/>
        <v>#N/A</v>
      </c>
      <c r="Y101" s="80" t="e">
        <f t="shared" si="100"/>
        <v>#N/A</v>
      </c>
      <c r="Z101" s="80" t="e">
        <f t="shared" si="100"/>
        <v>#N/A</v>
      </c>
      <c r="AA101" s="80" t="e">
        <f t="shared" si="100"/>
        <v>#N/A</v>
      </c>
      <c r="AB101" s="80" t="e">
        <f t="shared" si="100"/>
        <v>#N/A</v>
      </c>
      <c r="AC101" s="80" t="e">
        <f t="shared" si="100"/>
        <v>#N/A</v>
      </c>
      <c r="AE101"/>
      <c r="AF101"/>
      <c r="AG101"/>
      <c r="AH101"/>
      <c r="AI101"/>
      <c r="AJ101"/>
      <c r="AK101"/>
      <c r="AL101"/>
      <c r="AM101"/>
      <c r="AN101"/>
      <c r="AO101"/>
      <c r="AP101"/>
      <c r="AQ101"/>
    </row>
    <row r="102" spans="1:43">
      <c r="P102"/>
      <c r="Q102" s="80" t="e">
        <f t="shared" ref="Q102:AC102" si="101">VLOOKUP($P102,$A:$N,B$1,0)</f>
        <v>#N/A</v>
      </c>
      <c r="R102" s="80" t="e">
        <f t="shared" si="101"/>
        <v>#N/A</v>
      </c>
      <c r="S102" s="80" t="e">
        <f t="shared" si="101"/>
        <v>#N/A</v>
      </c>
      <c r="T102" s="80" t="e">
        <f t="shared" si="101"/>
        <v>#N/A</v>
      </c>
      <c r="U102" s="80" t="e">
        <f t="shared" si="101"/>
        <v>#N/A</v>
      </c>
      <c r="V102" s="80" t="e">
        <f t="shared" si="101"/>
        <v>#N/A</v>
      </c>
      <c r="W102" s="80" t="e">
        <f t="shared" si="101"/>
        <v>#N/A</v>
      </c>
      <c r="X102" s="80" t="e">
        <f t="shared" si="101"/>
        <v>#N/A</v>
      </c>
      <c r="Y102" s="80" t="e">
        <f t="shared" si="101"/>
        <v>#N/A</v>
      </c>
      <c r="Z102" s="80" t="e">
        <f t="shared" si="101"/>
        <v>#N/A</v>
      </c>
      <c r="AA102" s="80" t="e">
        <f t="shared" si="101"/>
        <v>#N/A</v>
      </c>
      <c r="AB102" s="80" t="e">
        <f t="shared" si="101"/>
        <v>#N/A</v>
      </c>
      <c r="AC102" s="80" t="e">
        <f t="shared" si="101"/>
        <v>#N/A</v>
      </c>
      <c r="AE102"/>
      <c r="AF102"/>
      <c r="AG102"/>
      <c r="AH102"/>
      <c r="AI102"/>
      <c r="AJ102"/>
      <c r="AK102"/>
      <c r="AL102"/>
      <c r="AM102"/>
      <c r="AN102"/>
      <c r="AO102"/>
      <c r="AP102"/>
      <c r="AQ102"/>
    </row>
    <row r="103" spans="1:43">
      <c r="P103"/>
      <c r="Q103" s="80" t="e">
        <f t="shared" ref="Q103:AC103" si="102">VLOOKUP($P103,$A:$N,B$1,0)</f>
        <v>#N/A</v>
      </c>
      <c r="R103" s="80" t="e">
        <f t="shared" si="102"/>
        <v>#N/A</v>
      </c>
      <c r="S103" s="80" t="e">
        <f t="shared" si="102"/>
        <v>#N/A</v>
      </c>
      <c r="T103" s="80" t="e">
        <f t="shared" si="102"/>
        <v>#N/A</v>
      </c>
      <c r="U103" s="80" t="e">
        <f t="shared" si="102"/>
        <v>#N/A</v>
      </c>
      <c r="V103" s="80" t="e">
        <f t="shared" si="102"/>
        <v>#N/A</v>
      </c>
      <c r="W103" s="80" t="e">
        <f t="shared" si="102"/>
        <v>#N/A</v>
      </c>
      <c r="X103" s="80" t="e">
        <f t="shared" si="102"/>
        <v>#N/A</v>
      </c>
      <c r="Y103" s="80" t="e">
        <f t="shared" si="102"/>
        <v>#N/A</v>
      </c>
      <c r="Z103" s="80" t="e">
        <f t="shared" si="102"/>
        <v>#N/A</v>
      </c>
      <c r="AA103" s="80" t="e">
        <f t="shared" si="102"/>
        <v>#N/A</v>
      </c>
      <c r="AB103" s="80" t="e">
        <f t="shared" si="102"/>
        <v>#N/A</v>
      </c>
      <c r="AC103" s="80" t="e">
        <f t="shared" si="102"/>
        <v>#N/A</v>
      </c>
      <c r="AE103"/>
      <c r="AF103"/>
      <c r="AG103"/>
      <c r="AH103"/>
      <c r="AI103"/>
      <c r="AJ103"/>
      <c r="AK103"/>
      <c r="AL103"/>
      <c r="AM103"/>
      <c r="AN103"/>
      <c r="AO103"/>
      <c r="AP103"/>
      <c r="AQ103"/>
    </row>
    <row r="104" spans="1:43">
      <c r="P104"/>
      <c r="Q104" s="80" t="e">
        <f t="shared" ref="Q104:AC104" si="103">VLOOKUP($P104,$A:$N,B$1,0)</f>
        <v>#N/A</v>
      </c>
      <c r="R104" s="80" t="e">
        <f t="shared" si="103"/>
        <v>#N/A</v>
      </c>
      <c r="S104" s="80" t="e">
        <f t="shared" si="103"/>
        <v>#N/A</v>
      </c>
      <c r="T104" s="80" t="e">
        <f t="shared" si="103"/>
        <v>#N/A</v>
      </c>
      <c r="U104" s="80" t="e">
        <f t="shared" si="103"/>
        <v>#N/A</v>
      </c>
      <c r="V104" s="80" t="e">
        <f t="shared" si="103"/>
        <v>#N/A</v>
      </c>
      <c r="W104" s="80" t="e">
        <f t="shared" si="103"/>
        <v>#N/A</v>
      </c>
      <c r="X104" s="80" t="e">
        <f t="shared" si="103"/>
        <v>#N/A</v>
      </c>
      <c r="Y104" s="80" t="e">
        <f t="shared" si="103"/>
        <v>#N/A</v>
      </c>
      <c r="Z104" s="80" t="e">
        <f t="shared" si="103"/>
        <v>#N/A</v>
      </c>
      <c r="AA104" s="80" t="e">
        <f t="shared" si="103"/>
        <v>#N/A</v>
      </c>
      <c r="AB104" s="80" t="e">
        <f t="shared" si="103"/>
        <v>#N/A</v>
      </c>
      <c r="AC104" s="80" t="e">
        <f t="shared" si="103"/>
        <v>#N/A</v>
      </c>
      <c r="AE104"/>
      <c r="AF104"/>
      <c r="AG104"/>
      <c r="AH104"/>
      <c r="AI104"/>
      <c r="AJ104"/>
      <c r="AK104"/>
      <c r="AL104"/>
      <c r="AM104"/>
      <c r="AN104"/>
      <c r="AO104"/>
      <c r="AP104"/>
      <c r="AQ104"/>
    </row>
    <row r="105" spans="1:43">
      <c r="P105"/>
      <c r="Q105" s="80" t="e">
        <f t="shared" ref="Q105:AC105" si="104">VLOOKUP($P105,$A:$N,B$1,0)</f>
        <v>#N/A</v>
      </c>
      <c r="R105" s="80" t="e">
        <f t="shared" si="104"/>
        <v>#N/A</v>
      </c>
      <c r="S105" s="80" t="e">
        <f t="shared" si="104"/>
        <v>#N/A</v>
      </c>
      <c r="T105" s="80" t="e">
        <f t="shared" si="104"/>
        <v>#N/A</v>
      </c>
      <c r="U105" s="80" t="e">
        <f t="shared" si="104"/>
        <v>#N/A</v>
      </c>
      <c r="V105" s="80" t="e">
        <f t="shared" si="104"/>
        <v>#N/A</v>
      </c>
      <c r="W105" s="80" t="e">
        <f t="shared" si="104"/>
        <v>#N/A</v>
      </c>
      <c r="X105" s="80" t="e">
        <f t="shared" si="104"/>
        <v>#N/A</v>
      </c>
      <c r="Y105" s="80" t="e">
        <f t="shared" si="104"/>
        <v>#N/A</v>
      </c>
      <c r="Z105" s="80" t="e">
        <f t="shared" si="104"/>
        <v>#N/A</v>
      </c>
      <c r="AA105" s="80" t="e">
        <f t="shared" si="104"/>
        <v>#N/A</v>
      </c>
      <c r="AB105" s="80" t="e">
        <f t="shared" si="104"/>
        <v>#N/A</v>
      </c>
      <c r="AC105" s="80" t="e">
        <f t="shared" si="104"/>
        <v>#N/A</v>
      </c>
      <c r="AE105"/>
      <c r="AF105"/>
      <c r="AG105"/>
      <c r="AH105"/>
      <c r="AI105"/>
      <c r="AJ105"/>
      <c r="AK105"/>
      <c r="AL105"/>
      <c r="AM105"/>
      <c r="AN105"/>
      <c r="AO105"/>
      <c r="AP105"/>
      <c r="AQ105"/>
    </row>
    <row r="106" spans="1:43">
      <c r="P106"/>
      <c r="Q106" s="80" t="e">
        <f t="shared" ref="Q106:AC106" si="105">VLOOKUP($P106,$A:$N,B$1,0)</f>
        <v>#N/A</v>
      </c>
      <c r="R106" s="80" t="e">
        <f t="shared" si="105"/>
        <v>#N/A</v>
      </c>
      <c r="S106" s="80" t="e">
        <f t="shared" si="105"/>
        <v>#N/A</v>
      </c>
      <c r="T106" s="80" t="e">
        <f t="shared" si="105"/>
        <v>#N/A</v>
      </c>
      <c r="U106" s="80" t="e">
        <f t="shared" si="105"/>
        <v>#N/A</v>
      </c>
      <c r="V106" s="80" t="e">
        <f t="shared" si="105"/>
        <v>#N/A</v>
      </c>
      <c r="W106" s="80" t="e">
        <f t="shared" si="105"/>
        <v>#N/A</v>
      </c>
      <c r="X106" s="80" t="e">
        <f t="shared" si="105"/>
        <v>#N/A</v>
      </c>
      <c r="Y106" s="80" t="e">
        <f t="shared" si="105"/>
        <v>#N/A</v>
      </c>
      <c r="Z106" s="80" t="e">
        <f t="shared" si="105"/>
        <v>#N/A</v>
      </c>
      <c r="AA106" s="80" t="e">
        <f t="shared" si="105"/>
        <v>#N/A</v>
      </c>
      <c r="AB106" s="80" t="e">
        <f t="shared" si="105"/>
        <v>#N/A</v>
      </c>
      <c r="AC106" s="80" t="e">
        <f t="shared" si="105"/>
        <v>#N/A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</row>
    <row r="107" spans="1:43">
      <c r="P107"/>
      <c r="Q107" s="80" t="e">
        <f t="shared" ref="Q107:AC107" si="106">VLOOKUP($P107,$A:$N,B$1,0)</f>
        <v>#N/A</v>
      </c>
      <c r="R107" s="80" t="e">
        <f t="shared" si="106"/>
        <v>#N/A</v>
      </c>
      <c r="S107" s="80" t="e">
        <f t="shared" si="106"/>
        <v>#N/A</v>
      </c>
      <c r="T107" s="80" t="e">
        <f t="shared" si="106"/>
        <v>#N/A</v>
      </c>
      <c r="U107" s="80" t="e">
        <f t="shared" si="106"/>
        <v>#N/A</v>
      </c>
      <c r="V107" s="80" t="e">
        <f t="shared" si="106"/>
        <v>#N/A</v>
      </c>
      <c r="W107" s="80" t="e">
        <f t="shared" si="106"/>
        <v>#N/A</v>
      </c>
      <c r="X107" s="80" t="e">
        <f t="shared" si="106"/>
        <v>#N/A</v>
      </c>
      <c r="Y107" s="80" t="e">
        <f t="shared" si="106"/>
        <v>#N/A</v>
      </c>
      <c r="Z107" s="80" t="e">
        <f t="shared" si="106"/>
        <v>#N/A</v>
      </c>
      <c r="AA107" s="80" t="e">
        <f t="shared" si="106"/>
        <v>#N/A</v>
      </c>
      <c r="AB107" s="80" t="e">
        <f t="shared" si="106"/>
        <v>#N/A</v>
      </c>
      <c r="AC107" s="80" t="e">
        <f t="shared" si="106"/>
        <v>#N/A</v>
      </c>
      <c r="AE107"/>
      <c r="AF107"/>
      <c r="AG107"/>
      <c r="AH107"/>
      <c r="AI107"/>
      <c r="AJ107"/>
      <c r="AK107"/>
      <c r="AL107"/>
      <c r="AM107"/>
      <c r="AN107"/>
      <c r="AO107"/>
      <c r="AP107"/>
      <c r="AQ107"/>
    </row>
    <row r="108" spans="1:43">
      <c r="P108"/>
      <c r="Q108" s="80" t="e">
        <f t="shared" ref="Q108:AC108" si="107">VLOOKUP($P108,$A:$N,B$1,0)</f>
        <v>#N/A</v>
      </c>
      <c r="R108" s="80" t="e">
        <f t="shared" si="107"/>
        <v>#N/A</v>
      </c>
      <c r="S108" s="80" t="e">
        <f t="shared" si="107"/>
        <v>#N/A</v>
      </c>
      <c r="T108" s="80" t="e">
        <f t="shared" si="107"/>
        <v>#N/A</v>
      </c>
      <c r="U108" s="80" t="e">
        <f t="shared" si="107"/>
        <v>#N/A</v>
      </c>
      <c r="V108" s="80" t="e">
        <f t="shared" si="107"/>
        <v>#N/A</v>
      </c>
      <c r="W108" s="80" t="e">
        <f t="shared" si="107"/>
        <v>#N/A</v>
      </c>
      <c r="X108" s="80" t="e">
        <f t="shared" si="107"/>
        <v>#N/A</v>
      </c>
      <c r="Y108" s="80" t="e">
        <f t="shared" si="107"/>
        <v>#N/A</v>
      </c>
      <c r="Z108" s="80" t="e">
        <f t="shared" si="107"/>
        <v>#N/A</v>
      </c>
      <c r="AA108" s="80" t="e">
        <f t="shared" si="107"/>
        <v>#N/A</v>
      </c>
      <c r="AB108" s="80" t="e">
        <f t="shared" si="107"/>
        <v>#N/A</v>
      </c>
      <c r="AC108" s="80" t="e">
        <f t="shared" si="107"/>
        <v>#N/A</v>
      </c>
      <c r="AE108"/>
      <c r="AF108"/>
      <c r="AG108"/>
      <c r="AH108"/>
      <c r="AI108"/>
      <c r="AJ108"/>
      <c r="AK108"/>
      <c r="AL108"/>
      <c r="AM108"/>
      <c r="AN108"/>
      <c r="AO108"/>
      <c r="AP108"/>
      <c r="AQ108"/>
    </row>
    <row r="109" spans="1:43">
      <c r="P109"/>
      <c r="Q109" s="80" t="e">
        <f t="shared" ref="Q109:AC109" si="108">VLOOKUP($P109,$A:$N,B$1,0)</f>
        <v>#N/A</v>
      </c>
      <c r="R109" s="80" t="e">
        <f t="shared" si="108"/>
        <v>#N/A</v>
      </c>
      <c r="S109" s="80" t="e">
        <f t="shared" si="108"/>
        <v>#N/A</v>
      </c>
      <c r="T109" s="80" t="e">
        <f t="shared" si="108"/>
        <v>#N/A</v>
      </c>
      <c r="U109" s="80" t="e">
        <f t="shared" si="108"/>
        <v>#N/A</v>
      </c>
      <c r="V109" s="80" t="e">
        <f t="shared" si="108"/>
        <v>#N/A</v>
      </c>
      <c r="W109" s="80" t="e">
        <f t="shared" si="108"/>
        <v>#N/A</v>
      </c>
      <c r="X109" s="80" t="e">
        <f t="shared" si="108"/>
        <v>#N/A</v>
      </c>
      <c r="Y109" s="80" t="e">
        <f t="shared" si="108"/>
        <v>#N/A</v>
      </c>
      <c r="Z109" s="80" t="e">
        <f t="shared" si="108"/>
        <v>#N/A</v>
      </c>
      <c r="AA109" s="80" t="e">
        <f t="shared" si="108"/>
        <v>#N/A</v>
      </c>
      <c r="AB109" s="80" t="e">
        <f t="shared" si="108"/>
        <v>#N/A</v>
      </c>
      <c r="AC109" s="80" t="e">
        <f t="shared" si="108"/>
        <v>#N/A</v>
      </c>
      <c r="AE109"/>
      <c r="AF109"/>
      <c r="AG109"/>
      <c r="AH109"/>
      <c r="AI109"/>
      <c r="AJ109"/>
      <c r="AK109"/>
      <c r="AL109"/>
      <c r="AM109"/>
      <c r="AN109"/>
      <c r="AO109"/>
      <c r="AP109"/>
      <c r="AQ109"/>
    </row>
    <row r="110" spans="1:43">
      <c r="P110"/>
      <c r="Q110" s="80" t="e">
        <f t="shared" ref="Q110:AC110" si="109">VLOOKUP($P110,$A:$N,B$1,0)</f>
        <v>#N/A</v>
      </c>
      <c r="R110" s="80" t="e">
        <f t="shared" si="109"/>
        <v>#N/A</v>
      </c>
      <c r="S110" s="80" t="e">
        <f t="shared" si="109"/>
        <v>#N/A</v>
      </c>
      <c r="T110" s="80" t="e">
        <f t="shared" si="109"/>
        <v>#N/A</v>
      </c>
      <c r="U110" s="80" t="e">
        <f t="shared" si="109"/>
        <v>#N/A</v>
      </c>
      <c r="V110" s="80" t="e">
        <f t="shared" si="109"/>
        <v>#N/A</v>
      </c>
      <c r="W110" s="80" t="e">
        <f t="shared" si="109"/>
        <v>#N/A</v>
      </c>
      <c r="X110" s="80" t="e">
        <f t="shared" si="109"/>
        <v>#N/A</v>
      </c>
      <c r="Y110" s="80" t="e">
        <f t="shared" si="109"/>
        <v>#N/A</v>
      </c>
      <c r="Z110" s="80" t="e">
        <f t="shared" si="109"/>
        <v>#N/A</v>
      </c>
      <c r="AA110" s="80" t="e">
        <f t="shared" si="109"/>
        <v>#N/A</v>
      </c>
      <c r="AB110" s="80" t="e">
        <f t="shared" si="109"/>
        <v>#N/A</v>
      </c>
      <c r="AC110" s="80" t="e">
        <f t="shared" si="109"/>
        <v>#N/A</v>
      </c>
      <c r="AE110"/>
      <c r="AF110"/>
      <c r="AG110"/>
      <c r="AH110"/>
      <c r="AI110"/>
      <c r="AJ110"/>
      <c r="AK110"/>
      <c r="AL110"/>
      <c r="AM110"/>
      <c r="AN110"/>
      <c r="AO110"/>
      <c r="AP110"/>
      <c r="AQ110"/>
    </row>
  </sheetData>
  <autoFilter xmlns:etc="http://www.wps.cn/officeDocument/2017/etCustomData" ref="A1:AQ110" etc:filterBottomFollowUsedRange="0">
    <extLst/>
  </autoFilter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3"/>
  <sheetViews>
    <sheetView zoomScale="90" zoomScaleNormal="90" topLeftCell="G1" workbookViewId="0">
      <pane xSplit="4" ySplit="4" topLeftCell="K5" activePane="bottomRight" state="frozen"/>
      <selection/>
      <selection pane="topRight"/>
      <selection pane="bottomLeft"/>
      <selection pane="bottomRight" activeCell="T107" sqref="T107"/>
    </sheetView>
  </sheetViews>
  <sheetFormatPr defaultColWidth="8.025" defaultRowHeight="16.5" customHeight="1"/>
  <cols>
    <col min="1" max="1" width="23.8333333333333" style="29" hidden="1" customWidth="1"/>
    <col min="2" max="2" width="30.1166666666667" style="29" hidden="1" customWidth="1"/>
    <col min="3" max="3" width="11.975" style="29" hidden="1" customWidth="1"/>
    <col min="4" max="4" width="19.65" style="29" hidden="1" customWidth="1"/>
    <col min="5" max="5" width="6.85833333333333" style="29" hidden="1" customWidth="1"/>
    <col min="6" max="6" width="13.95" style="29" hidden="1" customWidth="1"/>
    <col min="7" max="7" width="4.78333333333333" style="29" customWidth="1"/>
    <col min="8" max="8" width="4.51666666666667" style="29" customWidth="1"/>
    <col min="9" max="9" width="13.95" style="30" customWidth="1"/>
    <col min="10" max="10" width="11.5083333333333" style="31" customWidth="1"/>
    <col min="11" max="11" width="7.55833333333333" style="31" customWidth="1"/>
    <col min="12" max="12" width="7.20833333333333" style="30" customWidth="1"/>
    <col min="13" max="13" width="6.50833333333333" style="31" customWidth="1"/>
    <col min="14" max="15" width="5.58333333333333" style="31" customWidth="1"/>
    <col min="16" max="16" width="5.08333333333333" style="31" customWidth="1"/>
    <col min="17" max="18" width="8.56666666666667" style="30" customWidth="1"/>
    <col min="19" max="19" width="19.1166666666667" style="32" customWidth="1"/>
    <col min="20" max="20" width="77.5583333333333" style="33" customWidth="1"/>
    <col min="21" max="16384" width="8.025" style="28"/>
  </cols>
  <sheetData>
    <row r="1" customHeight="1" spans="1:20">
      <c r="J1" s="31">
        <f t="shared" ref="J1:R1" si="0">SUM(J4:J80)</f>
        <v>27</v>
      </c>
      <c r="K1" s="31">
        <f t="shared" si="0"/>
        <v>16</v>
      </c>
      <c r="L1" s="31">
        <f t="shared" si="0"/>
        <v>0</v>
      </c>
      <c r="M1" s="31">
        <f t="shared" si="0"/>
        <v>30.5</v>
      </c>
      <c r="N1" s="31">
        <f t="shared" si="0"/>
        <v>6</v>
      </c>
      <c r="O1" s="31">
        <f t="shared" si="0"/>
        <v>0</v>
      </c>
      <c r="P1" s="31">
        <f t="shared" si="0"/>
        <v>2</v>
      </c>
      <c r="Q1" s="31">
        <f t="shared" si="0"/>
        <v>10</v>
      </c>
      <c r="R1" s="31">
        <f t="shared" si="0"/>
        <v>13</v>
      </c>
    </row>
    <row r="2" customHeight="1" spans="1:20">
      <c r="I2" s="30" t="s">
        <v>772</v>
      </c>
      <c r="J2" s="34" t="s">
        <v>773</v>
      </c>
      <c r="K2" s="34"/>
      <c r="L2" s="35"/>
      <c r="M2" s="36" t="s">
        <v>774</v>
      </c>
      <c r="N2" s="36"/>
      <c r="O2" s="36"/>
      <c r="P2" s="36"/>
      <c r="R2" s="37"/>
    </row>
    <row r="3" customHeight="1" spans="1:20">
      <c r="A3" s="38"/>
      <c r="B3" s="39" t="s">
        <v>775</v>
      </c>
      <c r="C3" s="40" t="s">
        <v>55</v>
      </c>
      <c r="D3" s="41" t="s">
        <v>187</v>
      </c>
      <c r="E3" s="41" t="s">
        <v>188</v>
      </c>
      <c r="F3" s="42" t="s">
        <v>189</v>
      </c>
      <c r="G3" s="43" t="s">
        <v>776</v>
      </c>
      <c r="H3" s="43" t="s">
        <v>777</v>
      </c>
      <c r="I3" s="44" t="s">
        <v>191</v>
      </c>
      <c r="J3" s="45" t="s">
        <v>695</v>
      </c>
      <c r="K3" s="45" t="s">
        <v>696</v>
      </c>
      <c r="L3" s="46" t="s">
        <v>718</v>
      </c>
      <c r="M3" s="45" t="s">
        <v>712</v>
      </c>
      <c r="N3" s="45" t="s">
        <v>714</v>
      </c>
      <c r="O3" s="45" t="s">
        <v>715</v>
      </c>
      <c r="P3" s="45" t="s">
        <v>716</v>
      </c>
      <c r="Q3" s="46" t="s">
        <v>717</v>
      </c>
      <c r="R3" s="46" t="s">
        <v>709</v>
      </c>
      <c r="S3" s="47" t="s">
        <v>769</v>
      </c>
      <c r="T3" s="48" t="s">
        <v>721</v>
      </c>
    </row>
    <row r="4" customHeight="1" spans="1:20">
      <c r="A4" s="49"/>
      <c r="B4" s="49"/>
      <c r="C4" s="49"/>
      <c r="D4" s="49"/>
      <c r="E4" s="49"/>
      <c r="F4" s="50"/>
      <c r="G4" s="51">
        <v>1</v>
      </c>
      <c r="H4" s="51">
        <v>56</v>
      </c>
      <c r="I4" s="52" t="s">
        <v>517</v>
      </c>
      <c r="J4" s="53">
        <v>0</v>
      </c>
      <c r="K4" s="54">
        <v>0</v>
      </c>
      <c r="L4" s="52"/>
      <c r="M4" s="54">
        <v>0</v>
      </c>
      <c r="N4" s="54">
        <v>0</v>
      </c>
      <c r="O4" s="54"/>
      <c r="P4" s="54"/>
      <c r="Q4" s="52"/>
      <c r="R4" s="52"/>
      <c r="S4" s="55"/>
      <c r="T4" s="56"/>
    </row>
    <row r="5" customHeight="1" spans="1:20">
      <c r="A5" s="26"/>
      <c r="B5" s="26"/>
      <c r="C5" s="26"/>
      <c r="D5" s="26"/>
      <c r="E5" s="26"/>
      <c r="F5" s="51"/>
      <c r="G5" s="51">
        <v>2</v>
      </c>
      <c r="H5" s="51">
        <v>30</v>
      </c>
      <c r="I5" s="52" t="s">
        <v>440</v>
      </c>
      <c r="J5" s="53">
        <v>0</v>
      </c>
      <c r="K5" s="54">
        <v>0</v>
      </c>
      <c r="L5" s="52"/>
      <c r="M5" s="54">
        <v>0</v>
      </c>
      <c r="N5" s="54">
        <v>0</v>
      </c>
      <c r="O5" s="54"/>
      <c r="P5" s="54"/>
      <c r="Q5" s="52"/>
      <c r="R5" s="52"/>
      <c r="S5" s="55"/>
      <c r="T5" s="56"/>
    </row>
    <row r="6" customHeight="1" spans="1:20">
      <c r="A6" s="49"/>
      <c r="B6" s="49"/>
      <c r="C6" s="49"/>
      <c r="D6" s="49"/>
      <c r="E6" s="49"/>
      <c r="F6" s="50"/>
      <c r="G6" s="51">
        <v>3</v>
      </c>
      <c r="H6" s="51">
        <v>74</v>
      </c>
      <c r="I6" s="58" t="s">
        <v>423</v>
      </c>
      <c r="J6" s="53">
        <v>0</v>
      </c>
      <c r="K6" s="54">
        <v>0</v>
      </c>
      <c r="L6" s="52"/>
      <c r="M6" s="54">
        <v>0</v>
      </c>
      <c r="N6" s="54">
        <v>0</v>
      </c>
      <c r="O6" s="54"/>
      <c r="P6" s="54"/>
      <c r="Q6" s="52"/>
      <c r="R6" s="52"/>
      <c r="S6" s="55"/>
      <c r="T6" s="56"/>
    </row>
    <row r="7" customHeight="1" spans="1:20">
      <c r="A7" s="49"/>
      <c r="B7" s="49"/>
      <c r="C7" s="49"/>
      <c r="D7" s="49"/>
      <c r="E7" s="49"/>
      <c r="F7" s="50"/>
      <c r="G7" s="51">
        <v>17</v>
      </c>
      <c r="H7" s="51">
        <v>50</v>
      </c>
      <c r="I7" s="52" t="s">
        <v>397</v>
      </c>
      <c r="J7" s="53">
        <v>0</v>
      </c>
      <c r="K7" s="54">
        <v>0</v>
      </c>
      <c r="L7" s="52"/>
      <c r="M7" s="54">
        <v>0.5</v>
      </c>
      <c r="N7" s="54">
        <v>0</v>
      </c>
      <c r="O7" s="54"/>
      <c r="P7" s="54"/>
      <c r="Q7" s="52"/>
      <c r="R7" s="52"/>
      <c r="S7" s="55"/>
      <c r="T7" s="56" t="s">
        <v>724</v>
      </c>
    </row>
    <row r="8" customHeight="1" spans="1:20">
      <c r="A8" s="49"/>
      <c r="B8" s="49"/>
      <c r="C8" s="49"/>
      <c r="D8" s="49"/>
      <c r="E8" s="49"/>
      <c r="F8" s="50"/>
      <c r="G8" s="51">
        <v>5</v>
      </c>
      <c r="H8" s="51">
        <v>54</v>
      </c>
      <c r="I8" s="52" t="s">
        <v>461</v>
      </c>
      <c r="J8" s="53">
        <v>0</v>
      </c>
      <c r="K8" s="54">
        <v>0</v>
      </c>
      <c r="L8" s="52"/>
      <c r="M8" s="54">
        <v>0</v>
      </c>
      <c r="N8" s="54">
        <v>0</v>
      </c>
      <c r="O8" s="54"/>
      <c r="P8" s="54"/>
      <c r="Q8" s="52"/>
      <c r="R8" s="52"/>
      <c r="S8" s="55"/>
      <c r="T8" s="56"/>
    </row>
    <row r="9" customHeight="1" spans="1:20">
      <c r="A9" s="26"/>
      <c r="B9" s="26"/>
      <c r="C9" s="26"/>
      <c r="D9" s="26"/>
      <c r="E9" s="26"/>
      <c r="F9" s="51"/>
      <c r="G9" s="51">
        <v>6</v>
      </c>
      <c r="H9" s="51"/>
      <c r="I9" s="52" t="s">
        <v>562</v>
      </c>
      <c r="J9" s="53">
        <v>0</v>
      </c>
      <c r="K9" s="54">
        <v>1</v>
      </c>
      <c r="L9" s="52"/>
      <c r="M9" s="54">
        <v>0</v>
      </c>
      <c r="N9" s="54">
        <v>0</v>
      </c>
      <c r="O9" s="54"/>
      <c r="P9" s="54"/>
      <c r="Q9" s="52"/>
      <c r="R9" s="52"/>
      <c r="S9" s="55" t="s">
        <v>756</v>
      </c>
      <c r="T9" s="56" t="s">
        <v>757</v>
      </c>
    </row>
    <row r="10" s="26" customFormat="1" customHeight="1" spans="1:20">
      <c r="B10" s="26" t="s">
        <v>778</v>
      </c>
      <c r="C10" s="26" t="s">
        <v>71</v>
      </c>
      <c r="D10" s="26" t="s">
        <v>359</v>
      </c>
      <c r="E10" s="26" t="s">
        <v>520</v>
      </c>
      <c r="F10" s="51" t="s">
        <v>366</v>
      </c>
      <c r="G10" s="51">
        <v>7</v>
      </c>
      <c r="H10" s="51">
        <v>8</v>
      </c>
      <c r="I10" s="60" t="s">
        <v>108</v>
      </c>
      <c r="J10" s="53">
        <v>0</v>
      </c>
      <c r="K10" s="54">
        <v>0</v>
      </c>
      <c r="L10" s="52"/>
      <c r="M10" s="54">
        <v>0</v>
      </c>
      <c r="N10" s="54">
        <v>0</v>
      </c>
      <c r="O10" s="54"/>
      <c r="P10" s="54"/>
      <c r="Q10" s="52"/>
      <c r="R10" s="52"/>
      <c r="S10" s="55"/>
      <c r="T10" s="56" t="s">
        <v>749</v>
      </c>
    </row>
    <row r="11" customHeight="1" spans="1:20">
      <c r="A11" s="51"/>
      <c r="B11" s="74"/>
      <c r="C11" s="74"/>
      <c r="D11" s="74"/>
      <c r="E11" s="74"/>
      <c r="F11" s="74"/>
      <c r="G11" s="51">
        <v>8</v>
      </c>
      <c r="H11" s="51"/>
      <c r="I11" s="52" t="s">
        <v>563</v>
      </c>
      <c r="J11" s="53">
        <v>0</v>
      </c>
      <c r="K11" s="54">
        <v>1</v>
      </c>
      <c r="L11" s="52"/>
      <c r="M11" s="54">
        <v>0</v>
      </c>
      <c r="N11" s="54">
        <v>0</v>
      </c>
      <c r="O11" s="54"/>
      <c r="P11" s="54"/>
      <c r="Q11" s="52"/>
      <c r="R11" s="52"/>
      <c r="S11" s="55" t="s">
        <v>756</v>
      </c>
      <c r="T11" s="56" t="s">
        <v>757</v>
      </c>
    </row>
    <row r="12" customHeight="1" spans="1:20">
      <c r="A12" s="49"/>
      <c r="B12" s="49"/>
      <c r="C12" s="49"/>
      <c r="D12" s="49"/>
      <c r="E12" s="49"/>
      <c r="F12" s="50"/>
      <c r="G12" s="51">
        <v>9</v>
      </c>
      <c r="H12" s="51">
        <v>61</v>
      </c>
      <c r="I12" s="52" t="s">
        <v>560</v>
      </c>
      <c r="J12" s="53">
        <v>0</v>
      </c>
      <c r="K12" s="54">
        <v>0</v>
      </c>
      <c r="L12" s="52"/>
      <c r="M12" s="54">
        <v>0</v>
      </c>
      <c r="N12" s="62">
        <v>0</v>
      </c>
      <c r="O12" s="62"/>
      <c r="P12" s="62"/>
      <c r="Q12" s="52"/>
      <c r="R12" s="52"/>
      <c r="S12" s="55"/>
      <c r="T12" s="56" t="s">
        <v>749</v>
      </c>
    </row>
    <row r="13" customHeight="1" spans="1:20">
      <c r="A13" s="26"/>
      <c r="B13" s="26"/>
      <c r="C13" s="26"/>
      <c r="D13" s="26"/>
      <c r="E13" s="26"/>
      <c r="F13" s="51"/>
      <c r="G13" s="51">
        <v>10</v>
      </c>
      <c r="H13" s="51"/>
      <c r="I13" s="52" t="s">
        <v>565</v>
      </c>
      <c r="J13" s="53">
        <v>0</v>
      </c>
      <c r="K13" s="54">
        <v>0</v>
      </c>
      <c r="L13" s="52"/>
      <c r="M13" s="54">
        <v>0</v>
      </c>
      <c r="N13" s="54">
        <v>0</v>
      </c>
      <c r="O13" s="54"/>
      <c r="P13" s="54"/>
      <c r="Q13" s="52"/>
      <c r="R13" s="52"/>
      <c r="S13" s="55" t="s">
        <v>756</v>
      </c>
      <c r="T13" s="56" t="s">
        <v>759</v>
      </c>
    </row>
    <row r="14" customHeight="1" spans="1:20">
      <c r="A14" s="49"/>
      <c r="B14" s="49"/>
      <c r="C14" s="49"/>
      <c r="D14" s="49"/>
      <c r="E14" s="49"/>
      <c r="F14" s="50"/>
      <c r="G14" s="51">
        <v>11</v>
      </c>
      <c r="H14" s="51">
        <v>63</v>
      </c>
      <c r="I14" s="52" t="s">
        <v>341</v>
      </c>
      <c r="J14" s="53">
        <v>0</v>
      </c>
      <c r="K14" s="54">
        <v>0</v>
      </c>
      <c r="L14" s="52"/>
      <c r="M14" s="54">
        <v>0</v>
      </c>
      <c r="N14" s="54">
        <v>0</v>
      </c>
      <c r="O14" s="54"/>
      <c r="P14" s="54"/>
      <c r="Q14" s="52"/>
      <c r="R14" s="52"/>
      <c r="S14" s="55"/>
      <c r="T14" s="56"/>
    </row>
    <row r="15" customHeight="1" spans="1:20">
      <c r="A15" s="26"/>
      <c r="B15" s="26"/>
      <c r="C15" s="26"/>
      <c r="D15" s="26"/>
      <c r="E15" s="26"/>
      <c r="F15" s="51"/>
      <c r="G15" s="51">
        <v>12</v>
      </c>
      <c r="H15" s="51">
        <v>24</v>
      </c>
      <c r="I15" s="52" t="s">
        <v>387</v>
      </c>
      <c r="J15" s="53">
        <v>0</v>
      </c>
      <c r="K15" s="54">
        <v>0</v>
      </c>
      <c r="L15" s="52"/>
      <c r="M15" s="54">
        <v>0</v>
      </c>
      <c r="N15" s="54">
        <v>0.5</v>
      </c>
      <c r="O15" s="54"/>
      <c r="P15" s="54"/>
      <c r="Q15" s="52"/>
      <c r="R15" s="52"/>
      <c r="S15" s="55"/>
      <c r="T15" s="56" t="s">
        <v>731</v>
      </c>
    </row>
    <row r="16" customHeight="1" spans="1:20">
      <c r="A16" s="49"/>
      <c r="B16" s="49"/>
      <c r="C16" s="49"/>
      <c r="D16" s="49"/>
      <c r="E16" s="49"/>
      <c r="F16" s="50"/>
      <c r="G16" s="51">
        <v>24</v>
      </c>
      <c r="H16" s="51">
        <v>49</v>
      </c>
      <c r="I16" s="52" t="s">
        <v>330</v>
      </c>
      <c r="J16" s="53">
        <v>0</v>
      </c>
      <c r="K16" s="54">
        <v>0</v>
      </c>
      <c r="L16" s="52"/>
      <c r="M16" s="54">
        <v>0.5</v>
      </c>
      <c r="N16" s="54">
        <v>0</v>
      </c>
      <c r="O16" s="54"/>
      <c r="P16" s="54"/>
      <c r="Q16" s="52"/>
      <c r="R16" s="52"/>
      <c r="S16" s="55"/>
      <c r="T16" s="56" t="s">
        <v>724</v>
      </c>
    </row>
    <row r="17" customHeight="1" spans="1:20">
      <c r="A17" s="49"/>
      <c r="B17" s="49"/>
      <c r="C17" s="49"/>
      <c r="D17" s="49"/>
      <c r="E17" s="49"/>
      <c r="F17" s="50"/>
      <c r="G17" s="51">
        <v>14</v>
      </c>
      <c r="H17" s="51">
        <v>55</v>
      </c>
      <c r="I17" s="52" t="s">
        <v>320</v>
      </c>
      <c r="J17" s="53">
        <v>0</v>
      </c>
      <c r="K17" s="54">
        <v>0</v>
      </c>
      <c r="L17" s="52"/>
      <c r="M17" s="54">
        <v>0</v>
      </c>
      <c r="N17" s="54">
        <v>0</v>
      </c>
      <c r="O17" s="54"/>
      <c r="P17" s="54"/>
      <c r="Q17" s="52"/>
      <c r="R17" s="52"/>
      <c r="S17" s="55"/>
      <c r="T17" s="56"/>
    </row>
    <row r="18" customHeight="1" spans="1:20">
      <c r="A18" s="26"/>
      <c r="B18" s="26"/>
      <c r="C18" s="26"/>
      <c r="D18" s="26"/>
      <c r="E18" s="26"/>
      <c r="F18" s="51"/>
      <c r="G18" s="51">
        <v>15</v>
      </c>
      <c r="H18" s="51">
        <v>13</v>
      </c>
      <c r="I18" s="52" t="s">
        <v>371</v>
      </c>
      <c r="J18" s="53">
        <v>0</v>
      </c>
      <c r="K18" s="54">
        <v>0</v>
      </c>
      <c r="L18" s="52"/>
      <c r="M18" s="54">
        <v>0</v>
      </c>
      <c r="N18" s="54">
        <v>0</v>
      </c>
      <c r="O18" s="54"/>
      <c r="P18" s="54"/>
      <c r="Q18" s="52">
        <v>10</v>
      </c>
      <c r="R18" s="52"/>
      <c r="S18" s="55"/>
      <c r="T18" s="56" t="s">
        <v>737</v>
      </c>
    </row>
    <row r="19" customHeight="1" spans="1:20">
      <c r="A19" s="26"/>
      <c r="B19" s="26"/>
      <c r="C19" s="26"/>
      <c r="D19" s="26"/>
      <c r="E19" s="26"/>
      <c r="F19" s="51"/>
      <c r="G19" s="51">
        <v>37</v>
      </c>
      <c r="H19" s="51">
        <v>15</v>
      </c>
      <c r="I19" s="52" t="s">
        <v>531</v>
      </c>
      <c r="J19" s="53">
        <v>0</v>
      </c>
      <c r="K19" s="54">
        <v>0</v>
      </c>
      <c r="L19" s="52"/>
      <c r="M19" s="54">
        <v>0.5</v>
      </c>
      <c r="N19" s="54">
        <v>0</v>
      </c>
      <c r="O19" s="54"/>
      <c r="P19" s="54"/>
      <c r="Q19" s="52"/>
      <c r="R19" s="52"/>
      <c r="S19" s="55"/>
      <c r="T19" s="56" t="s">
        <v>724</v>
      </c>
    </row>
    <row r="20" customHeight="1" spans="1:20">
      <c r="A20" s="49"/>
      <c r="B20" s="49"/>
      <c r="C20" s="49"/>
      <c r="D20" s="49"/>
      <c r="E20" s="49"/>
      <c r="F20" s="50"/>
      <c r="G20" s="51">
        <v>4</v>
      </c>
      <c r="H20" s="51">
        <v>69</v>
      </c>
      <c r="I20" s="52" t="s">
        <v>400</v>
      </c>
      <c r="J20" s="53">
        <v>0</v>
      </c>
      <c r="K20" s="54">
        <v>0</v>
      </c>
      <c r="L20" s="52"/>
      <c r="M20" s="54">
        <v>1</v>
      </c>
      <c r="N20" s="54">
        <v>0.5</v>
      </c>
      <c r="O20" s="54"/>
      <c r="P20" s="54"/>
      <c r="Q20" s="52"/>
      <c r="R20" s="52"/>
      <c r="S20" s="55"/>
      <c r="T20" s="56" t="s">
        <v>722</v>
      </c>
    </row>
    <row r="21" customHeight="1" spans="1:20">
      <c r="A21" s="49"/>
      <c r="B21" s="49"/>
      <c r="C21" s="49"/>
      <c r="D21" s="49"/>
      <c r="E21" s="49"/>
      <c r="F21" s="50"/>
      <c r="G21" s="51">
        <v>18</v>
      </c>
      <c r="H21" s="51">
        <v>45</v>
      </c>
      <c r="I21" s="52" t="s">
        <v>427</v>
      </c>
      <c r="J21" s="53">
        <v>0</v>
      </c>
      <c r="K21" s="54">
        <v>0</v>
      </c>
      <c r="L21" s="52"/>
      <c r="M21" s="54">
        <v>0</v>
      </c>
      <c r="N21" s="54">
        <v>0</v>
      </c>
      <c r="O21" s="54"/>
      <c r="P21" s="54"/>
      <c r="Q21" s="52"/>
      <c r="R21" s="52"/>
      <c r="S21" s="55"/>
      <c r="T21" s="56"/>
    </row>
    <row r="22" customHeight="1" spans="1:20">
      <c r="A22" s="49"/>
      <c r="B22" s="49"/>
      <c r="C22" s="49"/>
      <c r="D22" s="49"/>
      <c r="E22" s="49"/>
      <c r="F22" s="50"/>
      <c r="G22" s="51">
        <v>16</v>
      </c>
      <c r="H22" s="51">
        <v>44</v>
      </c>
      <c r="I22" s="52" t="s">
        <v>105</v>
      </c>
      <c r="J22" s="53">
        <v>0</v>
      </c>
      <c r="K22" s="54">
        <v>0</v>
      </c>
      <c r="L22" s="52"/>
      <c r="M22" s="54">
        <v>1</v>
      </c>
      <c r="N22" s="54">
        <v>0</v>
      </c>
      <c r="O22" s="54"/>
      <c r="P22" s="54"/>
      <c r="Q22" s="52"/>
      <c r="R22" s="52"/>
      <c r="S22" s="55"/>
      <c r="T22" s="56" t="s">
        <v>726</v>
      </c>
    </row>
    <row r="23" customHeight="1" spans="1:20">
      <c r="A23" s="61"/>
      <c r="B23" s="61"/>
      <c r="C23" s="61"/>
      <c r="D23" s="61"/>
      <c r="E23" s="61"/>
      <c r="F23" s="61"/>
      <c r="G23" s="51">
        <v>20</v>
      </c>
      <c r="H23" s="51">
        <v>73</v>
      </c>
      <c r="I23" s="52" t="s">
        <v>564</v>
      </c>
      <c r="J23" s="53">
        <v>0</v>
      </c>
      <c r="K23" s="54">
        <v>2</v>
      </c>
      <c r="L23" s="52"/>
      <c r="M23" s="54">
        <v>0</v>
      </c>
      <c r="N23" s="54">
        <v>0</v>
      </c>
      <c r="O23" s="54"/>
      <c r="P23" s="54"/>
      <c r="Q23" s="52"/>
      <c r="R23" s="52"/>
      <c r="S23" s="55" t="s">
        <v>756</v>
      </c>
      <c r="T23" s="56" t="s">
        <v>758</v>
      </c>
    </row>
    <row r="24" customHeight="1" spans="1:20">
      <c r="A24" s="61"/>
      <c r="B24" s="61"/>
      <c r="C24" s="61"/>
      <c r="D24" s="61"/>
      <c r="E24" s="61"/>
      <c r="F24" s="61"/>
      <c r="G24" s="51">
        <v>21</v>
      </c>
      <c r="H24" s="51">
        <v>41</v>
      </c>
      <c r="I24" s="52" t="s">
        <v>121</v>
      </c>
      <c r="J24" s="53">
        <v>0</v>
      </c>
      <c r="K24" s="54">
        <v>0</v>
      </c>
      <c r="L24" s="52"/>
      <c r="M24" s="54">
        <v>0</v>
      </c>
      <c r="N24" s="54">
        <v>0</v>
      </c>
      <c r="O24" s="54"/>
      <c r="P24" s="54"/>
      <c r="Q24" s="52"/>
      <c r="R24" s="52"/>
      <c r="S24" s="55"/>
      <c r="T24" s="56"/>
    </row>
    <row r="25" customHeight="1" spans="1:20">
      <c r="A25" s="64"/>
      <c r="B25" s="64"/>
      <c r="C25" s="64"/>
      <c r="D25" s="64"/>
      <c r="E25" s="64"/>
      <c r="F25" s="64"/>
      <c r="G25" s="51">
        <v>19</v>
      </c>
      <c r="H25" s="51">
        <v>12</v>
      </c>
      <c r="I25" s="52" t="s">
        <v>357</v>
      </c>
      <c r="J25" s="53">
        <v>1</v>
      </c>
      <c r="K25" s="54">
        <v>0</v>
      </c>
      <c r="L25" s="52"/>
      <c r="M25" s="54">
        <v>1</v>
      </c>
      <c r="N25" s="54">
        <v>0</v>
      </c>
      <c r="O25" s="54"/>
      <c r="P25" s="54"/>
      <c r="Q25" s="52"/>
      <c r="R25" s="52"/>
      <c r="S25" s="55"/>
      <c r="T25" s="56" t="s">
        <v>732</v>
      </c>
    </row>
    <row r="26" customHeight="1" spans="1:20">
      <c r="G26" s="51">
        <v>23</v>
      </c>
      <c r="H26" s="51">
        <v>42</v>
      </c>
      <c r="I26" s="52" t="s">
        <v>306</v>
      </c>
      <c r="J26" s="53">
        <v>0</v>
      </c>
      <c r="K26" s="54">
        <v>0</v>
      </c>
      <c r="L26" s="52"/>
      <c r="M26" s="54">
        <v>0</v>
      </c>
      <c r="N26" s="54">
        <v>0</v>
      </c>
      <c r="O26" s="54"/>
      <c r="P26" s="54"/>
      <c r="Q26" s="52"/>
      <c r="R26" s="52"/>
      <c r="S26" s="55"/>
      <c r="T26" s="56"/>
    </row>
    <row r="27" customHeight="1" spans="1:20">
      <c r="A27" s="61"/>
      <c r="B27" s="61"/>
      <c r="C27" s="61"/>
      <c r="D27" s="61"/>
      <c r="E27" s="61"/>
      <c r="F27" s="61"/>
      <c r="G27" s="51">
        <v>27</v>
      </c>
      <c r="H27" s="51">
        <v>48</v>
      </c>
      <c r="I27" s="52" t="s">
        <v>307</v>
      </c>
      <c r="J27" s="53">
        <v>0</v>
      </c>
      <c r="K27" s="54">
        <v>0</v>
      </c>
      <c r="L27" s="52"/>
      <c r="M27" s="54">
        <v>1</v>
      </c>
      <c r="N27" s="54">
        <v>0</v>
      </c>
      <c r="O27" s="54"/>
      <c r="P27" s="54"/>
      <c r="Q27" s="52"/>
      <c r="R27" s="52"/>
      <c r="S27" s="55"/>
      <c r="T27" s="56" t="s">
        <v>726</v>
      </c>
    </row>
    <row r="28" customHeight="1" spans="1:20">
      <c r="G28" s="51">
        <v>25</v>
      </c>
      <c r="H28" s="51">
        <v>51</v>
      </c>
      <c r="I28" s="52" t="s">
        <v>326</v>
      </c>
      <c r="J28" s="53">
        <v>0</v>
      </c>
      <c r="K28" s="54">
        <v>0</v>
      </c>
      <c r="L28" s="52"/>
      <c r="M28" s="54">
        <v>0</v>
      </c>
      <c r="N28" s="54">
        <v>0</v>
      </c>
      <c r="O28" s="54"/>
      <c r="P28" s="54"/>
      <c r="Q28" s="52"/>
      <c r="R28" s="52"/>
      <c r="S28" s="55"/>
      <c r="T28" s="56"/>
    </row>
    <row r="29" customHeight="1" spans="1:20">
      <c r="A29" s="49"/>
      <c r="B29" s="49"/>
      <c r="C29" s="49"/>
      <c r="D29" s="49"/>
      <c r="E29" s="49"/>
      <c r="F29" s="50"/>
      <c r="G29" s="51">
        <v>26</v>
      </c>
      <c r="H29" s="51">
        <v>52</v>
      </c>
      <c r="I29" s="52" t="s">
        <v>316</v>
      </c>
      <c r="J29" s="53">
        <v>0</v>
      </c>
      <c r="K29" s="54">
        <v>0</v>
      </c>
      <c r="L29" s="52"/>
      <c r="M29" s="54">
        <v>0</v>
      </c>
      <c r="N29" s="54">
        <v>0</v>
      </c>
      <c r="O29" s="54"/>
      <c r="P29" s="54"/>
      <c r="Q29" s="52"/>
      <c r="R29" s="52"/>
      <c r="S29" s="55"/>
      <c r="T29" s="56"/>
    </row>
    <row r="30" s="27" customFormat="1" customHeight="1" spans="1:20">
      <c r="A30" s="61"/>
      <c r="B30" s="61"/>
      <c r="C30" s="61"/>
      <c r="D30" s="61"/>
      <c r="E30" s="61"/>
      <c r="F30" s="61"/>
      <c r="G30" s="51">
        <v>32</v>
      </c>
      <c r="H30" s="51">
        <v>62</v>
      </c>
      <c r="I30" s="52" t="s">
        <v>453</v>
      </c>
      <c r="J30" s="53">
        <v>0</v>
      </c>
      <c r="K30" s="54">
        <v>0</v>
      </c>
      <c r="L30" s="52"/>
      <c r="M30" s="54">
        <v>1</v>
      </c>
      <c r="N30" s="54">
        <v>0</v>
      </c>
      <c r="O30" s="54"/>
      <c r="P30" s="54"/>
      <c r="Q30" s="52"/>
      <c r="R30" s="52"/>
      <c r="S30" s="55"/>
      <c r="T30" s="56" t="s">
        <v>726</v>
      </c>
    </row>
    <row r="31" s="27" customFormat="1" customHeight="1" spans="1:20">
      <c r="A31" s="29"/>
      <c r="B31" s="29"/>
      <c r="C31" s="29"/>
      <c r="D31" s="29"/>
      <c r="E31" s="29"/>
      <c r="F31" s="29"/>
      <c r="G31" s="51">
        <v>28</v>
      </c>
      <c r="H31" s="51">
        <v>43</v>
      </c>
      <c r="I31" s="52" t="s">
        <v>262</v>
      </c>
      <c r="J31" s="53">
        <v>0</v>
      </c>
      <c r="K31" s="54">
        <v>0</v>
      </c>
      <c r="L31" s="52"/>
      <c r="M31" s="54">
        <v>0</v>
      </c>
      <c r="N31" s="54">
        <v>0</v>
      </c>
      <c r="O31" s="54"/>
      <c r="P31" s="54"/>
      <c r="Q31" s="52"/>
      <c r="R31" s="52"/>
      <c r="S31" s="55"/>
      <c r="T31" s="56"/>
    </row>
    <row r="32" s="27" customFormat="1" customHeight="1" spans="1:20">
      <c r="A32" s="29"/>
      <c r="B32" s="29"/>
      <c r="C32" s="29"/>
      <c r="D32" s="29"/>
      <c r="E32" s="29"/>
      <c r="F32" s="29"/>
      <c r="G32" s="51">
        <v>29</v>
      </c>
      <c r="H32" s="51">
        <v>47</v>
      </c>
      <c r="I32" s="52" t="s">
        <v>339</v>
      </c>
      <c r="J32" s="53">
        <v>1</v>
      </c>
      <c r="K32" s="54">
        <v>0</v>
      </c>
      <c r="L32" s="52"/>
      <c r="M32" s="54">
        <v>0</v>
      </c>
      <c r="N32" s="54">
        <v>0</v>
      </c>
      <c r="O32" s="54"/>
      <c r="P32" s="54"/>
      <c r="Q32" s="52"/>
      <c r="R32" s="52"/>
      <c r="S32" s="55"/>
      <c r="T32" s="56" t="s">
        <v>728</v>
      </c>
    </row>
    <row r="33" s="27" customFormat="1" customHeight="1" spans="1:20">
      <c r="A33" s="29"/>
      <c r="B33" s="29"/>
      <c r="C33" s="29"/>
      <c r="D33" s="29"/>
      <c r="E33" s="29"/>
      <c r="F33" s="29"/>
      <c r="G33" s="51">
        <v>30</v>
      </c>
      <c r="H33" s="51">
        <v>46</v>
      </c>
      <c r="I33" s="52" t="s">
        <v>324</v>
      </c>
      <c r="J33" s="53">
        <v>2</v>
      </c>
      <c r="K33" s="54">
        <v>0</v>
      </c>
      <c r="L33" s="52"/>
      <c r="M33" s="54">
        <v>0</v>
      </c>
      <c r="N33" s="54">
        <v>0</v>
      </c>
      <c r="O33" s="54"/>
      <c r="P33" s="54"/>
      <c r="Q33" s="52"/>
      <c r="R33" s="52"/>
      <c r="S33" s="55"/>
      <c r="T33" s="56" t="s">
        <v>727</v>
      </c>
    </row>
    <row r="34" s="28" customFormat="1" customHeight="1" spans="1:20">
      <c r="A34" s="49"/>
      <c r="B34" s="49"/>
      <c r="C34" s="49"/>
      <c r="D34" s="49"/>
      <c r="E34" s="49"/>
      <c r="F34" s="50"/>
      <c r="G34" s="51">
        <v>31</v>
      </c>
      <c r="H34" s="51">
        <v>58</v>
      </c>
      <c r="I34" s="52" t="s">
        <v>446</v>
      </c>
      <c r="J34" s="53">
        <v>0</v>
      </c>
      <c r="K34" s="54">
        <v>0</v>
      </c>
      <c r="L34" s="52"/>
      <c r="M34" s="54">
        <v>0</v>
      </c>
      <c r="N34" s="54">
        <v>0</v>
      </c>
      <c r="O34" s="54"/>
      <c r="P34" s="54"/>
      <c r="Q34" s="52"/>
      <c r="R34" s="52"/>
      <c r="S34" s="55"/>
      <c r="T34" s="56"/>
    </row>
    <row r="35" customHeight="1" spans="1:20">
      <c r="A35" s="26"/>
      <c r="B35" s="26"/>
      <c r="C35" s="26"/>
      <c r="D35" s="26"/>
      <c r="E35" s="26"/>
      <c r="F35" s="51"/>
      <c r="G35" s="51">
        <v>42</v>
      </c>
      <c r="H35" s="51">
        <v>32</v>
      </c>
      <c r="I35" s="65" t="s">
        <v>545</v>
      </c>
      <c r="J35" s="53">
        <v>0</v>
      </c>
      <c r="K35" s="54">
        <v>1</v>
      </c>
      <c r="L35" s="52"/>
      <c r="M35" s="54">
        <v>1</v>
      </c>
      <c r="N35" s="54">
        <v>0</v>
      </c>
      <c r="O35" s="54"/>
      <c r="P35" s="54"/>
      <c r="Q35" s="52"/>
      <c r="R35" s="52"/>
      <c r="S35" s="55"/>
      <c r="T35" s="56" t="s">
        <v>742</v>
      </c>
    </row>
    <row r="36" customHeight="1" spans="1:20">
      <c r="A36" s="61"/>
      <c r="B36" s="61"/>
      <c r="C36" s="61"/>
      <c r="D36" s="61"/>
      <c r="E36" s="61"/>
      <c r="F36" s="61"/>
      <c r="G36" s="51">
        <v>33</v>
      </c>
      <c r="H36" s="51">
        <v>59</v>
      </c>
      <c r="I36" s="52" t="s">
        <v>451</v>
      </c>
      <c r="J36" s="53">
        <v>0</v>
      </c>
      <c r="K36" s="54">
        <v>0</v>
      </c>
      <c r="L36" s="52"/>
      <c r="M36" s="54">
        <v>0</v>
      </c>
      <c r="N36" s="54">
        <v>0</v>
      </c>
      <c r="O36" s="54"/>
      <c r="P36" s="54"/>
      <c r="Q36" s="52"/>
      <c r="R36" s="52"/>
      <c r="S36" s="55"/>
      <c r="T36" s="56"/>
    </row>
    <row r="37" customHeight="1" spans="1:20">
      <c r="G37" s="51">
        <v>34</v>
      </c>
      <c r="H37" s="51">
        <v>57</v>
      </c>
      <c r="I37" s="52" t="s">
        <v>447</v>
      </c>
      <c r="J37" s="53">
        <v>0</v>
      </c>
      <c r="K37" s="54">
        <v>0</v>
      </c>
      <c r="L37" s="52"/>
      <c r="M37" s="54">
        <v>0</v>
      </c>
      <c r="N37" s="54">
        <v>0</v>
      </c>
      <c r="O37" s="54"/>
      <c r="P37" s="54"/>
      <c r="Q37" s="52"/>
      <c r="R37" s="52"/>
      <c r="S37" s="55"/>
      <c r="T37" s="56"/>
    </row>
    <row r="38" customHeight="1" spans="1:20">
      <c r="A38" s="61"/>
      <c r="B38" s="61"/>
      <c r="C38" s="61"/>
      <c r="D38" s="61"/>
      <c r="E38" s="61"/>
      <c r="F38" s="61"/>
      <c r="G38" s="51">
        <v>50</v>
      </c>
      <c r="H38" s="51">
        <v>70</v>
      </c>
      <c r="I38" s="52" t="s">
        <v>361</v>
      </c>
      <c r="J38" s="53">
        <v>0</v>
      </c>
      <c r="K38" s="54">
        <v>0</v>
      </c>
      <c r="L38" s="52"/>
      <c r="M38" s="54">
        <v>1</v>
      </c>
      <c r="N38" s="54">
        <v>0</v>
      </c>
      <c r="O38" s="54"/>
      <c r="P38" s="54"/>
      <c r="Q38" s="52"/>
      <c r="R38" s="52"/>
      <c r="S38" s="55"/>
      <c r="T38" s="56" t="s">
        <v>726</v>
      </c>
    </row>
    <row r="39" customHeight="1" spans="1:20">
      <c r="A39" s="63"/>
      <c r="B39" s="63"/>
      <c r="C39" s="63"/>
      <c r="D39" s="63"/>
      <c r="E39" s="63"/>
      <c r="F39" s="63"/>
      <c r="G39" s="51">
        <v>36</v>
      </c>
      <c r="H39" s="51">
        <v>22</v>
      </c>
      <c r="I39" s="52" t="s">
        <v>270</v>
      </c>
      <c r="J39" s="53">
        <v>0</v>
      </c>
      <c r="K39" s="54">
        <v>0</v>
      </c>
      <c r="L39" s="52"/>
      <c r="M39" s="54">
        <v>0</v>
      </c>
      <c r="N39" s="54">
        <v>0</v>
      </c>
      <c r="O39" s="54"/>
      <c r="P39" s="54"/>
      <c r="Q39" s="52"/>
      <c r="R39" s="52"/>
      <c r="S39" s="55"/>
      <c r="T39" s="56"/>
    </row>
    <row r="40" customHeight="1" spans="1:20">
      <c r="A40" s="64"/>
      <c r="B40" s="64" t="s">
        <v>779</v>
      </c>
      <c r="C40" s="64" t="s">
        <v>73</v>
      </c>
      <c r="D40" s="64" t="s">
        <v>780</v>
      </c>
      <c r="E40" s="64" t="s">
        <v>582</v>
      </c>
      <c r="F40" s="64" t="s">
        <v>781</v>
      </c>
      <c r="G40" s="51">
        <v>51</v>
      </c>
      <c r="H40" s="51">
        <v>19</v>
      </c>
      <c r="I40" s="52" t="s">
        <v>383</v>
      </c>
      <c r="J40" s="53">
        <v>0</v>
      </c>
      <c r="K40" s="54">
        <v>0</v>
      </c>
      <c r="L40" s="52"/>
      <c r="M40" s="54">
        <v>1</v>
      </c>
      <c r="N40" s="54">
        <v>0</v>
      </c>
      <c r="O40" s="54"/>
      <c r="P40" s="54"/>
      <c r="Q40" s="52"/>
      <c r="R40" s="52"/>
      <c r="S40" s="55"/>
      <c r="T40" s="56" t="s">
        <v>726</v>
      </c>
    </row>
    <row r="41" customHeight="1" spans="1:20">
      <c r="G41" s="51">
        <v>38</v>
      </c>
      <c r="H41" s="51">
        <v>67</v>
      </c>
      <c r="I41" s="52" t="s">
        <v>542</v>
      </c>
      <c r="J41" s="53">
        <v>0</v>
      </c>
      <c r="K41" s="54">
        <v>0</v>
      </c>
      <c r="L41" s="52"/>
      <c r="M41" s="54">
        <v>0</v>
      </c>
      <c r="N41" s="54">
        <v>0</v>
      </c>
      <c r="O41" s="54"/>
      <c r="P41" s="54"/>
      <c r="Q41" s="52"/>
      <c r="R41" s="52"/>
      <c r="S41" s="55"/>
      <c r="T41" s="56"/>
    </row>
    <row r="42" customHeight="1" spans="1:20">
      <c r="A42" s="64"/>
      <c r="B42" s="64" t="s">
        <v>71</v>
      </c>
      <c r="C42" s="64" t="s">
        <v>71</v>
      </c>
      <c r="D42" s="64" t="s">
        <v>782</v>
      </c>
      <c r="E42" s="64" t="s">
        <v>422</v>
      </c>
      <c r="F42" s="64" t="s">
        <v>783</v>
      </c>
      <c r="G42" s="51">
        <v>39</v>
      </c>
      <c r="H42" s="51">
        <v>17</v>
      </c>
      <c r="I42" s="57" t="s">
        <v>547</v>
      </c>
      <c r="J42" s="53">
        <v>0</v>
      </c>
      <c r="K42" s="54">
        <v>0</v>
      </c>
      <c r="L42" s="52"/>
      <c r="M42" s="54">
        <v>0</v>
      </c>
      <c r="N42" s="54">
        <v>0</v>
      </c>
      <c r="O42" s="54"/>
      <c r="P42" s="54"/>
      <c r="Q42" s="52"/>
      <c r="R42" s="52"/>
      <c r="S42" s="55"/>
      <c r="T42" s="56" t="s">
        <v>739</v>
      </c>
    </row>
    <row r="43" customHeight="1" spans="1:20">
      <c r="A43" s="64"/>
      <c r="B43" s="64" t="s">
        <v>71</v>
      </c>
      <c r="C43" s="64" t="s">
        <v>71</v>
      </c>
      <c r="D43" s="64" t="s">
        <v>784</v>
      </c>
      <c r="E43" s="64" t="s">
        <v>422</v>
      </c>
      <c r="F43" s="64" t="s">
        <v>785</v>
      </c>
      <c r="G43" s="51">
        <v>40</v>
      </c>
      <c r="H43" s="51">
        <v>16</v>
      </c>
      <c r="I43" s="65" t="s">
        <v>533</v>
      </c>
      <c r="J43" s="53">
        <v>0</v>
      </c>
      <c r="K43" s="54">
        <v>0</v>
      </c>
      <c r="L43" s="52"/>
      <c r="M43" s="54">
        <v>0</v>
      </c>
      <c r="N43" s="54">
        <v>0</v>
      </c>
      <c r="O43" s="54"/>
      <c r="P43" s="54"/>
      <c r="Q43" s="52"/>
      <c r="R43" s="52"/>
      <c r="S43" s="55"/>
      <c r="T43" s="56" t="s">
        <v>738</v>
      </c>
    </row>
    <row r="44" customHeight="1" spans="1:20">
      <c r="A44" s="64"/>
      <c r="B44" s="64" t="s">
        <v>786</v>
      </c>
      <c r="C44" s="64" t="s">
        <v>60</v>
      </c>
      <c r="D44" s="64" t="s">
        <v>359</v>
      </c>
      <c r="E44" s="64" t="s">
        <v>422</v>
      </c>
      <c r="F44" s="64" t="s">
        <v>787</v>
      </c>
      <c r="G44" s="51">
        <v>41</v>
      </c>
      <c r="H44" s="51">
        <v>9</v>
      </c>
      <c r="I44" s="65" t="s">
        <v>553</v>
      </c>
      <c r="J44" s="53">
        <v>0</v>
      </c>
      <c r="K44" s="54">
        <v>0</v>
      </c>
      <c r="L44" s="52"/>
      <c r="M44" s="54">
        <v>0</v>
      </c>
      <c r="N44" s="54">
        <v>0</v>
      </c>
      <c r="O44" s="54"/>
      <c r="P44" s="54"/>
      <c r="Q44" s="52"/>
      <c r="R44" s="52"/>
      <c r="S44" s="55"/>
      <c r="T44" s="56" t="s">
        <v>738</v>
      </c>
    </row>
    <row r="45" customHeight="1" spans="1:20">
      <c r="A45" s="64"/>
      <c r="B45" s="64"/>
      <c r="C45" s="64"/>
      <c r="D45" s="64"/>
      <c r="E45" s="64"/>
      <c r="F45" s="64"/>
      <c r="G45" s="51">
        <v>55</v>
      </c>
      <c r="H45" s="51">
        <v>4</v>
      </c>
      <c r="I45" s="52" t="s">
        <v>345</v>
      </c>
      <c r="J45" s="53">
        <v>0</v>
      </c>
      <c r="K45" s="54">
        <v>0</v>
      </c>
      <c r="L45" s="52"/>
      <c r="M45" s="54">
        <v>1</v>
      </c>
      <c r="N45" s="54">
        <v>0</v>
      </c>
      <c r="O45" s="54"/>
      <c r="P45" s="54"/>
      <c r="Q45" s="52"/>
      <c r="R45" s="52"/>
      <c r="S45" s="55"/>
      <c r="T45" s="56" t="s">
        <v>726</v>
      </c>
    </row>
    <row r="46" customHeight="1" spans="1:20">
      <c r="A46" s="64"/>
      <c r="B46" s="64"/>
      <c r="C46" s="64"/>
      <c r="D46" s="64"/>
      <c r="E46" s="64"/>
      <c r="F46" s="64"/>
      <c r="G46" s="51">
        <v>43</v>
      </c>
      <c r="H46" s="51">
        <v>2</v>
      </c>
      <c r="I46" s="52" t="s">
        <v>528</v>
      </c>
      <c r="J46" s="53">
        <v>0</v>
      </c>
      <c r="K46" s="54">
        <v>0</v>
      </c>
      <c r="L46" s="52"/>
      <c r="M46" s="54">
        <v>0</v>
      </c>
      <c r="N46" s="54">
        <v>0</v>
      </c>
      <c r="O46" s="54"/>
      <c r="P46" s="54"/>
      <c r="Q46" s="52"/>
      <c r="R46" s="52"/>
      <c r="S46" s="55"/>
      <c r="T46" s="56"/>
    </row>
    <row r="47" customHeight="1" spans="1:20">
      <c r="A47" s="64"/>
      <c r="B47" s="64" t="s">
        <v>788</v>
      </c>
      <c r="C47" s="64" t="s">
        <v>57</v>
      </c>
      <c r="D47" s="64" t="s">
        <v>789</v>
      </c>
      <c r="E47" s="64" t="s">
        <v>790</v>
      </c>
      <c r="F47" s="64" t="s">
        <v>791</v>
      </c>
      <c r="G47" s="51">
        <v>57</v>
      </c>
      <c r="H47" s="51">
        <v>7</v>
      </c>
      <c r="I47" s="66" t="s">
        <v>458</v>
      </c>
      <c r="J47" s="53">
        <v>0</v>
      </c>
      <c r="K47" s="54">
        <v>0</v>
      </c>
      <c r="L47" s="52"/>
      <c r="M47" s="54">
        <v>1</v>
      </c>
      <c r="N47" s="54">
        <v>0</v>
      </c>
      <c r="O47" s="54"/>
      <c r="P47" s="54"/>
      <c r="Q47" s="52"/>
      <c r="R47" s="52"/>
      <c r="S47" s="55"/>
      <c r="T47" s="56" t="s">
        <v>726</v>
      </c>
    </row>
    <row r="48" customHeight="1" spans="1:20">
      <c r="A48" s="64" t="s">
        <v>792</v>
      </c>
      <c r="B48" s="64" t="s">
        <v>786</v>
      </c>
      <c r="C48" s="64" t="s">
        <v>61</v>
      </c>
      <c r="D48" s="64" t="s">
        <v>793</v>
      </c>
      <c r="E48" s="64" t="s">
        <v>422</v>
      </c>
      <c r="F48" s="64" t="s">
        <v>309</v>
      </c>
      <c r="G48" s="51">
        <v>13</v>
      </c>
      <c r="H48" s="51">
        <v>5</v>
      </c>
      <c r="I48" s="52" t="s">
        <v>343</v>
      </c>
      <c r="J48" s="53">
        <v>0</v>
      </c>
      <c r="K48" s="54">
        <v>0</v>
      </c>
      <c r="L48" s="52"/>
      <c r="M48" s="54">
        <v>2</v>
      </c>
      <c r="N48" s="54">
        <v>0</v>
      </c>
      <c r="O48" s="54"/>
      <c r="P48" s="54"/>
      <c r="Q48" s="52"/>
      <c r="R48" s="52"/>
      <c r="S48" s="55"/>
      <c r="T48" s="56" t="s">
        <v>730</v>
      </c>
    </row>
    <row r="49" customHeight="1" spans="1:20">
      <c r="A49" s="64"/>
      <c r="B49" s="64" t="s">
        <v>779</v>
      </c>
      <c r="C49" s="64" t="s">
        <v>71</v>
      </c>
      <c r="D49" s="64" t="s">
        <v>780</v>
      </c>
      <c r="E49" s="64" t="s">
        <v>582</v>
      </c>
      <c r="F49" s="64" t="s">
        <v>794</v>
      </c>
      <c r="G49" s="51">
        <v>46</v>
      </c>
      <c r="H49" s="51">
        <v>18</v>
      </c>
      <c r="I49" s="52" t="s">
        <v>557</v>
      </c>
      <c r="J49" s="53">
        <v>0</v>
      </c>
      <c r="K49" s="54">
        <v>0</v>
      </c>
      <c r="L49" s="52"/>
      <c r="M49" s="54">
        <v>0</v>
      </c>
      <c r="N49" s="54">
        <v>0</v>
      </c>
      <c r="O49" s="54"/>
      <c r="P49" s="54"/>
      <c r="Q49" s="52"/>
      <c r="R49" s="52"/>
      <c r="S49" s="55"/>
      <c r="T49" s="56"/>
    </row>
    <row r="50" customHeight="1" spans="1:20">
      <c r="A50" s="63"/>
      <c r="B50" s="63"/>
      <c r="C50" s="63"/>
      <c r="D50" s="63"/>
      <c r="E50" s="63"/>
      <c r="F50" s="63"/>
      <c r="G50" s="51">
        <v>47</v>
      </c>
      <c r="H50" s="51">
        <v>28</v>
      </c>
      <c r="I50" s="52" t="s">
        <v>378</v>
      </c>
      <c r="J50" s="53">
        <v>3.5</v>
      </c>
      <c r="K50" s="54">
        <v>0</v>
      </c>
      <c r="L50" s="52"/>
      <c r="M50" s="54">
        <v>0</v>
      </c>
      <c r="N50" s="54">
        <v>0</v>
      </c>
      <c r="O50" s="54"/>
      <c r="P50" s="54"/>
      <c r="Q50" s="52"/>
      <c r="R50" s="52"/>
      <c r="S50" s="55"/>
      <c r="T50" s="56" t="s">
        <v>743</v>
      </c>
    </row>
    <row r="51" customHeight="1" spans="1:20">
      <c r="A51" s="64"/>
      <c r="B51" s="64"/>
      <c r="C51" s="64"/>
      <c r="D51" s="64"/>
      <c r="E51" s="64"/>
      <c r="F51" s="64"/>
      <c r="G51" s="51">
        <v>48</v>
      </c>
      <c r="H51" s="51">
        <v>14</v>
      </c>
      <c r="I51" s="52" t="s">
        <v>520</v>
      </c>
      <c r="J51" s="53">
        <v>0</v>
      </c>
      <c r="K51" s="54">
        <v>0</v>
      </c>
      <c r="L51" s="52"/>
      <c r="M51" s="54">
        <v>0</v>
      </c>
      <c r="N51" s="54">
        <v>0</v>
      </c>
      <c r="O51" s="54"/>
      <c r="P51" s="54"/>
      <c r="Q51" s="52"/>
      <c r="R51" s="52"/>
      <c r="S51" s="55"/>
      <c r="T51" s="56"/>
    </row>
    <row r="52" customHeight="1" spans="1:20">
      <c r="A52" s="64"/>
      <c r="B52" s="64" t="s">
        <v>71</v>
      </c>
      <c r="C52" s="64" t="s">
        <v>71</v>
      </c>
      <c r="D52" s="64" t="s">
        <v>784</v>
      </c>
      <c r="E52" s="64" t="s">
        <v>270</v>
      </c>
      <c r="F52" s="64" t="s">
        <v>795</v>
      </c>
      <c r="G52" s="51">
        <v>49</v>
      </c>
      <c r="H52" s="51">
        <v>3</v>
      </c>
      <c r="I52" s="52" t="s">
        <v>392</v>
      </c>
      <c r="J52" s="53">
        <v>0</v>
      </c>
      <c r="K52" s="54">
        <v>0</v>
      </c>
      <c r="L52" s="52"/>
      <c r="M52" s="54">
        <v>0</v>
      </c>
      <c r="N52" s="54">
        <v>0</v>
      </c>
      <c r="O52" s="54"/>
      <c r="P52" s="54"/>
      <c r="Q52" s="52"/>
      <c r="R52" s="52"/>
      <c r="S52" s="55"/>
      <c r="T52" s="56"/>
    </row>
    <row r="53" customHeight="1" spans="1:20">
      <c r="A53" s="63"/>
      <c r="B53" s="63"/>
      <c r="C53" s="63"/>
      <c r="D53" s="63"/>
      <c r="E53" s="63"/>
      <c r="F53" s="63"/>
      <c r="G53" s="51">
        <v>52</v>
      </c>
      <c r="H53" s="51">
        <v>23</v>
      </c>
      <c r="I53" s="52" t="s">
        <v>385</v>
      </c>
      <c r="J53" s="53">
        <v>0</v>
      </c>
      <c r="K53" s="54">
        <v>0</v>
      </c>
      <c r="L53" s="52"/>
      <c r="M53" s="54">
        <v>2</v>
      </c>
      <c r="N53" s="54">
        <v>0</v>
      </c>
      <c r="O53" s="54"/>
      <c r="P53" s="54"/>
      <c r="Q53" s="52"/>
      <c r="R53" s="52"/>
      <c r="S53" s="55"/>
      <c r="T53" s="56" t="s">
        <v>730</v>
      </c>
    </row>
    <row r="54" customHeight="1" spans="1:20">
      <c r="G54" s="51">
        <v>22</v>
      </c>
      <c r="H54" s="51">
        <v>53</v>
      </c>
      <c r="I54" s="52" t="s">
        <v>410</v>
      </c>
      <c r="J54" s="53">
        <v>0</v>
      </c>
      <c r="K54" s="54">
        <v>0</v>
      </c>
      <c r="L54" s="52"/>
      <c r="M54" s="54">
        <v>3</v>
      </c>
      <c r="N54" s="54">
        <v>0</v>
      </c>
      <c r="O54" s="54"/>
      <c r="P54" s="54"/>
      <c r="Q54" s="52"/>
      <c r="R54" s="52"/>
      <c r="S54" s="55"/>
      <c r="T54" s="56" t="s">
        <v>725</v>
      </c>
    </row>
    <row r="55" customHeight="1" spans="1:20">
      <c r="A55" s="61"/>
      <c r="B55" s="61"/>
      <c r="C55" s="61"/>
      <c r="D55" s="61"/>
      <c r="E55" s="61"/>
      <c r="F55" s="61"/>
      <c r="G55" s="51">
        <v>35</v>
      </c>
      <c r="H55" s="51">
        <v>60</v>
      </c>
      <c r="I55" s="52" t="s">
        <v>254</v>
      </c>
      <c r="J55" s="53">
        <v>0</v>
      </c>
      <c r="K55" s="54">
        <v>0</v>
      </c>
      <c r="L55" s="52"/>
      <c r="M55" s="54">
        <v>3</v>
      </c>
      <c r="N55" s="54">
        <v>0</v>
      </c>
      <c r="O55" s="54"/>
      <c r="P55" s="54"/>
      <c r="Q55" s="52"/>
      <c r="R55" s="52"/>
      <c r="S55" s="55"/>
      <c r="T55" s="56" t="s">
        <v>725</v>
      </c>
    </row>
    <row r="56" customHeight="1" spans="1:20">
      <c r="A56" s="63"/>
      <c r="B56" s="63"/>
      <c r="C56" s="63"/>
      <c r="D56" s="63"/>
      <c r="E56" s="63"/>
      <c r="F56" s="63"/>
      <c r="G56" s="51">
        <v>53</v>
      </c>
      <c r="H56" s="51">
        <v>21</v>
      </c>
      <c r="I56" s="52" t="s">
        <v>569</v>
      </c>
      <c r="J56" s="53">
        <v>19.5</v>
      </c>
      <c r="K56" s="54">
        <v>0</v>
      </c>
      <c r="L56" s="52"/>
      <c r="M56" s="54">
        <v>0</v>
      </c>
      <c r="N56" s="54">
        <v>0</v>
      </c>
      <c r="O56" s="54"/>
      <c r="P56" s="54"/>
      <c r="Q56" s="52"/>
      <c r="R56" s="52"/>
      <c r="S56" s="55"/>
      <c r="T56" s="56" t="s">
        <v>729</v>
      </c>
    </row>
    <row r="57" customHeight="1" spans="1:20">
      <c r="A57" s="64"/>
      <c r="B57" s="64" t="s">
        <v>57</v>
      </c>
      <c r="C57" s="64" t="s">
        <v>57</v>
      </c>
      <c r="D57" s="64" t="s">
        <v>318</v>
      </c>
      <c r="E57" s="64" t="s">
        <v>796</v>
      </c>
      <c r="F57" s="64" t="s">
        <v>342</v>
      </c>
      <c r="G57" s="51">
        <v>54</v>
      </c>
      <c r="H57" s="51">
        <v>1</v>
      </c>
      <c r="I57" s="52" t="s">
        <v>455</v>
      </c>
      <c r="J57" s="53">
        <v>0</v>
      </c>
      <c r="K57" s="54">
        <v>0</v>
      </c>
      <c r="L57" s="52"/>
      <c r="M57" s="54">
        <v>0</v>
      </c>
      <c r="N57" s="54">
        <v>0</v>
      </c>
      <c r="O57" s="54"/>
      <c r="P57" s="54"/>
      <c r="Q57" s="52"/>
      <c r="R57" s="52"/>
      <c r="S57" s="55"/>
      <c r="T57" s="56"/>
    </row>
    <row r="58" customHeight="1" spans="1:20">
      <c r="A58" s="64"/>
      <c r="B58" s="64"/>
      <c r="C58" s="64"/>
      <c r="D58" s="64"/>
      <c r="E58" s="64"/>
      <c r="F58" s="64"/>
      <c r="G58" s="51">
        <v>45</v>
      </c>
      <c r="H58" s="51">
        <v>25</v>
      </c>
      <c r="I58" s="52" t="s">
        <v>525</v>
      </c>
      <c r="J58" s="53">
        <v>0</v>
      </c>
      <c r="K58" s="54">
        <v>0</v>
      </c>
      <c r="L58" s="52"/>
      <c r="M58" s="54">
        <v>3</v>
      </c>
      <c r="N58" s="54">
        <v>0</v>
      </c>
      <c r="O58" s="54"/>
      <c r="P58" s="54"/>
      <c r="Q58" s="52"/>
      <c r="R58" s="52"/>
      <c r="S58" s="55"/>
      <c r="T58" s="56" t="s">
        <v>725</v>
      </c>
    </row>
    <row r="59" customHeight="1" spans="1:20">
      <c r="A59" s="64"/>
      <c r="B59" s="64"/>
      <c r="C59" s="64"/>
      <c r="D59" s="64"/>
      <c r="E59" s="64"/>
      <c r="F59" s="64"/>
      <c r="G59" s="51">
        <v>56</v>
      </c>
      <c r="H59" s="51">
        <v>11</v>
      </c>
      <c r="I59" s="66" t="s">
        <v>347</v>
      </c>
      <c r="J59" s="53">
        <v>0</v>
      </c>
      <c r="K59" s="54">
        <v>0</v>
      </c>
      <c r="L59" s="52"/>
      <c r="M59" s="54">
        <v>0</v>
      </c>
      <c r="N59" s="54">
        <v>0</v>
      </c>
      <c r="O59" s="54"/>
      <c r="P59" s="54"/>
      <c r="Q59" s="52"/>
      <c r="R59" s="52"/>
      <c r="S59" s="55"/>
      <c r="T59" s="56"/>
    </row>
    <row r="60" customHeight="1" spans="1:20">
      <c r="A60" s="64"/>
      <c r="B60" s="64" t="s">
        <v>786</v>
      </c>
      <c r="C60" s="64" t="s">
        <v>64</v>
      </c>
      <c r="D60" s="64" t="s">
        <v>797</v>
      </c>
      <c r="E60" s="64" t="s">
        <v>596</v>
      </c>
      <c r="F60" s="64" t="s">
        <v>323</v>
      </c>
      <c r="G60" s="51">
        <v>44</v>
      </c>
      <c r="H60" s="51">
        <v>6</v>
      </c>
      <c r="I60" s="52" t="s">
        <v>352</v>
      </c>
      <c r="J60" s="53">
        <v>0</v>
      </c>
      <c r="K60" s="54">
        <v>10</v>
      </c>
      <c r="L60" s="52"/>
      <c r="M60" s="54">
        <v>6</v>
      </c>
      <c r="N60" s="54">
        <v>0</v>
      </c>
      <c r="O60" s="54"/>
      <c r="P60" s="54"/>
      <c r="Q60" s="52"/>
      <c r="R60" s="52"/>
      <c r="S60" s="55"/>
      <c r="T60" s="56" t="s">
        <v>754</v>
      </c>
    </row>
    <row r="61" customHeight="1" spans="1:20">
      <c r="A61" s="64"/>
      <c r="B61" s="64"/>
      <c r="C61" s="64"/>
      <c r="D61" s="64"/>
      <c r="E61" s="64"/>
      <c r="F61" s="64"/>
      <c r="G61" s="51">
        <v>58</v>
      </c>
      <c r="H61" s="51">
        <v>26</v>
      </c>
      <c r="I61" s="52" t="s">
        <v>380</v>
      </c>
      <c r="J61" s="53">
        <v>0</v>
      </c>
      <c r="K61" s="54">
        <v>0</v>
      </c>
      <c r="L61" s="52"/>
      <c r="M61" s="54">
        <v>0</v>
      </c>
      <c r="N61" s="54">
        <v>0</v>
      </c>
      <c r="O61" s="54"/>
      <c r="P61" s="54"/>
      <c r="Q61" s="52"/>
      <c r="R61" s="52"/>
      <c r="S61" s="55"/>
      <c r="T61" s="56"/>
    </row>
    <row r="62" customHeight="1" spans="1:20">
      <c r="A62" s="64"/>
      <c r="B62" s="64"/>
      <c r="C62" s="64"/>
      <c r="D62" s="64"/>
      <c r="E62" s="64"/>
      <c r="F62" s="64"/>
      <c r="G62" s="51">
        <v>59</v>
      </c>
      <c r="H62" s="51">
        <v>27</v>
      </c>
      <c r="I62" s="57" t="s">
        <v>389</v>
      </c>
      <c r="J62" s="53">
        <v>0</v>
      </c>
      <c r="K62" s="54">
        <v>0</v>
      </c>
      <c r="L62" s="52"/>
      <c r="M62" s="54">
        <v>0</v>
      </c>
      <c r="N62" s="54">
        <v>0</v>
      </c>
      <c r="O62" s="54"/>
      <c r="P62" s="54"/>
      <c r="Q62" s="52"/>
      <c r="R62" s="52"/>
      <c r="S62" s="55"/>
      <c r="T62" s="56" t="s">
        <v>734</v>
      </c>
    </row>
    <row r="63" customHeight="1" spans="1:20">
      <c r="G63" s="51">
        <v>60</v>
      </c>
      <c r="H63" s="51">
        <v>35</v>
      </c>
      <c r="I63" s="67" t="s">
        <v>567</v>
      </c>
      <c r="J63" s="53">
        <v>0</v>
      </c>
      <c r="K63" s="54">
        <v>0</v>
      </c>
      <c r="L63" s="52"/>
      <c r="M63" s="54">
        <v>0</v>
      </c>
      <c r="N63" s="54">
        <v>0</v>
      </c>
      <c r="O63" s="54"/>
      <c r="P63" s="54"/>
      <c r="Q63" s="52"/>
      <c r="R63" s="52"/>
      <c r="S63" s="55" t="s">
        <v>762</v>
      </c>
      <c r="T63" s="56" t="s">
        <v>763</v>
      </c>
    </row>
    <row r="64" customHeight="1" spans="1:20">
      <c r="G64" s="51">
        <v>61</v>
      </c>
      <c r="H64" s="51">
        <v>37</v>
      </c>
      <c r="I64" s="67" t="s">
        <v>464</v>
      </c>
      <c r="J64" s="53">
        <v>0</v>
      </c>
      <c r="K64" s="54">
        <v>0</v>
      </c>
      <c r="L64" s="52"/>
      <c r="M64" s="54">
        <v>0</v>
      </c>
      <c r="N64" s="54">
        <v>0</v>
      </c>
      <c r="O64" s="54"/>
      <c r="P64" s="54"/>
      <c r="Q64" s="52"/>
      <c r="R64" s="52"/>
      <c r="S64" s="55"/>
      <c r="T64" s="56" t="s">
        <v>744</v>
      </c>
    </row>
    <row r="65" customHeight="1" spans="1:20">
      <c r="G65" s="51">
        <v>62</v>
      </c>
      <c r="H65" s="51">
        <v>33</v>
      </c>
      <c r="I65" s="67" t="s">
        <v>573</v>
      </c>
      <c r="J65" s="53">
        <v>0</v>
      </c>
      <c r="K65" s="54">
        <v>0</v>
      </c>
      <c r="L65" s="52"/>
      <c r="M65" s="54">
        <v>0</v>
      </c>
      <c r="N65" s="54">
        <v>0</v>
      </c>
      <c r="O65" s="54"/>
      <c r="P65" s="54"/>
      <c r="Q65" s="52"/>
      <c r="R65" s="52"/>
      <c r="S65" s="55"/>
      <c r="T65" s="56" t="s">
        <v>744</v>
      </c>
    </row>
    <row r="66" customHeight="1" spans="1:20">
      <c r="A66" s="63"/>
      <c r="B66" s="63"/>
      <c r="C66" s="63"/>
      <c r="D66" s="63"/>
      <c r="E66" s="63"/>
      <c r="F66" s="63"/>
      <c r="G66" s="51">
        <v>63</v>
      </c>
      <c r="H66" s="51">
        <v>20</v>
      </c>
      <c r="I66" s="52" t="s">
        <v>381</v>
      </c>
      <c r="J66" s="53">
        <v>0</v>
      </c>
      <c r="K66" s="54">
        <v>0</v>
      </c>
      <c r="L66" s="52"/>
      <c r="M66" s="54">
        <v>0</v>
      </c>
      <c r="N66" s="54">
        <v>0</v>
      </c>
      <c r="O66" s="54"/>
      <c r="P66" s="54"/>
      <c r="Q66" s="52"/>
      <c r="R66" s="52"/>
      <c r="S66" s="55"/>
      <c r="T66" s="56"/>
    </row>
    <row r="67" customHeight="1" spans="1:20">
      <c r="G67" s="51">
        <v>64</v>
      </c>
      <c r="H67" s="51">
        <v>38</v>
      </c>
      <c r="I67" s="67" t="s">
        <v>471</v>
      </c>
      <c r="J67" s="53">
        <v>0</v>
      </c>
      <c r="K67" s="54">
        <v>0</v>
      </c>
      <c r="L67" s="52"/>
      <c r="M67" s="54">
        <v>0</v>
      </c>
      <c r="N67" s="54">
        <v>0</v>
      </c>
      <c r="O67" s="54"/>
      <c r="P67" s="54"/>
      <c r="Q67" s="52"/>
      <c r="R67" s="52"/>
      <c r="S67" s="55"/>
      <c r="T67" s="56" t="s">
        <v>748</v>
      </c>
    </row>
    <row r="68" customHeight="1" spans="1:20">
      <c r="G68" s="51">
        <v>65</v>
      </c>
      <c r="H68" s="51">
        <v>36</v>
      </c>
      <c r="I68" s="67" t="s">
        <v>566</v>
      </c>
      <c r="J68" s="53">
        <v>0</v>
      </c>
      <c r="K68" s="54">
        <v>0</v>
      </c>
      <c r="L68" s="52"/>
      <c r="M68" s="54">
        <v>0</v>
      </c>
      <c r="N68" s="54">
        <v>0</v>
      </c>
      <c r="O68" s="54"/>
      <c r="P68" s="54"/>
      <c r="Q68" s="52"/>
      <c r="R68" s="52"/>
      <c r="S68" s="55" t="s">
        <v>760</v>
      </c>
      <c r="T68" s="56" t="s">
        <v>761</v>
      </c>
    </row>
    <row r="69" customHeight="1" spans="1:20">
      <c r="G69" s="51">
        <v>66</v>
      </c>
      <c r="H69" s="51">
        <v>71</v>
      </c>
      <c r="I69" s="68" t="s">
        <v>575</v>
      </c>
      <c r="J69" s="53">
        <v>0</v>
      </c>
      <c r="K69" s="54">
        <v>0</v>
      </c>
      <c r="L69" s="52"/>
      <c r="M69" s="54">
        <v>0</v>
      </c>
      <c r="N69" s="54">
        <v>0</v>
      </c>
      <c r="O69" s="54"/>
      <c r="P69" s="54"/>
      <c r="Q69" s="52"/>
      <c r="R69" s="52"/>
      <c r="S69" s="55"/>
      <c r="T69" s="56" t="s">
        <v>755</v>
      </c>
    </row>
    <row r="70" customHeight="1" spans="1:20">
      <c r="G70" s="51">
        <v>67</v>
      </c>
      <c r="H70" s="51">
        <v>39</v>
      </c>
      <c r="I70" s="67" t="s">
        <v>467</v>
      </c>
      <c r="J70" s="53">
        <v>0</v>
      </c>
      <c r="K70" s="54">
        <v>0</v>
      </c>
      <c r="L70" s="52"/>
      <c r="M70" s="54">
        <v>0</v>
      </c>
      <c r="N70" s="54">
        <v>0</v>
      </c>
      <c r="O70" s="54"/>
      <c r="P70" s="54"/>
      <c r="Q70" s="52"/>
      <c r="R70" s="52"/>
      <c r="S70" s="55"/>
      <c r="T70" s="56"/>
    </row>
    <row r="71" customHeight="1" spans="1:20">
      <c r="G71" s="51">
        <v>68</v>
      </c>
      <c r="H71" s="51">
        <v>40</v>
      </c>
      <c r="I71" s="67" t="s">
        <v>469</v>
      </c>
      <c r="J71" s="53">
        <v>0</v>
      </c>
      <c r="K71" s="54">
        <v>0</v>
      </c>
      <c r="L71" s="52"/>
      <c r="M71" s="54">
        <v>0</v>
      </c>
      <c r="N71" s="54">
        <v>0</v>
      </c>
      <c r="O71" s="54"/>
      <c r="P71" s="54"/>
      <c r="Q71" s="52"/>
      <c r="R71" s="52"/>
      <c r="S71" s="55"/>
      <c r="T71" s="56"/>
    </row>
    <row r="72" customHeight="1" spans="1:20">
      <c r="G72" s="51">
        <v>69</v>
      </c>
      <c r="H72" s="51">
        <v>34</v>
      </c>
      <c r="I72" s="67" t="s">
        <v>571</v>
      </c>
      <c r="J72" s="53">
        <v>0</v>
      </c>
      <c r="K72" s="54">
        <v>0</v>
      </c>
      <c r="L72" s="52"/>
      <c r="M72" s="54">
        <v>0</v>
      </c>
      <c r="N72" s="54">
        <v>0</v>
      </c>
      <c r="O72" s="54"/>
      <c r="P72" s="54"/>
      <c r="Q72" s="52"/>
      <c r="R72" s="52"/>
      <c r="S72" s="55"/>
      <c r="T72" s="56"/>
    </row>
    <row r="73" customHeight="1" spans="1:20">
      <c r="G73" s="51">
        <v>70</v>
      </c>
      <c r="H73" s="51">
        <v>72</v>
      </c>
      <c r="I73" s="68" t="s">
        <v>576</v>
      </c>
      <c r="J73" s="53">
        <v>0</v>
      </c>
      <c r="K73" s="54">
        <v>0</v>
      </c>
      <c r="L73" s="52"/>
      <c r="M73" s="54">
        <v>0</v>
      </c>
      <c r="N73" s="54">
        <v>0</v>
      </c>
      <c r="O73" s="54"/>
      <c r="P73" s="54"/>
      <c r="Q73" s="52"/>
      <c r="R73" s="52"/>
      <c r="S73" s="55"/>
      <c r="T73" s="56"/>
    </row>
    <row r="74" customHeight="1" spans="1:20">
      <c r="G74" s="51"/>
      <c r="H74" s="51"/>
      <c r="I74" s="75" t="s">
        <v>555</v>
      </c>
      <c r="J74" s="53">
        <v>0</v>
      </c>
      <c r="K74" s="54">
        <v>1</v>
      </c>
      <c r="L74" s="52"/>
      <c r="M74" s="54">
        <v>0</v>
      </c>
      <c r="N74" s="54">
        <v>0</v>
      </c>
      <c r="O74" s="54"/>
      <c r="P74" s="54"/>
      <c r="Q74" s="52"/>
      <c r="R74" s="52">
        <v>11</v>
      </c>
      <c r="S74" s="55" t="s">
        <v>745</v>
      </c>
      <c r="T74" s="56" t="s">
        <v>747</v>
      </c>
    </row>
    <row r="75" customHeight="1" spans="1:20">
      <c r="G75" s="51"/>
      <c r="H75" s="51"/>
      <c r="I75" s="75" t="s">
        <v>577</v>
      </c>
      <c r="J75" s="53">
        <v>0</v>
      </c>
      <c r="K75" s="54">
        <v>0</v>
      </c>
      <c r="L75" s="52"/>
      <c r="M75" s="54">
        <v>0</v>
      </c>
      <c r="N75" s="54">
        <v>0</v>
      </c>
      <c r="O75" s="54"/>
      <c r="P75" s="54"/>
      <c r="Q75" s="52"/>
      <c r="R75" s="52">
        <v>2</v>
      </c>
      <c r="S75" s="55" t="s">
        <v>745</v>
      </c>
      <c r="T75" s="56" t="s">
        <v>746</v>
      </c>
    </row>
    <row r="76" customHeight="1" spans="1:20">
      <c r="A76" s="63"/>
      <c r="B76" s="63"/>
      <c r="C76" s="63"/>
      <c r="D76" s="63"/>
      <c r="E76" s="63"/>
      <c r="F76" s="63"/>
      <c r="G76" s="51"/>
      <c r="H76" s="51"/>
      <c r="I76" s="76" t="s">
        <v>568</v>
      </c>
      <c r="J76" s="53"/>
      <c r="K76" s="54"/>
      <c r="L76" s="52"/>
      <c r="M76" s="54"/>
      <c r="N76" s="54"/>
      <c r="O76" s="54"/>
      <c r="P76" s="54"/>
      <c r="Q76" s="52"/>
      <c r="R76" s="52"/>
      <c r="S76" s="55" t="s">
        <v>764</v>
      </c>
      <c r="T76" s="56" t="s">
        <v>765</v>
      </c>
    </row>
    <row r="77" customHeight="1" spans="1:20">
      <c r="A77" s="64"/>
      <c r="B77" s="64"/>
      <c r="C77" s="64"/>
      <c r="D77" s="64"/>
      <c r="E77" s="64"/>
      <c r="F77" s="64"/>
      <c r="G77" s="51">
        <v>71</v>
      </c>
      <c r="H77" s="51">
        <v>10</v>
      </c>
      <c r="I77" s="72" t="s">
        <v>436</v>
      </c>
      <c r="J77" s="53">
        <v>0</v>
      </c>
      <c r="K77" s="54">
        <v>0</v>
      </c>
      <c r="L77" s="52"/>
      <c r="M77" s="54">
        <v>0</v>
      </c>
      <c r="N77" s="54">
        <v>0</v>
      </c>
      <c r="O77" s="54"/>
      <c r="P77" s="54">
        <v>2</v>
      </c>
      <c r="Q77" s="52"/>
      <c r="R77" s="52"/>
      <c r="S77" s="55"/>
      <c r="T77" s="56" t="s">
        <v>741</v>
      </c>
    </row>
    <row r="78" customHeight="1" spans="1:20">
      <c r="A78" s="64"/>
      <c r="B78" s="64"/>
      <c r="C78" s="64"/>
      <c r="D78" s="64"/>
      <c r="E78" s="64"/>
      <c r="F78" s="64"/>
      <c r="G78" s="51">
        <v>72</v>
      </c>
      <c r="H78" s="51">
        <v>31</v>
      </c>
      <c r="I78" s="72" t="s">
        <v>549</v>
      </c>
      <c r="J78" s="53">
        <v>0</v>
      </c>
      <c r="K78" s="54">
        <v>0</v>
      </c>
      <c r="L78" s="52"/>
      <c r="M78" s="54">
        <v>0</v>
      </c>
      <c r="N78" s="54">
        <v>5</v>
      </c>
      <c r="O78" s="54"/>
      <c r="P78" s="54"/>
      <c r="Q78" s="52"/>
      <c r="R78" s="52"/>
      <c r="S78" s="55"/>
      <c r="T78" s="56" t="s">
        <v>740</v>
      </c>
    </row>
    <row r="79" s="28" customFormat="1" customHeight="1" spans="1:20">
      <c r="A79" s="64"/>
      <c r="B79" s="64"/>
      <c r="C79" s="64"/>
      <c r="D79" s="64"/>
      <c r="E79" s="64"/>
      <c r="F79" s="64"/>
      <c r="G79" s="51">
        <v>73</v>
      </c>
      <c r="H79" s="51">
        <v>66</v>
      </c>
      <c r="I79" s="69" t="s">
        <v>477</v>
      </c>
      <c r="J79" s="53">
        <v>0</v>
      </c>
      <c r="K79" s="54">
        <v>0</v>
      </c>
      <c r="L79" s="52"/>
      <c r="M79" s="54">
        <v>0</v>
      </c>
      <c r="N79" s="54">
        <v>0</v>
      </c>
      <c r="O79" s="54"/>
      <c r="P79" s="54"/>
      <c r="Q79" s="52"/>
      <c r="R79" s="52"/>
      <c r="S79" s="55"/>
      <c r="T79" s="56" t="s">
        <v>750</v>
      </c>
    </row>
    <row r="80" customHeight="1" spans="1:20">
      <c r="G80" s="51">
        <v>74</v>
      </c>
      <c r="H80" s="51">
        <v>68</v>
      </c>
      <c r="I80" s="70" t="s">
        <v>481</v>
      </c>
      <c r="J80" s="53">
        <v>0</v>
      </c>
      <c r="K80" s="54">
        <v>0</v>
      </c>
      <c r="L80" s="52"/>
      <c r="M80" s="54">
        <v>0</v>
      </c>
      <c r="N80" s="54">
        <v>0</v>
      </c>
      <c r="O80" s="54"/>
      <c r="P80" s="54"/>
      <c r="Q80" s="52"/>
      <c r="R80" s="52"/>
      <c r="S80" s="71"/>
      <c r="T80" s="56" t="s">
        <v>750</v>
      </c>
    </row>
    <row r="81" customHeight="1" spans="1:20">
      <c r="G81" s="51">
        <v>75</v>
      </c>
      <c r="H81" s="51">
        <v>65</v>
      </c>
      <c r="I81" s="70" t="s">
        <v>479</v>
      </c>
      <c r="J81" s="53">
        <v>0</v>
      </c>
      <c r="K81" s="54">
        <v>0</v>
      </c>
      <c r="L81" s="52"/>
      <c r="M81" s="54">
        <v>0</v>
      </c>
      <c r="N81" s="54">
        <v>0</v>
      </c>
      <c r="O81" s="54"/>
      <c r="P81" s="54"/>
      <c r="Q81" s="52"/>
      <c r="R81" s="52"/>
      <c r="S81" s="55"/>
      <c r="T81" s="56" t="s">
        <v>750</v>
      </c>
    </row>
    <row r="82" customHeight="1" spans="1:20">
      <c r="A82" s="64"/>
      <c r="B82" s="64"/>
      <c r="C82" s="64"/>
      <c r="D82" s="64"/>
      <c r="E82" s="64"/>
      <c r="F82" s="64"/>
      <c r="G82" s="51">
        <v>76</v>
      </c>
      <c r="H82" s="51">
        <v>64</v>
      </c>
      <c r="I82" s="70" t="s">
        <v>474</v>
      </c>
      <c r="J82" s="53">
        <v>0</v>
      </c>
      <c r="K82" s="54">
        <v>0</v>
      </c>
      <c r="L82" s="52"/>
      <c r="M82" s="54">
        <v>0</v>
      </c>
      <c r="N82" s="54">
        <v>0</v>
      </c>
      <c r="O82" s="54"/>
      <c r="P82" s="54"/>
      <c r="Q82" s="52"/>
      <c r="R82" s="52"/>
      <c r="S82" s="55"/>
      <c r="T82" s="56" t="s">
        <v>750</v>
      </c>
    </row>
    <row r="83" customHeight="1" spans="1:20">
      <c r="A83" s="63"/>
      <c r="B83" s="63"/>
      <c r="C83" s="63"/>
      <c r="D83" s="63"/>
      <c r="E83" s="63"/>
      <c r="F83" s="63"/>
      <c r="G83" s="51">
        <v>77</v>
      </c>
      <c r="H83" s="51">
        <v>29</v>
      </c>
      <c r="I83" s="72" t="s">
        <v>438</v>
      </c>
      <c r="J83" s="53">
        <v>0</v>
      </c>
      <c r="K83" s="54">
        <v>0</v>
      </c>
      <c r="L83" s="52"/>
      <c r="M83" s="54">
        <v>0</v>
      </c>
      <c r="N83" s="54">
        <v>0</v>
      </c>
      <c r="O83" s="54"/>
      <c r="P83" s="54"/>
      <c r="Q83" s="52"/>
      <c r="R83" s="52"/>
      <c r="S83" s="55"/>
      <c r="T83" s="56"/>
    </row>
  </sheetData>
  <autoFilter xmlns:etc="http://www.wps.cn/officeDocument/2017/etCustomData" ref="A3:T83" etc:filterBottomFollowUsedRange="0">
    <sortState ref="A3:T83">
      <sortCondition ref="M3:M83"/>
    </sortState>
    <extLst/>
  </autoFilter>
  <mergeCells count="1">
    <mergeCell ref="M2:N2"/>
  </mergeCells>
  <pageMargins left="0.75" right="0.75" top="1" bottom="1" header="0.51" footer="0.51"/>
  <pageSetup paperSize="9" orientation="portrait"/>
  <headerFooter alignWithMargins="0" scaleWithDoc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9"/>
  <sheetViews>
    <sheetView zoomScale="90" zoomScaleNormal="90" workbookViewId="0">
      <pane xSplit="9" ySplit="3" topLeftCell="J4" activePane="bottomRight" state="frozen"/>
      <selection/>
      <selection pane="topRight"/>
      <selection pane="bottomLeft"/>
      <selection pane="bottomRight" activeCell="S80" sqref="S80"/>
    </sheetView>
  </sheetViews>
  <sheetFormatPr defaultColWidth="8.025" defaultRowHeight="16.5" customHeight="1"/>
  <cols>
    <col min="1" max="1" width="23.8333333333333" style="29" hidden="1" customWidth="1"/>
    <col min="2" max="2" width="30.1166666666667" style="29" hidden="1" customWidth="1"/>
    <col min="3" max="3" width="11.975" style="29" hidden="1" customWidth="1"/>
    <col min="4" max="4" width="19.65" style="29" hidden="1" customWidth="1"/>
    <col min="5" max="5" width="6.85833333333333" style="29" hidden="1" customWidth="1"/>
    <col min="6" max="6" width="13.95" style="29" hidden="1" customWidth="1"/>
    <col min="7" max="7" width="4.78333333333333" style="29" customWidth="1"/>
    <col min="8" max="8" width="4.51666666666667" style="29" customWidth="1"/>
    <col min="9" max="9" width="13.95" style="30" customWidth="1"/>
    <col min="10" max="10" width="11.5083333333333" style="31" customWidth="1"/>
    <col min="11" max="11" width="7.55833333333333" style="31" customWidth="1"/>
    <col min="12" max="12" width="7.20833333333333" style="30" customWidth="1"/>
    <col min="13" max="13" width="6.50833333333333" style="31" customWidth="1"/>
    <col min="14" max="15" width="5.58333333333333" style="31" customWidth="1"/>
    <col min="16" max="16" width="5.08333333333333" style="31" customWidth="1"/>
    <col min="17" max="18" width="8.78333333333333" style="30" customWidth="1"/>
    <col min="19" max="19" width="19.1166666666667" style="32" customWidth="1"/>
    <col min="20" max="20" width="77.5583333333333" style="33" customWidth="1"/>
    <col min="21" max="16384" width="8.025" style="28"/>
  </cols>
  <sheetData>
    <row r="1" customHeight="1" spans="1:20">
      <c r="J1" s="31">
        <f t="shared" ref="J1:P1" si="0">SUM(J4:J77)</f>
        <v>6</v>
      </c>
      <c r="K1" s="31">
        <f t="shared" si="0"/>
        <v>5</v>
      </c>
      <c r="L1" s="31">
        <f t="shared" si="0"/>
        <v>0</v>
      </c>
      <c r="M1" s="31">
        <f t="shared" si="0"/>
        <v>41.5</v>
      </c>
      <c r="N1" s="31">
        <f t="shared" si="0"/>
        <v>15</v>
      </c>
      <c r="O1" s="31">
        <f t="shared" si="0"/>
        <v>0</v>
      </c>
      <c r="P1" s="31">
        <f t="shared" si="0"/>
        <v>0</v>
      </c>
      <c r="Q1" s="31"/>
      <c r="R1" s="31">
        <f>SUM(R4:R77)</f>
        <v>0.5</v>
      </c>
    </row>
    <row r="2" customHeight="1" spans="1:20">
      <c r="I2" s="30" t="s">
        <v>798</v>
      </c>
      <c r="J2" s="34" t="s">
        <v>773</v>
      </c>
      <c r="K2" s="34"/>
      <c r="L2" s="35"/>
      <c r="M2" s="36" t="s">
        <v>774</v>
      </c>
      <c r="N2" s="36"/>
      <c r="O2" s="36"/>
      <c r="P2" s="36"/>
      <c r="R2" s="37"/>
    </row>
    <row r="3" customHeight="1" spans="1:20">
      <c r="A3" s="38"/>
      <c r="B3" s="39" t="s">
        <v>775</v>
      </c>
      <c r="C3" s="40" t="s">
        <v>55</v>
      </c>
      <c r="D3" s="41" t="s">
        <v>187</v>
      </c>
      <c r="E3" s="41" t="s">
        <v>188</v>
      </c>
      <c r="F3" s="42" t="s">
        <v>189</v>
      </c>
      <c r="G3" s="43" t="s">
        <v>776</v>
      </c>
      <c r="H3" s="43" t="s">
        <v>777</v>
      </c>
      <c r="I3" s="44" t="s">
        <v>191</v>
      </c>
      <c r="J3" s="45" t="s">
        <v>695</v>
      </c>
      <c r="K3" s="45" t="s">
        <v>696</v>
      </c>
      <c r="L3" s="46" t="s">
        <v>718</v>
      </c>
      <c r="M3" s="45" t="s">
        <v>712</v>
      </c>
      <c r="N3" s="45" t="s">
        <v>714</v>
      </c>
      <c r="O3" s="45" t="s">
        <v>715</v>
      </c>
      <c r="P3" s="45" t="s">
        <v>716</v>
      </c>
      <c r="Q3" s="46" t="s">
        <v>717</v>
      </c>
      <c r="R3" s="46" t="s">
        <v>709</v>
      </c>
      <c r="S3" s="47" t="s">
        <v>769</v>
      </c>
      <c r="T3" s="48" t="s">
        <v>721</v>
      </c>
    </row>
    <row r="4" customHeight="1" spans="1:20">
      <c r="A4" s="49"/>
      <c r="B4" s="49"/>
      <c r="C4" s="49"/>
      <c r="D4" s="49"/>
      <c r="E4" s="49"/>
      <c r="F4" s="50"/>
      <c r="G4" s="51">
        <v>1</v>
      </c>
      <c r="H4" s="51">
        <v>56</v>
      </c>
      <c r="I4" s="52" t="s">
        <v>517</v>
      </c>
      <c r="J4" s="53">
        <v>0</v>
      </c>
      <c r="K4" s="54">
        <v>0</v>
      </c>
      <c r="L4" s="52"/>
      <c r="M4" s="54">
        <v>0</v>
      </c>
      <c r="N4" s="54">
        <v>0</v>
      </c>
      <c r="O4" s="54"/>
      <c r="P4" s="54"/>
      <c r="Q4" s="52"/>
      <c r="R4" s="52"/>
      <c r="S4" s="55"/>
      <c r="T4" s="56"/>
    </row>
    <row r="5" customHeight="1" spans="1:20">
      <c r="A5" s="49"/>
      <c r="B5" s="49"/>
      <c r="C5" s="49"/>
      <c r="D5" s="49"/>
      <c r="E5" s="49"/>
      <c r="F5" s="50"/>
      <c r="G5" s="51">
        <v>2</v>
      </c>
      <c r="H5" s="51">
        <v>73</v>
      </c>
      <c r="I5" s="52" t="s">
        <v>634</v>
      </c>
      <c r="J5" s="53">
        <v>0</v>
      </c>
      <c r="K5" s="54">
        <v>0</v>
      </c>
      <c r="L5" s="52"/>
      <c r="M5" s="54">
        <v>0</v>
      </c>
      <c r="N5" s="54">
        <v>0</v>
      </c>
      <c r="O5" s="54"/>
      <c r="P5" s="54"/>
      <c r="Q5" s="52"/>
      <c r="R5" s="52"/>
      <c r="S5" s="55"/>
      <c r="T5" s="56"/>
    </row>
    <row r="6" customHeight="1" spans="1:20">
      <c r="A6" s="49"/>
      <c r="B6" s="49"/>
      <c r="C6" s="49"/>
      <c r="D6" s="49"/>
      <c r="E6" s="49"/>
      <c r="F6" s="50"/>
      <c r="G6" s="51">
        <v>3</v>
      </c>
      <c r="H6" s="51">
        <v>70</v>
      </c>
      <c r="I6" s="52" t="s">
        <v>361</v>
      </c>
      <c r="J6" s="53">
        <v>0</v>
      </c>
      <c r="K6" s="54">
        <v>0</v>
      </c>
      <c r="L6" s="52"/>
      <c r="M6" s="54">
        <v>0</v>
      </c>
      <c r="N6" s="54">
        <v>0</v>
      </c>
      <c r="O6" s="54"/>
      <c r="P6" s="54"/>
      <c r="Q6" s="52"/>
      <c r="R6" s="52"/>
      <c r="S6" s="55"/>
      <c r="T6" s="56"/>
    </row>
    <row r="7" customHeight="1" spans="1:20">
      <c r="A7" s="26"/>
      <c r="B7" s="26"/>
      <c r="C7" s="26"/>
      <c r="D7" s="26"/>
      <c r="E7" s="26"/>
      <c r="F7" s="51"/>
      <c r="G7" s="51">
        <v>4</v>
      </c>
      <c r="H7" s="51">
        <v>27</v>
      </c>
      <c r="I7" s="57" t="s">
        <v>389</v>
      </c>
      <c r="J7" s="53">
        <v>0</v>
      </c>
      <c r="K7" s="54">
        <v>0</v>
      </c>
      <c r="L7" s="52"/>
      <c r="M7" s="54">
        <v>0</v>
      </c>
      <c r="N7" s="54">
        <v>0</v>
      </c>
      <c r="O7" s="54"/>
      <c r="P7" s="54"/>
      <c r="Q7" s="52"/>
      <c r="R7" s="52"/>
      <c r="S7" s="55"/>
      <c r="T7" s="56" t="s">
        <v>799</v>
      </c>
    </row>
    <row r="8" customHeight="1" spans="1:20">
      <c r="A8" s="26"/>
      <c r="B8" s="26"/>
      <c r="C8" s="26"/>
      <c r="D8" s="26"/>
      <c r="E8" s="26"/>
      <c r="F8" s="51"/>
      <c r="G8" s="51">
        <v>5</v>
      </c>
      <c r="H8" s="51">
        <v>30</v>
      </c>
      <c r="I8" s="52" t="s">
        <v>440</v>
      </c>
      <c r="J8" s="53">
        <v>0</v>
      </c>
      <c r="K8" s="54">
        <v>0</v>
      </c>
      <c r="L8" s="52"/>
      <c r="M8" s="54">
        <v>0.5</v>
      </c>
      <c r="N8" s="54">
        <v>0</v>
      </c>
      <c r="O8" s="54"/>
      <c r="P8" s="54"/>
      <c r="Q8" s="52"/>
      <c r="R8" s="52"/>
      <c r="S8" s="55"/>
      <c r="T8" s="56" t="s">
        <v>724</v>
      </c>
    </row>
    <row r="9" customHeight="1" spans="1:20">
      <c r="A9" s="49"/>
      <c r="B9" s="49"/>
      <c r="C9" s="49"/>
      <c r="D9" s="49"/>
      <c r="E9" s="49"/>
      <c r="F9" s="50"/>
      <c r="G9" s="51">
        <v>6</v>
      </c>
      <c r="H9" s="51">
        <v>74</v>
      </c>
      <c r="I9" s="58" t="s">
        <v>423</v>
      </c>
      <c r="J9" s="53">
        <v>0</v>
      </c>
      <c r="K9" s="54">
        <v>0</v>
      </c>
      <c r="L9" s="52"/>
      <c r="M9" s="54">
        <v>0</v>
      </c>
      <c r="N9" s="54">
        <v>0</v>
      </c>
      <c r="O9" s="54"/>
      <c r="P9" s="54"/>
      <c r="Q9" s="52"/>
      <c r="R9" s="52"/>
      <c r="S9" s="55"/>
      <c r="T9" s="56"/>
    </row>
    <row r="10" s="26" customFormat="1" customHeight="1" spans="1:20">
      <c r="A10" s="49"/>
      <c r="B10" s="49"/>
      <c r="C10" s="49"/>
      <c r="D10" s="49"/>
      <c r="E10" s="49"/>
      <c r="F10" s="50"/>
      <c r="G10" s="51">
        <v>7</v>
      </c>
      <c r="H10" s="51">
        <v>69</v>
      </c>
      <c r="I10" s="52" t="s">
        <v>400</v>
      </c>
      <c r="J10" s="53">
        <v>0</v>
      </c>
      <c r="K10" s="54">
        <v>0</v>
      </c>
      <c r="L10" s="52"/>
      <c r="M10" s="54">
        <v>0</v>
      </c>
      <c r="N10" s="54">
        <v>1</v>
      </c>
      <c r="O10" s="54"/>
      <c r="P10" s="54"/>
      <c r="Q10" s="52"/>
      <c r="R10" s="52"/>
      <c r="S10" s="55"/>
      <c r="T10" s="56" t="s">
        <v>800</v>
      </c>
    </row>
    <row r="11" customHeight="1" spans="1:20">
      <c r="A11" s="50"/>
      <c r="B11" s="59"/>
      <c r="C11" s="59"/>
      <c r="D11" s="59"/>
      <c r="E11" s="59"/>
      <c r="F11" s="59"/>
      <c r="G11" s="51">
        <v>8</v>
      </c>
      <c r="H11" s="51">
        <v>54</v>
      </c>
      <c r="I11" s="52" t="s">
        <v>461</v>
      </c>
      <c r="J11" s="53">
        <v>0</v>
      </c>
      <c r="K11" s="54">
        <v>0</v>
      </c>
      <c r="L11" s="52"/>
      <c r="M11" s="54">
        <v>0</v>
      </c>
      <c r="N11" s="54">
        <v>0</v>
      </c>
      <c r="O11" s="54"/>
      <c r="P11" s="54"/>
      <c r="Q11" s="52"/>
      <c r="R11" s="52"/>
      <c r="S11" s="55"/>
      <c r="T11" s="56"/>
    </row>
    <row r="12" customHeight="1" spans="1:20">
      <c r="A12" s="49"/>
      <c r="B12" s="49"/>
      <c r="C12" s="49"/>
      <c r="D12" s="49"/>
      <c r="E12" s="49"/>
      <c r="F12" s="50"/>
      <c r="G12" s="51">
        <v>9</v>
      </c>
      <c r="H12" s="51">
        <v>63</v>
      </c>
      <c r="I12" s="52" t="s">
        <v>341</v>
      </c>
      <c r="J12" s="53">
        <v>0</v>
      </c>
      <c r="K12" s="54">
        <v>0</v>
      </c>
      <c r="L12" s="52"/>
      <c r="M12" s="54">
        <v>3</v>
      </c>
      <c r="N12" s="54">
        <v>0</v>
      </c>
      <c r="O12" s="54"/>
      <c r="P12" s="54"/>
      <c r="Q12" s="52"/>
      <c r="R12" s="52"/>
      <c r="S12" s="55"/>
      <c r="T12" s="56" t="s">
        <v>725</v>
      </c>
    </row>
    <row r="13" customHeight="1" spans="1:20">
      <c r="A13" s="26"/>
      <c r="B13" s="26"/>
      <c r="C13" s="26"/>
      <c r="D13" s="26"/>
      <c r="E13" s="26"/>
      <c r="F13" s="51"/>
      <c r="G13" s="51">
        <v>10</v>
      </c>
      <c r="H13" s="51">
        <v>24</v>
      </c>
      <c r="I13" s="52" t="s">
        <v>387</v>
      </c>
      <c r="J13" s="53">
        <v>0</v>
      </c>
      <c r="K13" s="54">
        <v>0</v>
      </c>
      <c r="L13" s="52"/>
      <c r="M13" s="54">
        <v>0</v>
      </c>
      <c r="N13" s="54">
        <v>0</v>
      </c>
      <c r="O13" s="54"/>
      <c r="P13" s="54"/>
      <c r="Q13" s="52"/>
      <c r="R13" s="52"/>
      <c r="S13" s="55"/>
      <c r="T13" s="56"/>
    </row>
    <row r="14" customHeight="1" spans="1:20">
      <c r="A14" s="26" t="s">
        <v>792</v>
      </c>
      <c r="B14" s="26" t="s">
        <v>786</v>
      </c>
      <c r="C14" s="26" t="s">
        <v>61</v>
      </c>
      <c r="D14" s="26" t="s">
        <v>793</v>
      </c>
      <c r="E14" s="26" t="s">
        <v>422</v>
      </c>
      <c r="F14" s="51" t="s">
        <v>309</v>
      </c>
      <c r="G14" s="51">
        <v>11</v>
      </c>
      <c r="H14" s="51">
        <v>5</v>
      </c>
      <c r="I14" s="52" t="s">
        <v>343</v>
      </c>
      <c r="J14" s="53">
        <v>0</v>
      </c>
      <c r="K14" s="54">
        <v>0</v>
      </c>
      <c r="L14" s="52"/>
      <c r="M14" s="54">
        <v>1</v>
      </c>
      <c r="N14" s="54">
        <v>0</v>
      </c>
      <c r="O14" s="54"/>
      <c r="P14" s="54"/>
      <c r="Q14" s="52"/>
      <c r="R14" s="52"/>
      <c r="S14" s="55"/>
      <c r="T14" s="56" t="s">
        <v>726</v>
      </c>
    </row>
    <row r="15" customHeight="1" spans="1:20">
      <c r="A15" s="49"/>
      <c r="B15" s="49"/>
      <c r="C15" s="49"/>
      <c r="D15" s="49"/>
      <c r="E15" s="49"/>
      <c r="F15" s="50"/>
      <c r="G15" s="51">
        <v>12</v>
      </c>
      <c r="H15" s="51">
        <v>55</v>
      </c>
      <c r="I15" s="52" t="s">
        <v>320</v>
      </c>
      <c r="J15" s="53">
        <v>0</v>
      </c>
      <c r="K15" s="54">
        <v>0</v>
      </c>
      <c r="L15" s="52"/>
      <c r="M15" s="54">
        <v>0</v>
      </c>
      <c r="N15" s="54">
        <v>0</v>
      </c>
      <c r="O15" s="54"/>
      <c r="P15" s="54"/>
      <c r="Q15" s="52"/>
      <c r="R15" s="52"/>
      <c r="S15" s="55"/>
      <c r="T15" s="56"/>
    </row>
    <row r="16" customHeight="1" spans="1:20">
      <c r="A16" s="26"/>
      <c r="B16" s="26"/>
      <c r="C16" s="26"/>
      <c r="D16" s="26"/>
      <c r="E16" s="26"/>
      <c r="F16" s="51"/>
      <c r="G16" s="51">
        <v>13</v>
      </c>
      <c r="H16" s="51">
        <v>13</v>
      </c>
      <c r="I16" s="52" t="s">
        <v>371</v>
      </c>
      <c r="J16" s="53">
        <v>0</v>
      </c>
      <c r="K16" s="54">
        <v>0</v>
      </c>
      <c r="L16" s="52"/>
      <c r="M16" s="54">
        <v>0.5</v>
      </c>
      <c r="N16" s="54">
        <v>0</v>
      </c>
      <c r="O16" s="54"/>
      <c r="P16" s="54"/>
      <c r="Q16" s="52"/>
      <c r="R16" s="52"/>
      <c r="S16" s="55"/>
      <c r="T16" s="56" t="s">
        <v>724</v>
      </c>
    </row>
    <row r="17" customHeight="1" spans="1:20">
      <c r="A17" s="49"/>
      <c r="B17" s="49"/>
      <c r="C17" s="49"/>
      <c r="D17" s="49"/>
      <c r="E17" s="49"/>
      <c r="F17" s="50"/>
      <c r="G17" s="51">
        <v>14</v>
      </c>
      <c r="H17" s="51">
        <v>44</v>
      </c>
      <c r="I17" s="52" t="s">
        <v>105</v>
      </c>
      <c r="J17" s="53">
        <v>0</v>
      </c>
      <c r="K17" s="54">
        <v>0</v>
      </c>
      <c r="L17" s="52"/>
      <c r="M17" s="54">
        <v>1</v>
      </c>
      <c r="N17" s="54">
        <v>0</v>
      </c>
      <c r="O17" s="54"/>
      <c r="P17" s="54"/>
      <c r="Q17" s="52"/>
      <c r="R17" s="52"/>
      <c r="S17" s="55"/>
      <c r="T17" s="56" t="s">
        <v>726</v>
      </c>
    </row>
    <row r="18" customHeight="1" spans="1:20">
      <c r="A18" s="49"/>
      <c r="B18" s="49"/>
      <c r="C18" s="49"/>
      <c r="D18" s="49"/>
      <c r="E18" s="49"/>
      <c r="F18" s="50"/>
      <c r="G18" s="51">
        <v>15</v>
      </c>
      <c r="H18" s="51">
        <v>50</v>
      </c>
      <c r="I18" s="52" t="s">
        <v>397</v>
      </c>
      <c r="J18" s="53">
        <v>0</v>
      </c>
      <c r="K18" s="54">
        <v>0</v>
      </c>
      <c r="L18" s="52"/>
      <c r="M18" s="54">
        <v>0</v>
      </c>
      <c r="N18" s="54">
        <v>0</v>
      </c>
      <c r="O18" s="54"/>
      <c r="P18" s="54"/>
      <c r="Q18" s="52"/>
      <c r="R18" s="52"/>
      <c r="S18" s="55"/>
      <c r="T18" s="56"/>
    </row>
    <row r="19" customHeight="1" spans="1:20">
      <c r="A19" s="26"/>
      <c r="B19" s="26"/>
      <c r="C19" s="26"/>
      <c r="D19" s="26"/>
      <c r="E19" s="26"/>
      <c r="F19" s="51"/>
      <c r="G19" s="51">
        <v>16</v>
      </c>
      <c r="H19" s="51">
        <v>12</v>
      </c>
      <c r="I19" s="52" t="s">
        <v>357</v>
      </c>
      <c r="J19" s="53">
        <v>2</v>
      </c>
      <c r="K19" s="54">
        <v>0</v>
      </c>
      <c r="L19" s="52"/>
      <c r="M19" s="54">
        <v>1.5</v>
      </c>
      <c r="N19" s="54">
        <v>0</v>
      </c>
      <c r="O19" s="54"/>
      <c r="P19" s="54"/>
      <c r="Q19" s="52"/>
      <c r="R19" s="52">
        <v>0.5</v>
      </c>
      <c r="S19" s="55"/>
      <c r="T19" s="56" t="s">
        <v>801</v>
      </c>
    </row>
    <row r="20" customHeight="1" spans="1:20">
      <c r="A20" s="49"/>
      <c r="B20" s="49"/>
      <c r="C20" s="49"/>
      <c r="D20" s="49"/>
      <c r="E20" s="49"/>
      <c r="F20" s="50"/>
      <c r="G20" s="51">
        <v>17</v>
      </c>
      <c r="H20" s="51">
        <v>45</v>
      </c>
      <c r="I20" s="52" t="s">
        <v>427</v>
      </c>
      <c r="J20" s="53">
        <v>0.5</v>
      </c>
      <c r="K20" s="54">
        <v>0</v>
      </c>
      <c r="L20" s="52"/>
      <c r="M20" s="54">
        <v>0</v>
      </c>
      <c r="N20" s="54">
        <v>3</v>
      </c>
      <c r="O20" s="54"/>
      <c r="P20" s="54"/>
      <c r="Q20" s="52">
        <v>10</v>
      </c>
      <c r="R20" s="52"/>
      <c r="S20" s="55"/>
      <c r="T20" s="56" t="s">
        <v>802</v>
      </c>
    </row>
    <row r="21" customHeight="1" spans="1:20">
      <c r="A21" s="26"/>
      <c r="B21" s="26" t="s">
        <v>778</v>
      </c>
      <c r="C21" s="26" t="s">
        <v>71</v>
      </c>
      <c r="D21" s="26" t="s">
        <v>359</v>
      </c>
      <c r="E21" s="26" t="s">
        <v>520</v>
      </c>
      <c r="F21" s="51" t="s">
        <v>366</v>
      </c>
      <c r="G21" s="51">
        <v>18</v>
      </c>
      <c r="H21" s="51">
        <v>8</v>
      </c>
      <c r="I21" s="60" t="s">
        <v>108</v>
      </c>
      <c r="J21" s="53">
        <v>0</v>
      </c>
      <c r="K21" s="54">
        <v>0</v>
      </c>
      <c r="L21" s="52"/>
      <c r="M21" s="54">
        <v>0</v>
      </c>
      <c r="N21" s="54">
        <v>0</v>
      </c>
      <c r="O21" s="54"/>
      <c r="P21" s="54"/>
      <c r="Q21" s="52"/>
      <c r="R21" s="52"/>
      <c r="S21" s="55"/>
      <c r="T21" s="56"/>
    </row>
    <row r="22" customHeight="1" spans="1:20">
      <c r="A22" s="49"/>
      <c r="B22" s="49"/>
      <c r="C22" s="49"/>
      <c r="D22" s="49"/>
      <c r="E22" s="49"/>
      <c r="F22" s="50"/>
      <c r="G22" s="51">
        <v>19</v>
      </c>
      <c r="H22" s="51">
        <v>41</v>
      </c>
      <c r="I22" s="52" t="s">
        <v>121</v>
      </c>
      <c r="J22" s="53">
        <v>0</v>
      </c>
      <c r="K22" s="54">
        <v>0</v>
      </c>
      <c r="L22" s="52"/>
      <c r="M22" s="54">
        <v>0</v>
      </c>
      <c r="N22" s="54">
        <v>0</v>
      </c>
      <c r="O22" s="54"/>
      <c r="P22" s="54"/>
      <c r="Q22" s="52"/>
      <c r="R22" s="52"/>
      <c r="S22" s="55"/>
      <c r="T22" s="56"/>
    </row>
    <row r="23" customHeight="1" spans="1:20">
      <c r="G23" s="51">
        <v>20</v>
      </c>
      <c r="H23" s="51">
        <v>53</v>
      </c>
      <c r="I23" s="52" t="s">
        <v>410</v>
      </c>
      <c r="J23" s="53">
        <v>0</v>
      </c>
      <c r="K23" s="54">
        <v>0</v>
      </c>
      <c r="L23" s="52"/>
      <c r="M23" s="54">
        <v>0</v>
      </c>
      <c r="N23" s="54">
        <v>0</v>
      </c>
      <c r="O23" s="54"/>
      <c r="P23" s="54"/>
      <c r="Q23" s="52"/>
      <c r="R23" s="52"/>
      <c r="S23" s="55"/>
      <c r="T23" s="56"/>
    </row>
    <row r="24" customHeight="1" spans="1:20">
      <c r="A24" s="61"/>
      <c r="B24" s="61"/>
      <c r="C24" s="61"/>
      <c r="D24" s="61"/>
      <c r="E24" s="61"/>
      <c r="F24" s="61"/>
      <c r="G24" s="51">
        <v>21</v>
      </c>
      <c r="H24" s="51">
        <v>61</v>
      </c>
      <c r="I24" s="52" t="s">
        <v>560</v>
      </c>
      <c r="J24" s="53">
        <v>0</v>
      </c>
      <c r="K24" s="54">
        <v>2</v>
      </c>
      <c r="L24" s="52"/>
      <c r="M24" s="54">
        <v>0</v>
      </c>
      <c r="N24" s="62">
        <v>0</v>
      </c>
      <c r="O24" s="62"/>
      <c r="P24" s="62"/>
      <c r="Q24" s="52"/>
      <c r="R24" s="52"/>
      <c r="S24" s="55" t="s">
        <v>803</v>
      </c>
      <c r="T24" s="56" t="s">
        <v>804</v>
      </c>
    </row>
    <row r="25" customHeight="1" spans="1:20">
      <c r="G25" s="51">
        <v>22</v>
      </c>
      <c r="H25" s="51">
        <v>42</v>
      </c>
      <c r="I25" s="52" t="s">
        <v>306</v>
      </c>
      <c r="J25" s="53">
        <v>0</v>
      </c>
      <c r="K25" s="54">
        <v>0</v>
      </c>
      <c r="L25" s="52"/>
      <c r="M25" s="54">
        <v>1</v>
      </c>
      <c r="N25" s="54">
        <v>0</v>
      </c>
      <c r="O25" s="54"/>
      <c r="P25" s="54"/>
      <c r="Q25" s="52"/>
      <c r="R25" s="52"/>
      <c r="S25" s="55"/>
      <c r="T25" s="56" t="s">
        <v>726</v>
      </c>
    </row>
    <row r="26" customHeight="1" spans="1:20">
      <c r="A26" s="61"/>
      <c r="B26" s="61"/>
      <c r="C26" s="61"/>
      <c r="D26" s="61"/>
      <c r="E26" s="61"/>
      <c r="F26" s="61"/>
      <c r="G26" s="51">
        <v>23</v>
      </c>
      <c r="H26" s="51">
        <v>49</v>
      </c>
      <c r="I26" s="52" t="s">
        <v>330</v>
      </c>
      <c r="J26" s="53">
        <v>0</v>
      </c>
      <c r="K26" s="54">
        <v>0</v>
      </c>
      <c r="L26" s="52"/>
      <c r="M26" s="54">
        <v>0</v>
      </c>
      <c r="N26" s="54">
        <v>0</v>
      </c>
      <c r="O26" s="54"/>
      <c r="P26" s="54"/>
      <c r="Q26" s="52"/>
      <c r="R26" s="52"/>
      <c r="S26" s="55"/>
      <c r="T26" s="56"/>
    </row>
    <row r="27" customHeight="1" spans="1:20">
      <c r="G27" s="51">
        <v>24</v>
      </c>
      <c r="H27" s="51">
        <v>51</v>
      </c>
      <c r="I27" s="52" t="s">
        <v>326</v>
      </c>
      <c r="J27" s="53">
        <v>0</v>
      </c>
      <c r="K27" s="54">
        <v>0</v>
      </c>
      <c r="L27" s="52"/>
      <c r="M27" s="54">
        <v>0</v>
      </c>
      <c r="N27" s="54">
        <v>0</v>
      </c>
      <c r="O27" s="54"/>
      <c r="P27" s="54"/>
      <c r="Q27" s="52"/>
      <c r="R27" s="52"/>
      <c r="S27" s="55"/>
      <c r="T27" s="56"/>
    </row>
    <row r="28" customHeight="1" spans="1:20">
      <c r="G28" s="51">
        <v>25</v>
      </c>
      <c r="H28" s="51">
        <v>52</v>
      </c>
      <c r="I28" s="52" t="s">
        <v>316</v>
      </c>
      <c r="J28" s="53">
        <v>0</v>
      </c>
      <c r="K28" s="54">
        <v>0</v>
      </c>
      <c r="L28" s="52"/>
      <c r="M28" s="54">
        <v>2</v>
      </c>
      <c r="N28" s="54">
        <v>0</v>
      </c>
      <c r="O28" s="54"/>
      <c r="P28" s="54"/>
      <c r="Q28" s="52"/>
      <c r="R28" s="52"/>
      <c r="S28" s="55"/>
      <c r="T28" s="56" t="s">
        <v>730</v>
      </c>
    </row>
    <row r="29" customHeight="1" spans="1:20">
      <c r="A29" s="49"/>
      <c r="B29" s="49"/>
      <c r="C29" s="49"/>
      <c r="D29" s="49"/>
      <c r="E29" s="49"/>
      <c r="F29" s="50"/>
      <c r="G29" s="51">
        <v>26</v>
      </c>
      <c r="H29" s="51">
        <v>48</v>
      </c>
      <c r="I29" s="52" t="s">
        <v>307</v>
      </c>
      <c r="J29" s="53">
        <v>0</v>
      </c>
      <c r="K29" s="54">
        <v>0</v>
      </c>
      <c r="L29" s="52"/>
      <c r="M29" s="54">
        <v>1</v>
      </c>
      <c r="N29" s="54">
        <v>0</v>
      </c>
      <c r="O29" s="54"/>
      <c r="P29" s="54"/>
      <c r="Q29" s="52"/>
      <c r="R29" s="52"/>
      <c r="S29" s="55"/>
      <c r="T29" s="56" t="s">
        <v>726</v>
      </c>
    </row>
    <row r="30" s="27" customFormat="1" customHeight="1" spans="1:20">
      <c r="A30" s="29"/>
      <c r="B30" s="29"/>
      <c r="C30" s="29"/>
      <c r="D30" s="29"/>
      <c r="E30" s="29"/>
      <c r="F30" s="29"/>
      <c r="G30" s="51">
        <v>27</v>
      </c>
      <c r="H30" s="51">
        <v>43</v>
      </c>
      <c r="I30" s="52" t="s">
        <v>262</v>
      </c>
      <c r="J30" s="53">
        <v>0</v>
      </c>
      <c r="K30" s="54">
        <v>0</v>
      </c>
      <c r="L30" s="52"/>
      <c r="M30" s="54">
        <v>0</v>
      </c>
      <c r="N30" s="54">
        <v>0</v>
      </c>
      <c r="O30" s="54"/>
      <c r="P30" s="54"/>
      <c r="Q30" s="52"/>
      <c r="R30" s="52"/>
      <c r="S30" s="55"/>
      <c r="T30" s="56"/>
    </row>
    <row r="31" s="27" customFormat="1" customHeight="1" spans="1:20">
      <c r="A31" s="29"/>
      <c r="B31" s="29"/>
      <c r="C31" s="29"/>
      <c r="D31" s="29"/>
      <c r="E31" s="29"/>
      <c r="F31" s="29"/>
      <c r="G31" s="51">
        <v>28</v>
      </c>
      <c r="H31" s="51">
        <v>47</v>
      </c>
      <c r="I31" s="52" t="s">
        <v>339</v>
      </c>
      <c r="J31" s="53">
        <v>0</v>
      </c>
      <c r="K31" s="54">
        <v>0</v>
      </c>
      <c r="L31" s="52"/>
      <c r="M31" s="54">
        <v>1</v>
      </c>
      <c r="N31" s="54">
        <v>0</v>
      </c>
      <c r="O31" s="54"/>
      <c r="P31" s="54"/>
      <c r="Q31" s="52"/>
      <c r="R31" s="52"/>
      <c r="S31" s="55"/>
      <c r="T31" s="56" t="s">
        <v>726</v>
      </c>
    </row>
    <row r="32" s="27" customFormat="1" customHeight="1" spans="1:20">
      <c r="A32" s="29"/>
      <c r="B32" s="29"/>
      <c r="C32" s="29"/>
      <c r="D32" s="29"/>
      <c r="E32" s="29"/>
      <c r="F32" s="29"/>
      <c r="G32" s="51">
        <v>29</v>
      </c>
      <c r="H32" s="51">
        <v>46</v>
      </c>
      <c r="I32" s="52" t="s">
        <v>324</v>
      </c>
      <c r="J32" s="53">
        <v>1</v>
      </c>
      <c r="K32" s="54">
        <v>0</v>
      </c>
      <c r="L32" s="52"/>
      <c r="M32" s="54">
        <v>0</v>
      </c>
      <c r="N32" s="54">
        <v>0</v>
      </c>
      <c r="O32" s="54"/>
      <c r="P32" s="54"/>
      <c r="Q32" s="52"/>
      <c r="R32" s="52"/>
      <c r="S32" s="55"/>
      <c r="T32" s="56" t="s">
        <v>728</v>
      </c>
    </row>
    <row r="33" s="27" customFormat="1" customHeight="1" spans="1:20">
      <c r="A33" s="29"/>
      <c r="B33" s="29"/>
      <c r="C33" s="29"/>
      <c r="D33" s="29"/>
      <c r="E33" s="29"/>
      <c r="F33" s="29"/>
      <c r="G33" s="51">
        <v>30</v>
      </c>
      <c r="H33" s="51">
        <v>58</v>
      </c>
      <c r="I33" s="52" t="s">
        <v>446</v>
      </c>
      <c r="J33" s="53">
        <v>0</v>
      </c>
      <c r="K33" s="54">
        <v>0</v>
      </c>
      <c r="L33" s="52"/>
      <c r="M33" s="54">
        <v>0</v>
      </c>
      <c r="N33" s="54">
        <v>0</v>
      </c>
      <c r="O33" s="54"/>
      <c r="P33" s="54"/>
      <c r="Q33" s="52"/>
      <c r="R33" s="52"/>
      <c r="S33" s="55"/>
      <c r="T33" s="56"/>
    </row>
    <row r="34" s="28" customFormat="1" customHeight="1" spans="1:20">
      <c r="A34" s="49"/>
      <c r="B34" s="49"/>
      <c r="C34" s="49"/>
      <c r="D34" s="49"/>
      <c r="E34" s="49"/>
      <c r="F34" s="50"/>
      <c r="G34" s="51">
        <v>31</v>
      </c>
      <c r="H34" s="51">
        <v>62</v>
      </c>
      <c r="I34" s="52" t="s">
        <v>453</v>
      </c>
      <c r="J34" s="53">
        <v>0</v>
      </c>
      <c r="K34" s="54">
        <v>0</v>
      </c>
      <c r="L34" s="52"/>
      <c r="M34" s="54">
        <v>4.5</v>
      </c>
      <c r="N34" s="54">
        <v>0</v>
      </c>
      <c r="O34" s="54"/>
      <c r="P34" s="54"/>
      <c r="Q34" s="52"/>
      <c r="R34" s="52"/>
      <c r="S34" s="55"/>
      <c r="T34" s="56" t="s">
        <v>805</v>
      </c>
    </row>
    <row r="35" customHeight="1" spans="1:20">
      <c r="A35" s="49"/>
      <c r="B35" s="49"/>
      <c r="C35" s="49"/>
      <c r="D35" s="49"/>
      <c r="E35" s="49"/>
      <c r="F35" s="50"/>
      <c r="G35" s="51">
        <v>32</v>
      </c>
      <c r="H35" s="51">
        <v>59</v>
      </c>
      <c r="I35" s="52" t="s">
        <v>451</v>
      </c>
      <c r="J35" s="53">
        <v>0</v>
      </c>
      <c r="K35" s="54">
        <v>0</v>
      </c>
      <c r="L35" s="52"/>
      <c r="M35" s="54">
        <v>3</v>
      </c>
      <c r="N35" s="54">
        <v>0</v>
      </c>
      <c r="O35" s="54"/>
      <c r="P35" s="54"/>
      <c r="Q35" s="52"/>
      <c r="R35" s="52"/>
      <c r="S35" s="55"/>
      <c r="T35" s="56" t="s">
        <v>725</v>
      </c>
    </row>
    <row r="36" customHeight="1" spans="1:20">
      <c r="G36" s="51">
        <v>33</v>
      </c>
      <c r="H36" s="51">
        <v>57</v>
      </c>
      <c r="I36" s="52" t="s">
        <v>447</v>
      </c>
      <c r="J36" s="53">
        <v>0</v>
      </c>
      <c r="K36" s="54">
        <v>0</v>
      </c>
      <c r="L36" s="52"/>
      <c r="M36" s="54">
        <v>7</v>
      </c>
      <c r="N36" s="54">
        <v>0</v>
      </c>
      <c r="O36" s="54"/>
      <c r="P36" s="54"/>
      <c r="Q36" s="52"/>
      <c r="R36" s="52"/>
      <c r="S36" s="55"/>
      <c r="T36" s="56" t="s">
        <v>806</v>
      </c>
    </row>
    <row r="37" customHeight="1" spans="1:20">
      <c r="A37" s="61"/>
      <c r="B37" s="61"/>
      <c r="C37" s="61"/>
      <c r="D37" s="61"/>
      <c r="E37" s="61"/>
      <c r="F37" s="61"/>
      <c r="G37" s="51">
        <v>34</v>
      </c>
      <c r="H37" s="51">
        <v>60</v>
      </c>
      <c r="I37" s="52" t="s">
        <v>254</v>
      </c>
      <c r="J37" s="53">
        <v>0</v>
      </c>
      <c r="K37" s="54">
        <v>0</v>
      </c>
      <c r="L37" s="52"/>
      <c r="M37" s="54">
        <v>0</v>
      </c>
      <c r="N37" s="54">
        <v>0</v>
      </c>
      <c r="O37" s="54"/>
      <c r="P37" s="54"/>
      <c r="Q37" s="52"/>
      <c r="R37" s="52"/>
      <c r="S37" s="55"/>
      <c r="T37" s="56"/>
    </row>
    <row r="38" customHeight="1" spans="1:20">
      <c r="A38" s="63"/>
      <c r="B38" s="63"/>
      <c r="C38" s="63"/>
      <c r="D38" s="63"/>
      <c r="E38" s="63"/>
      <c r="F38" s="63"/>
      <c r="G38" s="51">
        <v>35</v>
      </c>
      <c r="H38" s="51">
        <v>22</v>
      </c>
      <c r="I38" s="52" t="s">
        <v>270</v>
      </c>
      <c r="J38" s="53">
        <v>0</v>
      </c>
      <c r="K38" s="54">
        <v>0</v>
      </c>
      <c r="L38" s="52"/>
      <c r="M38" s="54">
        <v>0</v>
      </c>
      <c r="N38" s="54">
        <v>0</v>
      </c>
      <c r="O38" s="54"/>
      <c r="P38" s="54"/>
      <c r="Q38" s="52"/>
      <c r="R38" s="52"/>
      <c r="S38" s="55"/>
      <c r="T38" s="56"/>
    </row>
    <row r="39" customHeight="1" spans="1:20">
      <c r="A39" s="64"/>
      <c r="B39" s="64"/>
      <c r="C39" s="64"/>
      <c r="D39" s="64"/>
      <c r="E39" s="64"/>
      <c r="F39" s="64"/>
      <c r="G39" s="51">
        <v>36</v>
      </c>
      <c r="H39" s="51">
        <v>15</v>
      </c>
      <c r="I39" s="52" t="s">
        <v>531</v>
      </c>
      <c r="J39" s="53">
        <v>0</v>
      </c>
      <c r="K39" s="54">
        <v>0</v>
      </c>
      <c r="L39" s="52"/>
      <c r="M39" s="54">
        <v>0</v>
      </c>
      <c r="N39" s="54">
        <v>0</v>
      </c>
      <c r="O39" s="54"/>
      <c r="P39" s="54"/>
      <c r="Q39" s="52"/>
      <c r="R39" s="52"/>
      <c r="S39" s="55"/>
      <c r="T39" s="56"/>
    </row>
    <row r="40" customHeight="1" spans="1:20">
      <c r="G40" s="51">
        <v>37</v>
      </c>
      <c r="H40" s="51">
        <v>67</v>
      </c>
      <c r="I40" s="52" t="s">
        <v>542</v>
      </c>
      <c r="J40" s="53">
        <v>0</v>
      </c>
      <c r="K40" s="54">
        <v>0</v>
      </c>
      <c r="L40" s="52"/>
      <c r="M40" s="54">
        <v>0</v>
      </c>
      <c r="N40" s="54">
        <v>0</v>
      </c>
      <c r="O40" s="54"/>
      <c r="P40" s="54"/>
      <c r="Q40" s="52"/>
      <c r="R40" s="52"/>
      <c r="S40" s="55"/>
      <c r="T40" s="56" t="s">
        <v>807</v>
      </c>
    </row>
    <row r="41" customHeight="1" spans="1:20">
      <c r="A41" s="64"/>
      <c r="B41" s="64" t="s">
        <v>71</v>
      </c>
      <c r="C41" s="64" t="s">
        <v>71</v>
      </c>
      <c r="D41" s="64" t="s">
        <v>782</v>
      </c>
      <c r="E41" s="64" t="s">
        <v>422</v>
      </c>
      <c r="F41" s="64" t="s">
        <v>783</v>
      </c>
      <c r="G41" s="51">
        <v>38</v>
      </c>
      <c r="H41" s="51">
        <v>17</v>
      </c>
      <c r="I41" s="57" t="s">
        <v>547</v>
      </c>
      <c r="J41" s="53">
        <v>0</v>
      </c>
      <c r="K41" s="54">
        <v>0</v>
      </c>
      <c r="L41" s="52"/>
      <c r="M41" s="54">
        <v>0</v>
      </c>
      <c r="N41" s="54">
        <v>0</v>
      </c>
      <c r="O41" s="54"/>
      <c r="P41" s="54"/>
      <c r="Q41" s="52"/>
      <c r="R41" s="52"/>
      <c r="S41" s="55"/>
      <c r="T41" s="56" t="s">
        <v>808</v>
      </c>
    </row>
    <row r="42" customHeight="1" spans="1:20">
      <c r="A42" s="64"/>
      <c r="B42" s="64" t="s">
        <v>71</v>
      </c>
      <c r="C42" s="64" t="s">
        <v>71</v>
      </c>
      <c r="D42" s="64" t="s">
        <v>784</v>
      </c>
      <c r="E42" s="64" t="s">
        <v>422</v>
      </c>
      <c r="F42" s="64" t="s">
        <v>785</v>
      </c>
      <c r="G42" s="51">
        <v>39</v>
      </c>
      <c r="H42" s="51">
        <v>16</v>
      </c>
      <c r="I42" s="65" t="s">
        <v>533</v>
      </c>
      <c r="J42" s="53">
        <v>0</v>
      </c>
      <c r="K42" s="54">
        <v>0</v>
      </c>
      <c r="L42" s="52"/>
      <c r="M42" s="54">
        <v>0</v>
      </c>
      <c r="N42" s="54">
        <v>0</v>
      </c>
      <c r="O42" s="54"/>
      <c r="P42" s="54"/>
      <c r="Q42" s="52"/>
      <c r="R42" s="52"/>
      <c r="S42" s="55"/>
      <c r="T42" s="56" t="s">
        <v>738</v>
      </c>
    </row>
    <row r="43" customHeight="1" spans="1:20">
      <c r="A43" s="64"/>
      <c r="B43" s="64" t="s">
        <v>786</v>
      </c>
      <c r="C43" s="64" t="s">
        <v>60</v>
      </c>
      <c r="D43" s="64" t="s">
        <v>359</v>
      </c>
      <c r="E43" s="64" t="s">
        <v>422</v>
      </c>
      <c r="F43" s="64" t="s">
        <v>787</v>
      </c>
      <c r="G43" s="51">
        <v>40</v>
      </c>
      <c r="H43" s="51">
        <v>9</v>
      </c>
      <c r="I43" s="65" t="s">
        <v>553</v>
      </c>
      <c r="J43" s="53">
        <v>0</v>
      </c>
      <c r="K43" s="54">
        <v>0</v>
      </c>
      <c r="L43" s="52"/>
      <c r="M43" s="54">
        <v>0</v>
      </c>
      <c r="N43" s="54">
        <v>0</v>
      </c>
      <c r="O43" s="54"/>
      <c r="P43" s="54"/>
      <c r="Q43" s="52"/>
      <c r="R43" s="52"/>
      <c r="S43" s="55"/>
      <c r="T43" s="56"/>
    </row>
    <row r="44" customHeight="1" spans="1:20">
      <c r="A44" s="64"/>
      <c r="B44" s="64"/>
      <c r="C44" s="64"/>
      <c r="D44" s="64"/>
      <c r="E44" s="64"/>
      <c r="F44" s="64"/>
      <c r="G44" s="51">
        <v>41</v>
      </c>
      <c r="H44" s="51">
        <v>32</v>
      </c>
      <c r="I44" s="65" t="s">
        <v>545</v>
      </c>
      <c r="J44" s="53">
        <v>0</v>
      </c>
      <c r="K44" s="54">
        <v>0</v>
      </c>
      <c r="L44" s="52"/>
      <c r="M44" s="54">
        <v>0</v>
      </c>
      <c r="N44" s="54">
        <v>0</v>
      </c>
      <c r="O44" s="54"/>
      <c r="P44" s="54"/>
      <c r="Q44" s="52"/>
      <c r="R44" s="52"/>
      <c r="S44" s="55"/>
      <c r="T44" s="56" t="s">
        <v>807</v>
      </c>
    </row>
    <row r="45" customHeight="1" spans="1:20">
      <c r="A45" s="64"/>
      <c r="B45" s="64"/>
      <c r="C45" s="64"/>
      <c r="D45" s="64"/>
      <c r="E45" s="64"/>
      <c r="F45" s="64"/>
      <c r="G45" s="51">
        <v>42</v>
      </c>
      <c r="H45" s="51">
        <v>2</v>
      </c>
      <c r="I45" s="52" t="s">
        <v>528</v>
      </c>
      <c r="J45" s="53">
        <v>0</v>
      </c>
      <c r="K45" s="54">
        <v>0</v>
      </c>
      <c r="L45" s="52"/>
      <c r="M45" s="54">
        <v>0</v>
      </c>
      <c r="N45" s="54">
        <v>0</v>
      </c>
      <c r="O45" s="54"/>
      <c r="P45" s="54"/>
      <c r="Q45" s="52"/>
      <c r="R45" s="52"/>
      <c r="S45" s="55"/>
      <c r="T45" s="56" t="s">
        <v>809</v>
      </c>
    </row>
    <row r="46" customHeight="1" spans="1:20">
      <c r="A46" s="64"/>
      <c r="B46" s="64" t="s">
        <v>786</v>
      </c>
      <c r="C46" s="64" t="s">
        <v>64</v>
      </c>
      <c r="D46" s="64" t="s">
        <v>797</v>
      </c>
      <c r="E46" s="64" t="s">
        <v>596</v>
      </c>
      <c r="F46" s="64" t="s">
        <v>323</v>
      </c>
      <c r="G46" s="51">
        <v>43</v>
      </c>
      <c r="H46" s="51">
        <v>6</v>
      </c>
      <c r="I46" s="52" t="s">
        <v>352</v>
      </c>
      <c r="J46" s="53">
        <v>0</v>
      </c>
      <c r="K46" s="54">
        <v>0</v>
      </c>
      <c r="L46" s="52"/>
      <c r="M46" s="54">
        <v>4</v>
      </c>
      <c r="N46" s="54">
        <v>0</v>
      </c>
      <c r="O46" s="54"/>
      <c r="P46" s="54"/>
      <c r="Q46" s="52"/>
      <c r="R46" s="52"/>
      <c r="S46" s="55"/>
      <c r="T46" s="56" t="s">
        <v>810</v>
      </c>
    </row>
    <row r="47" customHeight="1" spans="1:20">
      <c r="A47" s="64"/>
      <c r="B47" s="64"/>
      <c r="C47" s="64"/>
      <c r="D47" s="64"/>
      <c r="E47" s="64"/>
      <c r="F47" s="64"/>
      <c r="G47" s="51">
        <v>44</v>
      </c>
      <c r="H47" s="51">
        <v>25</v>
      </c>
      <c r="I47" s="52" t="s">
        <v>525</v>
      </c>
      <c r="J47" s="53">
        <v>0</v>
      </c>
      <c r="K47" s="54">
        <v>0</v>
      </c>
      <c r="L47" s="52"/>
      <c r="M47" s="54">
        <v>1</v>
      </c>
      <c r="N47" s="54">
        <v>0</v>
      </c>
      <c r="O47" s="54"/>
      <c r="P47" s="54"/>
      <c r="Q47" s="52"/>
      <c r="R47" s="52"/>
      <c r="S47" s="55"/>
      <c r="T47" s="56" t="s">
        <v>726</v>
      </c>
    </row>
    <row r="48" customHeight="1" spans="1:20">
      <c r="A48" s="64"/>
      <c r="B48" s="64" t="s">
        <v>779</v>
      </c>
      <c r="C48" s="64" t="s">
        <v>71</v>
      </c>
      <c r="D48" s="64" t="s">
        <v>780</v>
      </c>
      <c r="E48" s="64" t="s">
        <v>582</v>
      </c>
      <c r="F48" s="64" t="s">
        <v>794</v>
      </c>
      <c r="G48" s="51">
        <v>45</v>
      </c>
      <c r="H48" s="51">
        <v>18</v>
      </c>
      <c r="I48" s="52" t="s">
        <v>557</v>
      </c>
      <c r="J48" s="53">
        <v>0</v>
      </c>
      <c r="K48" s="54">
        <v>0</v>
      </c>
      <c r="L48" s="52"/>
      <c r="M48" s="54">
        <v>0</v>
      </c>
      <c r="N48" s="54">
        <v>0</v>
      </c>
      <c r="O48" s="54"/>
      <c r="P48" s="54"/>
      <c r="Q48" s="52"/>
      <c r="R48" s="52"/>
      <c r="S48" s="55"/>
      <c r="T48" s="56"/>
    </row>
    <row r="49" customHeight="1" spans="1:20">
      <c r="A49" s="63"/>
      <c r="B49" s="63"/>
      <c r="C49" s="63"/>
      <c r="D49" s="63"/>
      <c r="E49" s="63"/>
      <c r="F49" s="63"/>
      <c r="G49" s="51">
        <v>46</v>
      </c>
      <c r="H49" s="51">
        <v>28</v>
      </c>
      <c r="I49" s="52" t="s">
        <v>378</v>
      </c>
      <c r="J49" s="53">
        <v>1</v>
      </c>
      <c r="K49" s="54">
        <v>1</v>
      </c>
      <c r="L49" s="52"/>
      <c r="M49" s="54">
        <v>1</v>
      </c>
      <c r="N49" s="54">
        <v>0</v>
      </c>
      <c r="O49" s="54"/>
      <c r="P49" s="54"/>
      <c r="Q49" s="52"/>
      <c r="R49" s="52"/>
      <c r="S49" s="55"/>
      <c r="T49" s="56" t="s">
        <v>811</v>
      </c>
    </row>
    <row r="50" customHeight="1" spans="1:20">
      <c r="A50" s="64"/>
      <c r="B50" s="64"/>
      <c r="C50" s="64"/>
      <c r="D50" s="64"/>
      <c r="E50" s="64"/>
      <c r="F50" s="64"/>
      <c r="G50" s="51">
        <v>47</v>
      </c>
      <c r="H50" s="51">
        <v>14</v>
      </c>
      <c r="I50" s="52" t="s">
        <v>520</v>
      </c>
      <c r="J50" s="53">
        <v>0</v>
      </c>
      <c r="K50" s="54">
        <v>0</v>
      </c>
      <c r="L50" s="52"/>
      <c r="M50" s="54">
        <v>0</v>
      </c>
      <c r="N50" s="54">
        <v>0</v>
      </c>
      <c r="O50" s="54"/>
      <c r="P50" s="54"/>
      <c r="Q50" s="52"/>
      <c r="R50" s="52"/>
      <c r="S50" s="55"/>
      <c r="T50" s="56"/>
    </row>
    <row r="51" customHeight="1" spans="1:20">
      <c r="A51" s="64"/>
      <c r="B51" s="64" t="s">
        <v>71</v>
      </c>
      <c r="C51" s="64" t="s">
        <v>71</v>
      </c>
      <c r="D51" s="64" t="s">
        <v>784</v>
      </c>
      <c r="E51" s="64" t="s">
        <v>270</v>
      </c>
      <c r="F51" s="64" t="s">
        <v>795</v>
      </c>
      <c r="G51" s="51">
        <v>48</v>
      </c>
      <c r="H51" s="51">
        <v>3</v>
      </c>
      <c r="I51" s="52" t="s">
        <v>392</v>
      </c>
      <c r="J51" s="53">
        <v>0</v>
      </c>
      <c r="K51" s="54">
        <v>0</v>
      </c>
      <c r="L51" s="52"/>
      <c r="M51" s="54">
        <v>2</v>
      </c>
      <c r="N51" s="54">
        <v>0</v>
      </c>
      <c r="O51" s="54"/>
      <c r="P51" s="54"/>
      <c r="Q51" s="52"/>
      <c r="R51" s="52"/>
      <c r="S51" s="55"/>
      <c r="T51" s="56" t="s">
        <v>730</v>
      </c>
    </row>
    <row r="52" customHeight="1" spans="1:20">
      <c r="A52" s="64"/>
      <c r="B52" s="64" t="s">
        <v>779</v>
      </c>
      <c r="C52" s="64" t="s">
        <v>73</v>
      </c>
      <c r="D52" s="64" t="s">
        <v>780</v>
      </c>
      <c r="E52" s="64" t="s">
        <v>582</v>
      </c>
      <c r="F52" s="64" t="s">
        <v>781</v>
      </c>
      <c r="G52" s="51">
        <v>49</v>
      </c>
      <c r="H52" s="51">
        <v>19</v>
      </c>
      <c r="I52" s="52" t="s">
        <v>383</v>
      </c>
      <c r="J52" s="53">
        <v>0</v>
      </c>
      <c r="K52" s="54">
        <v>0</v>
      </c>
      <c r="L52" s="52"/>
      <c r="M52" s="54">
        <v>0</v>
      </c>
      <c r="N52" s="54">
        <v>0</v>
      </c>
      <c r="O52" s="54"/>
      <c r="P52" s="54"/>
      <c r="Q52" s="52"/>
      <c r="R52" s="52"/>
      <c r="S52" s="55"/>
      <c r="T52" s="56"/>
    </row>
    <row r="53" customHeight="1" spans="1:20">
      <c r="A53" s="63"/>
      <c r="B53" s="63"/>
      <c r="C53" s="63"/>
      <c r="D53" s="63"/>
      <c r="E53" s="63"/>
      <c r="F53" s="63"/>
      <c r="G53" s="51">
        <v>50</v>
      </c>
      <c r="H53" s="51">
        <v>23</v>
      </c>
      <c r="I53" s="52" t="s">
        <v>385</v>
      </c>
      <c r="J53" s="53">
        <v>0</v>
      </c>
      <c r="K53" s="54">
        <v>0</v>
      </c>
      <c r="L53" s="52"/>
      <c r="M53" s="54">
        <v>0</v>
      </c>
      <c r="N53" s="54">
        <v>0</v>
      </c>
      <c r="O53" s="54"/>
      <c r="P53" s="54"/>
      <c r="Q53" s="52"/>
      <c r="R53" s="52"/>
      <c r="S53" s="55"/>
      <c r="T53" s="56"/>
    </row>
    <row r="54" customHeight="1" spans="1:20">
      <c r="A54" s="63"/>
      <c r="B54" s="63"/>
      <c r="C54" s="63"/>
      <c r="D54" s="63"/>
      <c r="E54" s="63"/>
      <c r="F54" s="63"/>
      <c r="G54" s="51">
        <v>51</v>
      </c>
      <c r="H54" s="51">
        <v>21</v>
      </c>
      <c r="I54" s="52" t="s">
        <v>569</v>
      </c>
      <c r="J54" s="53">
        <v>1.5</v>
      </c>
      <c r="K54" s="54">
        <v>0</v>
      </c>
      <c r="L54" s="52"/>
      <c r="M54" s="54">
        <v>0</v>
      </c>
      <c r="N54" s="54">
        <v>0</v>
      </c>
      <c r="O54" s="54"/>
      <c r="P54" s="54"/>
      <c r="Q54" s="52"/>
      <c r="R54" s="52"/>
      <c r="S54" s="55"/>
      <c r="T54" s="56" t="s">
        <v>812</v>
      </c>
    </row>
    <row r="55" customHeight="1" spans="1:20">
      <c r="A55" s="64"/>
      <c r="B55" s="64" t="s">
        <v>57</v>
      </c>
      <c r="C55" s="64" t="s">
        <v>57</v>
      </c>
      <c r="D55" s="64" t="s">
        <v>318</v>
      </c>
      <c r="E55" s="64" t="s">
        <v>796</v>
      </c>
      <c r="F55" s="64" t="s">
        <v>342</v>
      </c>
      <c r="G55" s="51">
        <v>52</v>
      </c>
      <c r="H55" s="51">
        <v>1</v>
      </c>
      <c r="I55" s="52" t="s">
        <v>455</v>
      </c>
      <c r="J55" s="53">
        <v>0</v>
      </c>
      <c r="K55" s="54">
        <v>0</v>
      </c>
      <c r="L55" s="52"/>
      <c r="M55" s="54">
        <v>1.5</v>
      </c>
      <c r="N55" s="54">
        <v>0</v>
      </c>
      <c r="O55" s="54"/>
      <c r="P55" s="54"/>
      <c r="Q55" s="52"/>
      <c r="R55" s="52"/>
      <c r="S55" s="55"/>
      <c r="T55" s="56" t="s">
        <v>813</v>
      </c>
    </row>
    <row r="56" customHeight="1" spans="1:20">
      <c r="A56" s="64"/>
      <c r="B56" s="64"/>
      <c r="C56" s="64"/>
      <c r="D56" s="64"/>
      <c r="E56" s="64"/>
      <c r="F56" s="64"/>
      <c r="G56" s="51">
        <v>53</v>
      </c>
      <c r="H56" s="51">
        <v>4</v>
      </c>
      <c r="I56" s="52" t="s">
        <v>345</v>
      </c>
      <c r="J56" s="53">
        <v>0</v>
      </c>
      <c r="K56" s="54">
        <v>0</v>
      </c>
      <c r="L56" s="52"/>
      <c r="M56" s="54">
        <v>1</v>
      </c>
      <c r="N56" s="54">
        <v>2</v>
      </c>
      <c r="O56" s="54"/>
      <c r="P56" s="54"/>
      <c r="Q56" s="52"/>
      <c r="R56" s="52"/>
      <c r="S56" s="55"/>
      <c r="T56" s="56" t="s">
        <v>814</v>
      </c>
    </row>
    <row r="57" customHeight="1" spans="1:20">
      <c r="A57" s="64"/>
      <c r="B57" s="64"/>
      <c r="C57" s="64"/>
      <c r="D57" s="64"/>
      <c r="E57" s="64"/>
      <c r="F57" s="64"/>
      <c r="G57" s="51">
        <v>54</v>
      </c>
      <c r="H57" s="51">
        <v>11</v>
      </c>
      <c r="I57" s="66" t="s">
        <v>347</v>
      </c>
      <c r="J57" s="53">
        <v>0</v>
      </c>
      <c r="K57" s="54">
        <v>0</v>
      </c>
      <c r="L57" s="52"/>
      <c r="M57" s="54">
        <v>0</v>
      </c>
      <c r="N57" s="54">
        <v>7</v>
      </c>
      <c r="O57" s="54"/>
      <c r="P57" s="54"/>
      <c r="Q57" s="52"/>
      <c r="R57" s="52"/>
      <c r="S57" s="55"/>
      <c r="T57" s="56" t="s">
        <v>815</v>
      </c>
    </row>
    <row r="58" customHeight="1" spans="1:20">
      <c r="A58" s="64"/>
      <c r="B58" s="64" t="s">
        <v>788</v>
      </c>
      <c r="C58" s="64" t="s">
        <v>57</v>
      </c>
      <c r="D58" s="64" t="s">
        <v>789</v>
      </c>
      <c r="E58" s="64" t="s">
        <v>790</v>
      </c>
      <c r="F58" s="64" t="s">
        <v>791</v>
      </c>
      <c r="G58" s="51">
        <v>55</v>
      </c>
      <c r="H58" s="51">
        <v>7</v>
      </c>
      <c r="I58" s="66" t="s">
        <v>458</v>
      </c>
      <c r="J58" s="53">
        <v>0</v>
      </c>
      <c r="K58" s="54">
        <v>0</v>
      </c>
      <c r="L58" s="52"/>
      <c r="M58" s="54">
        <v>2</v>
      </c>
      <c r="N58" s="54">
        <v>0</v>
      </c>
      <c r="O58" s="54"/>
      <c r="P58" s="54"/>
      <c r="Q58" s="52"/>
      <c r="R58" s="52"/>
      <c r="S58" s="55"/>
      <c r="T58" s="56" t="s">
        <v>816</v>
      </c>
    </row>
    <row r="59" customHeight="1" spans="1:20">
      <c r="A59" s="64"/>
      <c r="B59" s="64"/>
      <c r="C59" s="64"/>
      <c r="D59" s="64"/>
      <c r="E59" s="64"/>
      <c r="F59" s="64"/>
      <c r="G59" s="51">
        <v>56</v>
      </c>
      <c r="H59" s="51">
        <v>26</v>
      </c>
      <c r="I59" s="52" t="s">
        <v>380</v>
      </c>
      <c r="J59" s="53">
        <v>0</v>
      </c>
      <c r="K59" s="54">
        <v>0</v>
      </c>
      <c r="L59" s="52"/>
      <c r="M59" s="54">
        <v>0</v>
      </c>
      <c r="N59" s="54">
        <v>0</v>
      </c>
      <c r="O59" s="54"/>
      <c r="P59" s="54"/>
      <c r="Q59" s="52"/>
      <c r="R59" s="52"/>
      <c r="S59" s="55"/>
      <c r="T59" s="56"/>
    </row>
    <row r="60" customHeight="1" spans="1:20">
      <c r="G60" s="51">
        <v>57</v>
      </c>
      <c r="H60" s="51">
        <v>35</v>
      </c>
      <c r="I60" s="67" t="s">
        <v>577</v>
      </c>
      <c r="J60" s="53">
        <v>0</v>
      </c>
      <c r="K60" s="54">
        <v>0</v>
      </c>
      <c r="L60" s="52"/>
      <c r="M60" s="54">
        <v>0</v>
      </c>
      <c r="N60" s="54">
        <v>0</v>
      </c>
      <c r="O60" s="54"/>
      <c r="P60" s="54"/>
      <c r="Q60" s="52"/>
      <c r="R60" s="52"/>
      <c r="S60" s="55"/>
      <c r="T60" s="56" t="s">
        <v>817</v>
      </c>
    </row>
    <row r="61" customHeight="1" spans="1:20">
      <c r="G61" s="51">
        <v>58</v>
      </c>
      <c r="H61" s="51">
        <v>37</v>
      </c>
      <c r="I61" s="67" t="s">
        <v>464</v>
      </c>
      <c r="J61" s="53">
        <v>0</v>
      </c>
      <c r="K61" s="54">
        <v>0</v>
      </c>
      <c r="L61" s="52"/>
      <c r="M61" s="54">
        <v>0</v>
      </c>
      <c r="N61" s="54">
        <v>0</v>
      </c>
      <c r="O61" s="54"/>
      <c r="P61" s="54"/>
      <c r="Q61" s="52"/>
      <c r="R61" s="52"/>
      <c r="S61" s="55"/>
      <c r="T61" s="56" t="s">
        <v>818</v>
      </c>
    </row>
    <row r="62" customHeight="1" spans="1:20">
      <c r="G62" s="51">
        <v>59</v>
      </c>
      <c r="H62" s="51">
        <v>33</v>
      </c>
      <c r="I62" s="67" t="s">
        <v>573</v>
      </c>
      <c r="J62" s="53">
        <v>0</v>
      </c>
      <c r="K62" s="54">
        <v>0</v>
      </c>
      <c r="L62" s="52"/>
      <c r="M62" s="54">
        <v>0</v>
      </c>
      <c r="N62" s="54">
        <v>0</v>
      </c>
      <c r="O62" s="54"/>
      <c r="P62" s="54"/>
      <c r="Q62" s="52"/>
      <c r="R62" s="52"/>
      <c r="S62" s="55"/>
      <c r="T62" s="56"/>
    </row>
    <row r="63" customHeight="1" spans="1:20">
      <c r="A63" s="63"/>
      <c r="B63" s="63"/>
      <c r="C63" s="63"/>
      <c r="D63" s="63"/>
      <c r="E63" s="63"/>
      <c r="F63" s="63"/>
      <c r="G63" s="51">
        <v>60</v>
      </c>
      <c r="H63" s="51">
        <v>20</v>
      </c>
      <c r="I63" s="52" t="s">
        <v>381</v>
      </c>
      <c r="J63" s="53">
        <v>0</v>
      </c>
      <c r="K63" s="54">
        <v>0</v>
      </c>
      <c r="L63" s="52"/>
      <c r="M63" s="54">
        <v>2</v>
      </c>
      <c r="N63" s="54">
        <v>0</v>
      </c>
      <c r="O63" s="54"/>
      <c r="P63" s="54"/>
      <c r="Q63" s="52"/>
      <c r="R63" s="52"/>
      <c r="S63" s="55"/>
      <c r="T63" s="56" t="s">
        <v>730</v>
      </c>
    </row>
    <row r="64" customHeight="1" spans="1:20">
      <c r="G64" s="51">
        <v>61</v>
      </c>
      <c r="H64" s="51">
        <v>38</v>
      </c>
      <c r="I64" s="67" t="s">
        <v>471</v>
      </c>
      <c r="J64" s="53">
        <v>0</v>
      </c>
      <c r="K64" s="54">
        <v>0</v>
      </c>
      <c r="L64" s="52"/>
      <c r="M64" s="54">
        <v>0</v>
      </c>
      <c r="N64" s="54">
        <v>0</v>
      </c>
      <c r="O64" s="54"/>
      <c r="P64" s="54"/>
      <c r="Q64" s="52"/>
      <c r="R64" s="52"/>
      <c r="S64" s="55"/>
      <c r="T64" s="56" t="s">
        <v>817</v>
      </c>
    </row>
    <row r="65" customHeight="1" spans="1:20">
      <c r="G65" s="51">
        <v>62</v>
      </c>
      <c r="H65" s="51">
        <v>36</v>
      </c>
      <c r="I65" s="67" t="s">
        <v>555</v>
      </c>
      <c r="J65" s="53">
        <v>0</v>
      </c>
      <c r="K65" s="54">
        <v>0</v>
      </c>
      <c r="L65" s="52"/>
      <c r="M65" s="54">
        <v>0</v>
      </c>
      <c r="N65" s="54">
        <v>0</v>
      </c>
      <c r="O65" s="54"/>
      <c r="P65" s="54"/>
      <c r="Q65" s="52"/>
      <c r="R65" s="52"/>
      <c r="S65" s="55"/>
      <c r="T65" s="56" t="s">
        <v>817</v>
      </c>
    </row>
    <row r="66" customHeight="1" spans="1:20">
      <c r="G66" s="51">
        <v>63</v>
      </c>
      <c r="H66" s="51">
        <v>71</v>
      </c>
      <c r="I66" s="68" t="s">
        <v>575</v>
      </c>
      <c r="J66" s="53">
        <v>0</v>
      </c>
      <c r="K66" s="54">
        <v>1</v>
      </c>
      <c r="L66" s="52"/>
      <c r="M66" s="54">
        <v>0</v>
      </c>
      <c r="N66" s="54">
        <v>0</v>
      </c>
      <c r="O66" s="54"/>
      <c r="P66" s="54"/>
      <c r="Q66" s="52"/>
      <c r="R66" s="52"/>
      <c r="S66" s="55"/>
      <c r="T66" s="56" t="s">
        <v>819</v>
      </c>
    </row>
    <row r="67" customHeight="1" spans="1:20">
      <c r="G67" s="51">
        <v>64</v>
      </c>
      <c r="H67" s="51">
        <v>39</v>
      </c>
      <c r="I67" s="67" t="s">
        <v>467</v>
      </c>
      <c r="J67" s="53">
        <v>0</v>
      </c>
      <c r="K67" s="54">
        <v>0</v>
      </c>
      <c r="L67" s="52"/>
      <c r="M67" s="54">
        <v>0</v>
      </c>
      <c r="N67" s="54">
        <v>0</v>
      </c>
      <c r="O67" s="54"/>
      <c r="P67" s="54"/>
      <c r="Q67" s="52"/>
      <c r="R67" s="52"/>
      <c r="S67" s="55"/>
      <c r="T67" s="56" t="s">
        <v>817</v>
      </c>
    </row>
    <row r="68" customHeight="1" spans="1:20">
      <c r="G68" s="51">
        <v>65</v>
      </c>
      <c r="H68" s="51">
        <v>40</v>
      </c>
      <c r="I68" s="67" t="s">
        <v>469</v>
      </c>
      <c r="J68" s="53">
        <v>0</v>
      </c>
      <c r="K68" s="54">
        <v>0</v>
      </c>
      <c r="L68" s="52"/>
      <c r="M68" s="54">
        <v>0</v>
      </c>
      <c r="N68" s="54">
        <v>0</v>
      </c>
      <c r="O68" s="54"/>
      <c r="P68" s="54"/>
      <c r="Q68" s="52"/>
      <c r="R68" s="52"/>
      <c r="S68" s="55"/>
      <c r="T68" s="56" t="s">
        <v>817</v>
      </c>
    </row>
    <row r="69" customHeight="1" spans="1:20">
      <c r="G69" s="51">
        <v>66</v>
      </c>
      <c r="H69" s="51">
        <v>34</v>
      </c>
      <c r="I69" s="67" t="s">
        <v>571</v>
      </c>
      <c r="J69" s="53">
        <v>0</v>
      </c>
      <c r="K69" s="54">
        <v>0</v>
      </c>
      <c r="L69" s="52"/>
      <c r="M69" s="54">
        <v>0</v>
      </c>
      <c r="N69" s="54">
        <v>0</v>
      </c>
      <c r="O69" s="54"/>
      <c r="P69" s="54"/>
      <c r="Q69" s="52"/>
      <c r="R69" s="52"/>
      <c r="S69" s="55"/>
      <c r="T69" s="56" t="s">
        <v>820</v>
      </c>
    </row>
    <row r="70" customHeight="1" spans="1:20">
      <c r="G70" s="51">
        <v>67</v>
      </c>
      <c r="H70" s="51">
        <v>72</v>
      </c>
      <c r="I70" s="68" t="s">
        <v>576</v>
      </c>
      <c r="J70" s="53">
        <v>0</v>
      </c>
      <c r="K70" s="54">
        <v>0</v>
      </c>
      <c r="L70" s="52"/>
      <c r="M70" s="54">
        <v>0</v>
      </c>
      <c r="N70" s="54">
        <v>0</v>
      </c>
      <c r="O70" s="54"/>
      <c r="P70" s="54"/>
      <c r="Q70" s="52"/>
      <c r="R70" s="52"/>
      <c r="S70" s="55" t="s">
        <v>821</v>
      </c>
      <c r="T70" s="56" t="s">
        <v>822</v>
      </c>
    </row>
    <row r="71" customHeight="1" spans="1:20">
      <c r="A71" s="64"/>
      <c r="B71" s="64"/>
      <c r="C71" s="64"/>
      <c r="D71" s="64"/>
      <c r="E71" s="64"/>
      <c r="F71" s="64"/>
      <c r="G71" s="51">
        <v>68</v>
      </c>
      <c r="H71" s="51">
        <v>10</v>
      </c>
      <c r="I71" s="52" t="s">
        <v>436</v>
      </c>
      <c r="J71" s="53">
        <v>0</v>
      </c>
      <c r="K71" s="54">
        <v>0</v>
      </c>
      <c r="L71" s="52"/>
      <c r="M71" s="54">
        <v>0</v>
      </c>
      <c r="N71" s="54">
        <v>0</v>
      </c>
      <c r="O71" s="54"/>
      <c r="P71" s="54"/>
      <c r="Q71" s="52"/>
      <c r="R71" s="52"/>
      <c r="S71" s="55"/>
      <c r="T71" s="56" t="s">
        <v>807</v>
      </c>
    </row>
    <row r="72" customHeight="1" spans="1:20">
      <c r="A72" s="64"/>
      <c r="B72" s="64"/>
      <c r="C72" s="64"/>
      <c r="D72" s="64"/>
      <c r="E72" s="64"/>
      <c r="F72" s="64"/>
      <c r="G72" s="51">
        <v>69</v>
      </c>
      <c r="H72" s="51">
        <v>31</v>
      </c>
      <c r="I72" s="52" t="s">
        <v>549</v>
      </c>
      <c r="J72" s="53">
        <v>0</v>
      </c>
      <c r="K72" s="54">
        <v>0</v>
      </c>
      <c r="L72" s="52"/>
      <c r="M72" s="54">
        <v>0</v>
      </c>
      <c r="N72" s="54">
        <v>2</v>
      </c>
      <c r="O72" s="54"/>
      <c r="P72" s="54"/>
      <c r="Q72" s="52"/>
      <c r="R72" s="52"/>
      <c r="S72" s="55"/>
      <c r="T72" s="56" t="s">
        <v>823</v>
      </c>
    </row>
    <row r="73" customHeight="1" spans="1:20">
      <c r="A73" s="64"/>
      <c r="B73" s="64"/>
      <c r="C73" s="64"/>
      <c r="D73" s="64"/>
      <c r="E73" s="64"/>
      <c r="F73" s="64"/>
      <c r="G73" s="51">
        <v>70</v>
      </c>
      <c r="H73" s="51">
        <v>66</v>
      </c>
      <c r="I73" s="69" t="s">
        <v>477</v>
      </c>
      <c r="J73" s="53">
        <v>0</v>
      </c>
      <c r="K73" s="54">
        <v>0</v>
      </c>
      <c r="L73" s="52"/>
      <c r="M73" s="54">
        <v>0</v>
      </c>
      <c r="N73" s="54">
        <v>0</v>
      </c>
      <c r="O73" s="54"/>
      <c r="P73" s="54"/>
      <c r="Q73" s="52"/>
      <c r="R73" s="52"/>
      <c r="S73" s="55"/>
      <c r="T73" s="56" t="s">
        <v>807</v>
      </c>
    </row>
    <row r="74" customHeight="1" spans="1:20">
      <c r="G74" s="51">
        <v>71</v>
      </c>
      <c r="H74" s="51">
        <v>68</v>
      </c>
      <c r="I74" s="70" t="s">
        <v>481</v>
      </c>
      <c r="J74" s="53">
        <v>0</v>
      </c>
      <c r="K74" s="54">
        <v>0</v>
      </c>
      <c r="L74" s="52"/>
      <c r="M74" s="54">
        <v>0</v>
      </c>
      <c r="N74" s="54">
        <v>0</v>
      </c>
      <c r="O74" s="54"/>
      <c r="P74" s="54"/>
      <c r="Q74" s="52"/>
      <c r="R74" s="52"/>
      <c r="S74" s="71"/>
      <c r="T74" s="56" t="s">
        <v>807</v>
      </c>
    </row>
    <row r="75" customHeight="1" spans="1:20">
      <c r="G75" s="51">
        <v>72</v>
      </c>
      <c r="H75" s="51">
        <v>65</v>
      </c>
      <c r="I75" s="70" t="s">
        <v>479</v>
      </c>
      <c r="J75" s="53">
        <v>0</v>
      </c>
      <c r="K75" s="54">
        <v>1</v>
      </c>
      <c r="L75" s="52"/>
      <c r="M75" s="54">
        <v>0</v>
      </c>
      <c r="N75" s="54">
        <v>0</v>
      </c>
      <c r="O75" s="54"/>
      <c r="P75" s="54"/>
      <c r="Q75" s="52"/>
      <c r="R75" s="52"/>
      <c r="S75" s="55"/>
      <c r="T75" s="56" t="s">
        <v>824</v>
      </c>
    </row>
    <row r="76" s="28" customFormat="1" customHeight="1" spans="1:20">
      <c r="A76" s="64"/>
      <c r="B76" s="64"/>
      <c r="C76" s="64"/>
      <c r="D76" s="64"/>
      <c r="E76" s="64"/>
      <c r="F76" s="64"/>
      <c r="G76" s="51">
        <v>73</v>
      </c>
      <c r="H76" s="51">
        <v>64</v>
      </c>
      <c r="I76" s="69" t="s">
        <v>474</v>
      </c>
      <c r="J76" s="53">
        <v>0</v>
      </c>
      <c r="K76" s="54">
        <v>0</v>
      </c>
      <c r="L76" s="52"/>
      <c r="M76" s="54">
        <v>0</v>
      </c>
      <c r="N76" s="54">
        <v>0</v>
      </c>
      <c r="O76" s="54"/>
      <c r="P76" s="54"/>
      <c r="Q76" s="52"/>
      <c r="R76" s="52"/>
      <c r="S76" s="55"/>
      <c r="T76" s="56" t="s">
        <v>807</v>
      </c>
    </row>
    <row r="77" customHeight="1" spans="1:20">
      <c r="A77" s="63"/>
      <c r="B77" s="63"/>
      <c r="C77" s="63"/>
      <c r="D77" s="63"/>
      <c r="E77" s="63"/>
      <c r="F77" s="63"/>
      <c r="G77" s="51">
        <v>74</v>
      </c>
      <c r="H77" s="51">
        <v>29</v>
      </c>
      <c r="I77" s="72" t="s">
        <v>438</v>
      </c>
      <c r="J77" s="53">
        <v>0</v>
      </c>
      <c r="K77" s="54">
        <v>0</v>
      </c>
      <c r="L77" s="52"/>
      <c r="M77" s="54">
        <v>0</v>
      </c>
      <c r="N77" s="54">
        <v>0</v>
      </c>
      <c r="O77" s="54"/>
      <c r="P77" s="54"/>
      <c r="Q77" s="52"/>
      <c r="R77" s="52"/>
      <c r="S77" s="55"/>
      <c r="T77" s="56" t="s">
        <v>738</v>
      </c>
    </row>
    <row r="78" customHeight="1" spans="1:20">
      <c r="S78" s="73"/>
    </row>
    <row r="79" customHeight="1" spans="1:20">
      <c r="S79" s="73"/>
    </row>
  </sheetData>
  <autoFilter xmlns:etc="http://www.wps.cn/officeDocument/2017/etCustomData" ref="A3:T77" etc:filterBottomFollowUsedRange="0">
    <extLst/>
  </autoFilter>
  <mergeCells count="1">
    <mergeCell ref="M2:N2"/>
  </mergeCells>
  <pageMargins left="0.75" right="0.75" top="1" bottom="1" header="0.51" footer="0.51"/>
  <pageSetup paperSize="9" orientation="portrait"/>
  <headerFooter alignWithMargins="0" scaleWithDoc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G4" sqref="G4:G14"/>
    </sheetView>
  </sheetViews>
  <sheetFormatPr defaultColWidth="7.74166666666667" defaultRowHeight="16.8" outlineLevelCol="6"/>
  <cols>
    <col min="1" max="1" width="3.76666666666667" style="12" customWidth="1"/>
    <col min="2" max="2" width="3.55" style="12" hidden="1" customWidth="1"/>
    <col min="3" max="3" width="15.4916666666667" style="12" customWidth="1"/>
    <col min="4" max="4" width="9.9" style="12" customWidth="1"/>
    <col min="5" max="7" width="10.65" style="13" customWidth="1"/>
    <col min="8" max="16384" width="7.74166666666667" style="12"/>
  </cols>
  <sheetData>
    <row r="1" s="12" customFormat="1" ht="41" customHeight="1" spans="1:7">
      <c r="A1" s="14" t="s">
        <v>825</v>
      </c>
      <c r="B1" s="14"/>
      <c r="C1" s="14"/>
      <c r="D1" s="14"/>
      <c r="E1" s="14"/>
      <c r="F1" s="14"/>
      <c r="G1" s="14"/>
    </row>
    <row r="2" s="12" customFormat="1" ht="24" customHeight="1" spans="1:7">
      <c r="A2" s="15" t="s">
        <v>826</v>
      </c>
      <c r="B2" s="15" t="s">
        <v>827</v>
      </c>
      <c r="C2" s="15" t="s">
        <v>828</v>
      </c>
      <c r="D2" s="15" t="s">
        <v>829</v>
      </c>
      <c r="E2" s="16" t="s">
        <v>830</v>
      </c>
      <c r="F2" s="16" t="s">
        <v>831</v>
      </c>
      <c r="G2" s="16" t="s">
        <v>585</v>
      </c>
    </row>
    <row r="3" s="12" customFormat="1" ht="24" customHeight="1" spans="1:7">
      <c r="A3" s="17">
        <v>1</v>
      </c>
      <c r="B3" s="18">
        <v>1</v>
      </c>
      <c r="C3" s="19" t="s">
        <v>832</v>
      </c>
      <c r="D3" s="20" t="s">
        <v>446</v>
      </c>
      <c r="E3" s="21">
        <v>0</v>
      </c>
      <c r="F3" s="21">
        <v>3000</v>
      </c>
      <c r="G3" s="21">
        <v>3000</v>
      </c>
    </row>
    <row r="4" s="12" customFormat="1" ht="24" customHeight="1" spans="1:7">
      <c r="A4" s="17">
        <v>2</v>
      </c>
      <c r="B4" s="18">
        <v>73</v>
      </c>
      <c r="C4" s="19" t="s">
        <v>833</v>
      </c>
      <c r="D4" s="20" t="s">
        <v>447</v>
      </c>
      <c r="E4" s="21">
        <v>5460</v>
      </c>
      <c r="F4" s="21">
        <v>4000</v>
      </c>
      <c r="G4" s="21">
        <v>9460</v>
      </c>
    </row>
    <row r="5" s="12" customFormat="1" ht="24" customHeight="1" spans="1:7">
      <c r="A5" s="17">
        <v>3</v>
      </c>
      <c r="B5" s="18">
        <v>74</v>
      </c>
      <c r="C5" s="19" t="s">
        <v>834</v>
      </c>
      <c r="D5" s="20" t="s">
        <v>447</v>
      </c>
      <c r="E5" s="21">
        <v>2740</v>
      </c>
      <c r="F5" s="21">
        <v>3000</v>
      </c>
      <c r="G5" s="21">
        <v>5740</v>
      </c>
    </row>
    <row r="6" s="12" customFormat="1" ht="24" customHeight="1" spans="1:7">
      <c r="A6" s="17">
        <v>4</v>
      </c>
      <c r="B6" s="18">
        <v>75</v>
      </c>
      <c r="C6" s="19" t="s">
        <v>835</v>
      </c>
      <c r="D6" s="20" t="s">
        <v>447</v>
      </c>
      <c r="E6" s="21">
        <v>13480</v>
      </c>
      <c r="F6" s="21">
        <v>3000</v>
      </c>
      <c r="G6" s="21">
        <v>16480</v>
      </c>
    </row>
    <row r="7" s="12" customFormat="1" ht="24" customHeight="1" spans="1:7">
      <c r="A7" s="17">
        <v>5</v>
      </c>
      <c r="B7" s="18">
        <v>67</v>
      </c>
      <c r="C7" s="19" t="s">
        <v>836</v>
      </c>
      <c r="D7" s="20" t="s">
        <v>447</v>
      </c>
      <c r="E7" s="21">
        <v>0</v>
      </c>
      <c r="F7" s="21">
        <v>3000</v>
      </c>
      <c r="G7" s="21">
        <v>3000</v>
      </c>
    </row>
    <row r="8" s="12" customFormat="1" ht="24" customHeight="1" spans="1:7">
      <c r="A8" s="17">
        <v>6</v>
      </c>
      <c r="B8" s="18">
        <v>76</v>
      </c>
      <c r="C8" s="19" t="s">
        <v>837</v>
      </c>
      <c r="D8" s="20" t="s">
        <v>447</v>
      </c>
      <c r="E8" s="21">
        <v>150</v>
      </c>
      <c r="F8" s="21">
        <v>0</v>
      </c>
      <c r="G8" s="21">
        <v>150</v>
      </c>
    </row>
    <row r="9" s="12" customFormat="1" ht="24" customHeight="1" spans="1:7">
      <c r="A9" s="17">
        <v>7</v>
      </c>
      <c r="B9" s="18">
        <v>44</v>
      </c>
      <c r="C9" s="19" t="s">
        <v>838</v>
      </c>
      <c r="D9" s="20" t="s">
        <v>447</v>
      </c>
      <c r="E9" s="21">
        <v>150</v>
      </c>
      <c r="F9" s="21">
        <v>0</v>
      </c>
      <c r="G9" s="21">
        <v>150</v>
      </c>
    </row>
    <row r="10" s="12" customFormat="1" ht="24" customHeight="1" spans="1:7">
      <c r="A10" s="17">
        <v>8</v>
      </c>
      <c r="B10" s="18">
        <v>58</v>
      </c>
      <c r="C10" s="19" t="s">
        <v>839</v>
      </c>
      <c r="D10" s="20" t="s">
        <v>447</v>
      </c>
      <c r="E10" s="21">
        <v>3400</v>
      </c>
      <c r="F10" s="21">
        <v>4000</v>
      </c>
      <c r="G10" s="21">
        <v>7400</v>
      </c>
    </row>
    <row r="11" s="12" customFormat="1" ht="24" customHeight="1" spans="1:7">
      <c r="A11" s="17">
        <v>9</v>
      </c>
      <c r="B11" s="18">
        <v>71</v>
      </c>
      <c r="C11" s="19" t="s">
        <v>840</v>
      </c>
      <c r="D11" s="20" t="s">
        <v>447</v>
      </c>
      <c r="E11" s="21">
        <v>480</v>
      </c>
      <c r="F11" s="21">
        <v>0</v>
      </c>
      <c r="G11" s="21">
        <v>480</v>
      </c>
    </row>
    <row r="12" s="12" customFormat="1" ht="24" customHeight="1" spans="1:7">
      <c r="A12" s="17">
        <v>10</v>
      </c>
      <c r="B12" s="18">
        <v>52</v>
      </c>
      <c r="C12" s="19" t="s">
        <v>841</v>
      </c>
      <c r="D12" s="20" t="s">
        <v>447</v>
      </c>
      <c r="E12" s="21">
        <v>240</v>
      </c>
      <c r="F12" s="21">
        <v>0</v>
      </c>
      <c r="G12" s="21">
        <v>240</v>
      </c>
    </row>
    <row r="13" s="12" customFormat="1" ht="24" customHeight="1" spans="1:7">
      <c r="A13" s="17">
        <v>11</v>
      </c>
      <c r="B13" s="18">
        <v>78</v>
      </c>
      <c r="C13" s="19" t="s">
        <v>842</v>
      </c>
      <c r="D13" s="20" t="s">
        <v>447</v>
      </c>
      <c r="E13" s="21">
        <v>250</v>
      </c>
      <c r="F13" s="21">
        <v>0</v>
      </c>
      <c r="G13" s="21">
        <v>250</v>
      </c>
    </row>
    <row r="14" s="12" customFormat="1" ht="24" customHeight="1" spans="1:7">
      <c r="A14" s="17">
        <v>12</v>
      </c>
      <c r="B14" s="18">
        <v>80</v>
      </c>
      <c r="C14" s="19" t="s">
        <v>843</v>
      </c>
      <c r="D14" s="20" t="s">
        <v>447</v>
      </c>
      <c r="E14" s="21">
        <v>170</v>
      </c>
      <c r="F14" s="21">
        <v>0</v>
      </c>
      <c r="G14" s="21">
        <v>170</v>
      </c>
    </row>
    <row r="15" s="12" customFormat="1" ht="24" customHeight="1" spans="1:7">
      <c r="A15" s="17">
        <v>13</v>
      </c>
      <c r="B15" s="18">
        <v>46</v>
      </c>
      <c r="C15" s="19" t="s">
        <v>844</v>
      </c>
      <c r="D15" s="20"/>
      <c r="E15" s="21">
        <v>60</v>
      </c>
      <c r="F15" s="21"/>
      <c r="G15" s="21">
        <v>60</v>
      </c>
    </row>
    <row r="16" s="12" customFormat="1" ht="24" customHeight="1" spans="1:7">
      <c r="A16" s="17">
        <v>14</v>
      </c>
      <c r="B16" s="18">
        <v>72</v>
      </c>
      <c r="C16" s="19" t="s">
        <v>845</v>
      </c>
      <c r="D16" s="20"/>
      <c r="E16" s="21">
        <v>680</v>
      </c>
      <c r="F16" s="21"/>
      <c r="G16" s="21">
        <v>680</v>
      </c>
    </row>
    <row r="17" s="12" customFormat="1" ht="24" customHeight="1" spans="1:7">
      <c r="A17" s="22"/>
      <c r="B17" s="22"/>
      <c r="C17" s="15" t="s">
        <v>585</v>
      </c>
      <c r="D17" s="15"/>
      <c r="E17" s="16">
        <f t="shared" ref="E17:G17" si="0">SUM(E3:E16)</f>
        <v>27260</v>
      </c>
      <c r="F17" s="16">
        <f t="shared" si="0"/>
        <v>20000</v>
      </c>
      <c r="G17" s="16">
        <f t="shared" si="0"/>
        <v>47260</v>
      </c>
    </row>
    <row r="18" s="12" customFormat="1" ht="20.25" customHeight="1" spans="1:7">
      <c r="E18" s="13"/>
      <c r="F18" s="13"/>
      <c r="G18" s="13"/>
    </row>
    <row r="19" s="12" customFormat="1" ht="20.25" customHeight="1" spans="1:7">
      <c r="C19" s="23" t="s">
        <v>846</v>
      </c>
      <c r="D19" s="24"/>
      <c r="E19" s="24"/>
      <c r="F19" s="24"/>
      <c r="G19" s="25"/>
    </row>
  </sheetData>
  <autoFilter xmlns:etc="http://www.wps.cn/officeDocument/2017/etCustomData" ref="A2:G17" etc:filterBottomFollowUsedRange="0">
    <extLst/>
  </autoFilter>
  <mergeCells count="1">
    <mergeCell ref="A1:G1"/>
  </mergeCells>
  <conditionalFormatting sqref="B14">
    <cfRule type="duplicateValues" dxfId="15" priority="2"/>
  </conditionalFormatting>
  <conditionalFormatting sqref="B17">
    <cfRule type="duplicateValues" dxfId="15" priority="5"/>
  </conditionalFormatting>
  <conditionalFormatting sqref="C19:F19">
    <cfRule type="duplicateValues" dxfId="15" priority="1"/>
  </conditionalFormatting>
  <conditionalFormatting sqref="B18:B1048576">
    <cfRule type="duplicateValues" dxfId="15" priority="6"/>
  </conditionalFormatting>
  <conditionalFormatting sqref="A1 B2:B3 B9:B13">
    <cfRule type="duplicateValues" dxfId="15" priority="3"/>
  </conditionalFormatting>
  <conditionalFormatting sqref="B4:B8 B15:B16">
    <cfRule type="duplicateValues" dxfId="15" priority="4"/>
  </conditionalFormatting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M28"/>
  <sheetViews>
    <sheetView topLeftCell="C1" workbookViewId="0">
      <selection activeCell="B4" sqref="B4:H27"/>
    </sheetView>
  </sheetViews>
  <sheetFormatPr defaultColWidth="9" defaultRowHeight="17.6"/>
  <cols>
    <col min="1" max="1" width="21.625" customWidth="1"/>
    <col min="2" max="2" width="27.1666666666667"/>
    <col min="3" max="13" width="23.5083333333333"/>
    <col min="14" max="15" width="25.375"/>
  </cols>
  <sheetData>
    <row r="1" spans="2:13">
      <c r="B1" s="10"/>
      <c r="C1" s="10"/>
      <c r="D1" s="10"/>
      <c r="E1" s="10"/>
      <c r="F1" s="10"/>
      <c r="G1" s="10"/>
      <c r="H1" s="10"/>
      <c r="I1" s="5"/>
      <c r="J1" s="5"/>
      <c r="K1" s="11"/>
      <c r="L1" s="11"/>
      <c r="M1" s="11"/>
    </row>
    <row r="3" spans="2:13">
      <c r="B3" t="s">
        <v>185</v>
      </c>
      <c r="C3" t="s">
        <v>847</v>
      </c>
      <c r="D3" t="s">
        <v>848</v>
      </c>
      <c r="E3" t="s">
        <v>849</v>
      </c>
      <c r="F3" t="s">
        <v>850</v>
      </c>
      <c r="G3" t="s">
        <v>851</v>
      </c>
      <c r="H3" t="s">
        <v>852</v>
      </c>
      <c r="I3" t="s">
        <v>853</v>
      </c>
      <c r="J3" t="s">
        <v>854</v>
      </c>
      <c r="K3" t="s">
        <v>855</v>
      </c>
      <c r="L3" t="s">
        <v>856</v>
      </c>
    </row>
    <row r="4" spans="2:13">
      <c r="B4" t="s">
        <v>24</v>
      </c>
      <c r="C4">
        <v>106908.76</v>
      </c>
      <c r="D4">
        <v>2</v>
      </c>
      <c r="E4">
        <v>94463.13</v>
      </c>
      <c r="F4">
        <v>2036.87</v>
      </c>
      <c r="G4">
        <v>6540</v>
      </c>
      <c r="H4">
        <v>3500</v>
      </c>
      <c r="I4">
        <v>0</v>
      </c>
      <c r="K4">
        <v>368.76</v>
      </c>
      <c r="L4">
        <v>1250</v>
      </c>
    </row>
    <row r="5" spans="2:13">
      <c r="B5" t="s">
        <v>25</v>
      </c>
      <c r="C5">
        <v>16328.25</v>
      </c>
      <c r="D5">
        <v>2</v>
      </c>
      <c r="E5">
        <v>15295.46</v>
      </c>
      <c r="F5">
        <v>704.54</v>
      </c>
      <c r="G5">
        <v>0</v>
      </c>
      <c r="H5">
        <v>0</v>
      </c>
      <c r="I5">
        <v>0</v>
      </c>
      <c r="J5">
        <v>0</v>
      </c>
      <c r="K5">
        <v>328.25</v>
      </c>
      <c r="L5">
        <v>2500</v>
      </c>
    </row>
    <row r="6" spans="2:13">
      <c r="B6" t="s">
        <v>26</v>
      </c>
      <c r="C6">
        <v>64050</v>
      </c>
      <c r="D6">
        <v>3</v>
      </c>
      <c r="E6">
        <v>57950</v>
      </c>
      <c r="G6">
        <v>3050</v>
      </c>
      <c r="H6">
        <v>3050</v>
      </c>
      <c r="I6">
        <v>0</v>
      </c>
      <c r="J6">
        <v>0</v>
      </c>
    </row>
    <row r="7" spans="2:13">
      <c r="B7" t="s">
        <v>27</v>
      </c>
      <c r="C7">
        <v>36928.73</v>
      </c>
      <c r="D7">
        <v>5</v>
      </c>
      <c r="E7">
        <v>36774.62</v>
      </c>
      <c r="F7">
        <v>154.11</v>
      </c>
      <c r="G7">
        <v>0</v>
      </c>
      <c r="I7">
        <v>0</v>
      </c>
      <c r="J7">
        <v>4928.73</v>
      </c>
      <c r="L7">
        <v>5000</v>
      </c>
    </row>
    <row r="8" spans="2:13">
      <c r="B8" t="s">
        <v>28</v>
      </c>
      <c r="C8">
        <v>35605.69</v>
      </c>
      <c r="D8">
        <v>2</v>
      </c>
      <c r="E8">
        <v>30348.71</v>
      </c>
      <c r="F8">
        <v>1728.66</v>
      </c>
      <c r="G8">
        <v>2253.22</v>
      </c>
      <c r="H8">
        <v>1119.3</v>
      </c>
      <c r="I8">
        <v>0</v>
      </c>
      <c r="J8">
        <v>0</v>
      </c>
      <c r="K8">
        <v>155.8</v>
      </c>
      <c r="L8">
        <v>1250</v>
      </c>
    </row>
    <row r="9" spans="2:13">
      <c r="B9" t="s">
        <v>29</v>
      </c>
      <c r="C9">
        <v>98963.6</v>
      </c>
      <c r="D9">
        <v>5</v>
      </c>
      <c r="E9">
        <v>64661.44</v>
      </c>
      <c r="F9">
        <v>4791.96</v>
      </c>
      <c r="G9">
        <v>18175.44</v>
      </c>
      <c r="H9">
        <v>10119.6</v>
      </c>
      <c r="I9">
        <v>9403</v>
      </c>
      <c r="J9">
        <v>0</v>
      </c>
      <c r="K9">
        <v>1215.16</v>
      </c>
      <c r="L9">
        <v>6250</v>
      </c>
    </row>
    <row r="10" spans="2:13">
      <c r="B10" t="s">
        <v>30</v>
      </c>
      <c r="C10">
        <v>70615.57</v>
      </c>
      <c r="D10">
        <v>4</v>
      </c>
      <c r="E10">
        <v>44945.59</v>
      </c>
      <c r="F10">
        <v>1600.59</v>
      </c>
      <c r="G10">
        <v>15412.49</v>
      </c>
      <c r="H10">
        <v>7922.1</v>
      </c>
      <c r="I10">
        <v>-1231.72</v>
      </c>
      <c r="J10">
        <v>0</v>
      </c>
      <c r="K10">
        <v>734.8</v>
      </c>
      <c r="L10">
        <v>5000</v>
      </c>
    </row>
    <row r="11" spans="2:13">
      <c r="B11" t="s">
        <v>31</v>
      </c>
      <c r="C11">
        <v>15890.32</v>
      </c>
      <c r="D11">
        <v>12</v>
      </c>
      <c r="E11">
        <v>11560</v>
      </c>
      <c r="F11">
        <v>440</v>
      </c>
      <c r="G11">
        <v>2434.22</v>
      </c>
      <c r="H11">
        <v>1300.3</v>
      </c>
      <c r="I11">
        <v>0</v>
      </c>
      <c r="K11">
        <v>155.8</v>
      </c>
    </row>
    <row r="12" spans="2:13">
      <c r="B12" t="s">
        <v>33</v>
      </c>
      <c r="C12">
        <v>118776.98</v>
      </c>
      <c r="D12">
        <v>8</v>
      </c>
      <c r="E12">
        <v>81373.35</v>
      </c>
      <c r="F12">
        <v>1573.67</v>
      </c>
      <c r="G12">
        <v>22030.9</v>
      </c>
      <c r="H12">
        <v>12495.5</v>
      </c>
      <c r="I12">
        <v>-5116.48</v>
      </c>
      <c r="J12">
        <v>0</v>
      </c>
      <c r="K12">
        <v>1303.56</v>
      </c>
      <c r="L12">
        <v>8750</v>
      </c>
    </row>
    <row r="13" spans="2:13">
      <c r="B13" t="s">
        <v>34</v>
      </c>
      <c r="C13">
        <v>62095.51</v>
      </c>
      <c r="D13">
        <v>8</v>
      </c>
      <c r="E13">
        <v>44096</v>
      </c>
      <c r="F13">
        <v>727.19</v>
      </c>
      <c r="G13">
        <v>10282.71</v>
      </c>
      <c r="H13">
        <v>5831.61</v>
      </c>
      <c r="I13">
        <v>1002.8</v>
      </c>
      <c r="J13">
        <v>0</v>
      </c>
      <c r="K13">
        <v>1158</v>
      </c>
      <c r="L13">
        <v>3600</v>
      </c>
    </row>
    <row r="14" spans="2:13">
      <c r="B14" t="s">
        <v>35</v>
      </c>
      <c r="C14">
        <v>40595.3</v>
      </c>
      <c r="D14">
        <v>3</v>
      </c>
      <c r="E14">
        <v>25561.32</v>
      </c>
      <c r="F14">
        <v>936.04</v>
      </c>
      <c r="G14">
        <v>8668.34</v>
      </c>
      <c r="H14">
        <v>4850.6</v>
      </c>
      <c r="I14">
        <v>0</v>
      </c>
      <c r="J14">
        <v>-331.04</v>
      </c>
      <c r="K14">
        <v>579</v>
      </c>
      <c r="L14">
        <v>3750</v>
      </c>
    </row>
    <row r="15" spans="2:13">
      <c r="B15" t="s">
        <v>36</v>
      </c>
      <c r="C15">
        <v>4519.83</v>
      </c>
      <c r="D15">
        <v>1</v>
      </c>
      <c r="E15">
        <v>0</v>
      </c>
      <c r="F15">
        <v>0</v>
      </c>
      <c r="G15">
        <v>2591.17</v>
      </c>
      <c r="H15">
        <v>1448.3</v>
      </c>
      <c r="I15">
        <v>0</v>
      </c>
      <c r="J15">
        <v>0</v>
      </c>
      <c r="K15">
        <v>480.36</v>
      </c>
    </row>
    <row r="16" spans="2:13">
      <c r="B16" t="s">
        <v>37</v>
      </c>
      <c r="C16">
        <v>88006.32</v>
      </c>
      <c r="D16">
        <v>16</v>
      </c>
      <c r="E16">
        <v>43640</v>
      </c>
      <c r="F16">
        <v>0</v>
      </c>
      <c r="G16">
        <v>31485.81</v>
      </c>
      <c r="H16">
        <v>12880.51</v>
      </c>
      <c r="I16">
        <v>0</v>
      </c>
    </row>
    <row r="17" spans="2:12">
      <c r="B17" t="s">
        <v>39</v>
      </c>
      <c r="C17">
        <v>124104.96</v>
      </c>
      <c r="D17">
        <v>9</v>
      </c>
      <c r="E17">
        <v>79312.01</v>
      </c>
      <c r="F17">
        <v>3356.47</v>
      </c>
      <c r="G17">
        <v>26050.32</v>
      </c>
      <c r="H17">
        <v>13926.8</v>
      </c>
      <c r="I17">
        <v>9724.59</v>
      </c>
      <c r="J17">
        <v>5020.69</v>
      </c>
      <c r="K17">
        <v>1459.36</v>
      </c>
      <c r="L17">
        <v>10000</v>
      </c>
    </row>
    <row r="18" spans="2:12">
      <c r="B18" t="s">
        <v>41</v>
      </c>
      <c r="C18">
        <v>146564.93</v>
      </c>
      <c r="D18">
        <v>6</v>
      </c>
      <c r="E18">
        <v>108093.04</v>
      </c>
      <c r="F18">
        <v>9255.89</v>
      </c>
      <c r="G18">
        <v>18440.54</v>
      </c>
      <c r="H18">
        <v>9895.1</v>
      </c>
      <c r="I18">
        <v>162.57</v>
      </c>
      <c r="J18">
        <v>-23519.54</v>
      </c>
      <c r="K18">
        <v>880.36</v>
      </c>
      <c r="L18">
        <v>7500</v>
      </c>
    </row>
    <row r="19" spans="2:12">
      <c r="B19" t="s">
        <v>43</v>
      </c>
      <c r="C19">
        <v>19128.12</v>
      </c>
      <c r="D19">
        <v>3</v>
      </c>
      <c r="E19">
        <v>15065.35</v>
      </c>
      <c r="F19">
        <v>0</v>
      </c>
      <c r="G19">
        <v>2434.22</v>
      </c>
      <c r="H19">
        <v>1300.3</v>
      </c>
      <c r="I19">
        <v>-241.15</v>
      </c>
      <c r="J19">
        <v>1890</v>
      </c>
      <c r="K19">
        <v>328.25</v>
      </c>
      <c r="L19">
        <v>3750</v>
      </c>
    </row>
    <row r="20" spans="2:12">
      <c r="B20" t="s">
        <v>44</v>
      </c>
      <c r="C20">
        <v>46980.32</v>
      </c>
      <c r="D20">
        <v>3</v>
      </c>
      <c r="E20">
        <v>35865.48</v>
      </c>
      <c r="F20">
        <v>43.77</v>
      </c>
      <c r="G20">
        <v>6559.17</v>
      </c>
      <c r="H20">
        <v>4200.3</v>
      </c>
      <c r="I20">
        <v>-1484</v>
      </c>
      <c r="J20">
        <v>0</v>
      </c>
      <c r="K20">
        <v>311.6</v>
      </c>
      <c r="L20">
        <v>2500</v>
      </c>
    </row>
    <row r="21" spans="2:12">
      <c r="B21" t="s">
        <v>45</v>
      </c>
      <c r="C21">
        <v>14979.67</v>
      </c>
      <c r="D21">
        <v>1</v>
      </c>
      <c r="E21">
        <v>10892.3</v>
      </c>
      <c r="F21">
        <v>187.05</v>
      </c>
      <c r="G21">
        <v>2439.22</v>
      </c>
      <c r="H21">
        <v>1305.3</v>
      </c>
      <c r="I21">
        <v>-315.35</v>
      </c>
      <c r="J21">
        <v>4200</v>
      </c>
      <c r="K21">
        <v>155.8</v>
      </c>
      <c r="L21">
        <v>1250</v>
      </c>
    </row>
    <row r="22" spans="2:12">
      <c r="B22" t="s">
        <v>47</v>
      </c>
      <c r="C22">
        <v>28067.36</v>
      </c>
      <c r="D22">
        <v>3</v>
      </c>
      <c r="E22">
        <v>26118.8</v>
      </c>
      <c r="F22">
        <v>1948.56</v>
      </c>
      <c r="G22">
        <v>0</v>
      </c>
      <c r="H22">
        <v>0</v>
      </c>
      <c r="I22">
        <v>0</v>
      </c>
      <c r="J22">
        <v>0</v>
      </c>
    </row>
    <row r="23" spans="2:12">
      <c r="B23" t="s">
        <v>49</v>
      </c>
      <c r="C23">
        <v>75536.72</v>
      </c>
      <c r="D23">
        <v>4</v>
      </c>
      <c r="E23">
        <v>56568.44</v>
      </c>
      <c r="F23">
        <v>3013.92</v>
      </c>
      <c r="G23">
        <v>9918.66</v>
      </c>
      <c r="H23">
        <v>5300.9</v>
      </c>
      <c r="I23">
        <v>19166.57</v>
      </c>
      <c r="J23">
        <v>-1193.31</v>
      </c>
      <c r="K23">
        <v>734.8</v>
      </c>
      <c r="L23">
        <v>5000</v>
      </c>
    </row>
    <row r="24" spans="2:12">
      <c r="B24" t="s">
        <v>50</v>
      </c>
      <c r="C24">
        <v>42808.72</v>
      </c>
      <c r="D24">
        <v>3</v>
      </c>
      <c r="E24">
        <v>29255.92</v>
      </c>
      <c r="F24">
        <v>666.28</v>
      </c>
      <c r="G24">
        <v>8091.32</v>
      </c>
      <c r="H24">
        <v>4327.8</v>
      </c>
      <c r="I24">
        <v>5900</v>
      </c>
      <c r="J24">
        <v>0</v>
      </c>
      <c r="K24">
        <v>467.4</v>
      </c>
      <c r="L24">
        <v>3750</v>
      </c>
    </row>
    <row r="25" spans="2:12">
      <c r="B25" t="s">
        <v>51</v>
      </c>
      <c r="C25">
        <v>70550.79</v>
      </c>
      <c r="D25">
        <v>7</v>
      </c>
      <c r="E25">
        <v>50626.91</v>
      </c>
      <c r="F25">
        <v>1659.36</v>
      </c>
      <c r="G25">
        <v>12300.32</v>
      </c>
      <c r="H25">
        <v>5496.8</v>
      </c>
      <c r="I25">
        <v>2590.67</v>
      </c>
      <c r="J25">
        <v>2892.4</v>
      </c>
      <c r="K25">
        <v>467.4</v>
      </c>
      <c r="L25">
        <v>8750</v>
      </c>
    </row>
    <row r="26" spans="2:12">
      <c r="B26" t="s">
        <v>52</v>
      </c>
      <c r="C26">
        <v>57999.44</v>
      </c>
      <c r="D26">
        <v>15</v>
      </c>
      <c r="E26">
        <v>53381.74</v>
      </c>
      <c r="F26">
        <v>571.58</v>
      </c>
      <c r="G26">
        <v>2434.22</v>
      </c>
      <c r="H26">
        <v>1300.3</v>
      </c>
      <c r="I26">
        <v>2115</v>
      </c>
      <c r="J26">
        <v>-11815.38</v>
      </c>
      <c r="K26">
        <v>311.6</v>
      </c>
      <c r="L26">
        <v>16250</v>
      </c>
    </row>
    <row r="27" spans="2:12">
      <c r="B27" t="s">
        <v>53</v>
      </c>
      <c r="C27">
        <v>260500</v>
      </c>
      <c r="D27">
        <v>25</v>
      </c>
      <c r="E27">
        <v>260500</v>
      </c>
      <c r="F27">
        <v>0</v>
      </c>
      <c r="G27">
        <v>0</v>
      </c>
      <c r="H27">
        <v>0</v>
      </c>
      <c r="I27">
        <v>500</v>
      </c>
      <c r="L27">
        <v>27500</v>
      </c>
    </row>
    <row r="28" spans="2:12">
      <c r="B28" t="s">
        <v>80</v>
      </c>
      <c r="C28">
        <v>1646505.89</v>
      </c>
      <c r="D28">
        <v>150</v>
      </c>
      <c r="E28">
        <v>1276349.61</v>
      </c>
      <c r="F28">
        <v>35396.51</v>
      </c>
      <c r="G28">
        <v>211592.29</v>
      </c>
      <c r="H28">
        <v>111571.42</v>
      </c>
      <c r="I28">
        <v>42176.5</v>
      </c>
      <c r="J28">
        <v>-17927.45</v>
      </c>
      <c r="K28">
        <v>11596.06</v>
      </c>
      <c r="L28">
        <v>123600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26"/>
  <sheetViews>
    <sheetView topLeftCell="D1" workbookViewId="0">
      <selection activeCell="H4" sqref="H4:I25"/>
    </sheetView>
  </sheetViews>
  <sheetFormatPr defaultColWidth="9" defaultRowHeight="17.6"/>
  <cols>
    <col min="1" max="1" width="23.1166666666667"/>
    <col min="2" max="11" width="23.5083333333333"/>
    <col min="12" max="12" width="25.7166666666667"/>
    <col min="13" max="14" width="25.375"/>
  </cols>
  <sheetData>
    <row r="1" spans="1:12">
      <c r="B1" s="8"/>
      <c r="C1" s="8"/>
      <c r="D1" s="8"/>
      <c r="E1" s="8"/>
      <c r="F1" s="8"/>
      <c r="G1" s="8"/>
      <c r="H1" s="6"/>
      <c r="I1" s="6"/>
      <c r="J1" s="4"/>
      <c r="K1" s="4"/>
      <c r="L1" s="4"/>
    </row>
    <row r="3" spans="1:12">
      <c r="A3" t="s">
        <v>55</v>
      </c>
      <c r="B3" t="s">
        <v>847</v>
      </c>
      <c r="C3" t="s">
        <v>848</v>
      </c>
      <c r="D3" t="s">
        <v>849</v>
      </c>
      <c r="E3" t="s">
        <v>850</v>
      </c>
      <c r="F3" t="s">
        <v>851</v>
      </c>
      <c r="G3" t="s">
        <v>852</v>
      </c>
      <c r="H3" t="s">
        <v>853</v>
      </c>
      <c r="I3" t="s">
        <v>854</v>
      </c>
      <c r="J3" t="s">
        <v>855</v>
      </c>
      <c r="K3" t="s">
        <v>856</v>
      </c>
    </row>
    <row r="4" spans="1:12">
      <c r="A4" t="s">
        <v>57</v>
      </c>
      <c r="B4">
        <v>164593.77</v>
      </c>
      <c r="C4">
        <v>8</v>
      </c>
      <c r="D4">
        <v>105320.53</v>
      </c>
      <c r="E4">
        <v>6056.12</v>
      </c>
      <c r="F4">
        <v>34497.66</v>
      </c>
      <c r="G4">
        <v>17415.9</v>
      </c>
      <c r="H4">
        <v>-2407.45</v>
      </c>
      <c r="I4" s="9">
        <v>4200</v>
      </c>
      <c r="J4">
        <v>1303.56</v>
      </c>
      <c r="K4">
        <v>8750</v>
      </c>
    </row>
    <row r="5" spans="1:12">
      <c r="A5" t="s">
        <v>58</v>
      </c>
      <c r="B5">
        <v>166656.05</v>
      </c>
      <c r="C5">
        <v>5</v>
      </c>
      <c r="D5">
        <v>157556.05</v>
      </c>
      <c r="F5">
        <v>4550</v>
      </c>
      <c r="G5">
        <v>4550</v>
      </c>
      <c r="H5">
        <v>-742</v>
      </c>
      <c r="I5" s="9">
        <v>0</v>
      </c>
    </row>
    <row r="6" spans="1:12">
      <c r="A6" t="s">
        <v>59</v>
      </c>
      <c r="B6">
        <v>2200</v>
      </c>
      <c r="C6">
        <v>1</v>
      </c>
      <c r="D6">
        <v>2200</v>
      </c>
      <c r="F6">
        <v>0</v>
      </c>
      <c r="H6">
        <v>0</v>
      </c>
      <c r="I6" s="9">
        <v>2200</v>
      </c>
    </row>
    <row r="7" spans="1:12">
      <c r="A7" t="s">
        <v>60</v>
      </c>
      <c r="B7">
        <v>21444.13</v>
      </c>
      <c r="C7">
        <v>3</v>
      </c>
      <c r="D7">
        <v>10233.62</v>
      </c>
      <c r="E7">
        <v>81.94</v>
      </c>
      <c r="F7">
        <v>6960.51</v>
      </c>
      <c r="G7">
        <v>3531.9</v>
      </c>
      <c r="H7">
        <v>0</v>
      </c>
      <c r="I7" s="9">
        <v>-124.14</v>
      </c>
      <c r="J7">
        <v>636.16</v>
      </c>
      <c r="K7">
        <v>1250</v>
      </c>
    </row>
    <row r="8" spans="1:12">
      <c r="A8" t="s">
        <v>61</v>
      </c>
      <c r="B8">
        <v>231081.36</v>
      </c>
      <c r="C8">
        <v>23</v>
      </c>
      <c r="D8">
        <v>147096.51</v>
      </c>
      <c r="E8">
        <v>5967.81</v>
      </c>
      <c r="F8">
        <v>50650.72</v>
      </c>
      <c r="G8">
        <v>25470.8</v>
      </c>
      <c r="H8">
        <v>6141.52</v>
      </c>
      <c r="I8" s="9">
        <v>0</v>
      </c>
      <c r="J8">
        <v>1895.52</v>
      </c>
      <c r="K8">
        <v>10000</v>
      </c>
    </row>
    <row r="9" spans="1:12">
      <c r="A9" t="s">
        <v>62</v>
      </c>
      <c r="B9">
        <v>6449.47</v>
      </c>
      <c r="C9">
        <v>2</v>
      </c>
      <c r="D9">
        <v>3700</v>
      </c>
      <c r="E9">
        <v>40</v>
      </c>
      <c r="F9">
        <v>1926.17</v>
      </c>
      <c r="G9">
        <v>783.3</v>
      </c>
      <c r="H9">
        <v>0</v>
      </c>
      <c r="I9" s="9"/>
    </row>
    <row r="10" spans="1:12">
      <c r="A10" t="s">
        <v>63</v>
      </c>
      <c r="B10">
        <v>32309.51</v>
      </c>
      <c r="C10">
        <v>4</v>
      </c>
      <c r="D10">
        <v>20884.45</v>
      </c>
      <c r="E10">
        <v>179.05</v>
      </c>
      <c r="F10">
        <v>7181.51</v>
      </c>
      <c r="G10">
        <v>3752.9</v>
      </c>
      <c r="H10">
        <v>0</v>
      </c>
      <c r="I10" s="9">
        <v>-206.9</v>
      </c>
      <c r="J10">
        <v>311.6</v>
      </c>
      <c r="K10">
        <v>2500</v>
      </c>
    </row>
    <row r="11" spans="1:12">
      <c r="A11" t="s">
        <v>64</v>
      </c>
      <c r="B11">
        <v>1000</v>
      </c>
      <c r="C11">
        <v>1</v>
      </c>
      <c r="D11">
        <v>960</v>
      </c>
      <c r="E11">
        <v>40</v>
      </c>
      <c r="F11">
        <v>0</v>
      </c>
      <c r="G11">
        <v>0</v>
      </c>
      <c r="H11">
        <v>0</v>
      </c>
      <c r="I11" s="9"/>
    </row>
    <row r="12" spans="1:12">
      <c r="A12" t="s">
        <v>65</v>
      </c>
      <c r="B12">
        <v>2000</v>
      </c>
      <c r="C12">
        <v>2</v>
      </c>
      <c r="D12">
        <v>1920</v>
      </c>
      <c r="E12">
        <v>80</v>
      </c>
      <c r="F12">
        <v>0</v>
      </c>
      <c r="G12">
        <v>0</v>
      </c>
      <c r="H12">
        <v>0</v>
      </c>
      <c r="I12" s="9">
        <v>0</v>
      </c>
    </row>
    <row r="13" spans="1:12">
      <c r="A13" t="s">
        <v>66</v>
      </c>
      <c r="B13">
        <v>19131.93</v>
      </c>
      <c r="C13">
        <v>4</v>
      </c>
      <c r="D13">
        <v>11504.99</v>
      </c>
      <c r="E13">
        <v>40</v>
      </c>
      <c r="F13">
        <v>4969.52</v>
      </c>
      <c r="G13">
        <v>2350.02</v>
      </c>
      <c r="H13">
        <v>0</v>
      </c>
      <c r="I13" s="9">
        <v>0</v>
      </c>
      <c r="J13">
        <v>267.4</v>
      </c>
      <c r="K13">
        <v>600</v>
      </c>
    </row>
    <row r="14" spans="1:12">
      <c r="A14" t="s">
        <v>67</v>
      </c>
      <c r="B14">
        <v>42221.19</v>
      </c>
      <c r="C14">
        <v>5</v>
      </c>
      <c r="D14">
        <v>31485.55</v>
      </c>
      <c r="E14">
        <v>727.19</v>
      </c>
      <c r="F14">
        <v>5943.19</v>
      </c>
      <c r="G14">
        <v>3442.06</v>
      </c>
      <c r="H14">
        <v>1002.8</v>
      </c>
      <c r="I14" s="9">
        <v>0</v>
      </c>
      <c r="J14">
        <v>623.2</v>
      </c>
      <c r="K14">
        <v>2400</v>
      </c>
    </row>
    <row r="15" spans="1:12">
      <c r="A15" t="s">
        <v>68</v>
      </c>
      <c r="B15">
        <v>4890.32</v>
      </c>
      <c r="C15">
        <v>1</v>
      </c>
      <c r="D15">
        <v>1000</v>
      </c>
      <c r="E15">
        <v>0</v>
      </c>
      <c r="F15">
        <v>2434.22</v>
      </c>
      <c r="G15">
        <v>1300.3</v>
      </c>
      <c r="H15">
        <v>0</v>
      </c>
      <c r="I15" s="9"/>
      <c r="J15">
        <v>155.8</v>
      </c>
    </row>
    <row r="16" spans="1:12">
      <c r="A16" t="s">
        <v>69</v>
      </c>
      <c r="B16">
        <v>8254.66</v>
      </c>
      <c r="C16">
        <v>2</v>
      </c>
      <c r="D16">
        <v>5565.46</v>
      </c>
      <c r="E16">
        <v>40</v>
      </c>
      <c r="F16">
        <v>1587.26</v>
      </c>
      <c r="G16">
        <v>794.54</v>
      </c>
      <c r="H16">
        <v>0</v>
      </c>
      <c r="I16" s="9">
        <v>0</v>
      </c>
      <c r="J16">
        <v>267.4</v>
      </c>
      <c r="K16">
        <v>600</v>
      </c>
    </row>
    <row r="17" spans="1:11">
      <c r="A17" t="s">
        <v>71</v>
      </c>
      <c r="B17">
        <v>173588.35</v>
      </c>
      <c r="C17">
        <v>13</v>
      </c>
      <c r="D17">
        <v>123035.97</v>
      </c>
      <c r="E17">
        <v>6715.85</v>
      </c>
      <c r="F17">
        <v>26745.42</v>
      </c>
      <c r="G17">
        <v>14880.3</v>
      </c>
      <c r="H17">
        <v>1260.86</v>
      </c>
      <c r="I17" s="9">
        <v>-21629.54</v>
      </c>
      <c r="J17">
        <v>2210.81</v>
      </c>
      <c r="K17">
        <v>16250</v>
      </c>
    </row>
    <row r="18" spans="1:11">
      <c r="A18" t="s">
        <v>72</v>
      </c>
      <c r="B18">
        <v>325465.93</v>
      </c>
      <c r="C18">
        <v>26</v>
      </c>
      <c r="D18">
        <v>244214.05</v>
      </c>
      <c r="E18">
        <v>10110.64</v>
      </c>
      <c r="F18">
        <v>44478.18</v>
      </c>
      <c r="G18">
        <v>23845.7</v>
      </c>
      <c r="H18">
        <v>33470.97</v>
      </c>
      <c r="I18" s="9">
        <v>448.42</v>
      </c>
      <c r="J18">
        <v>2817.36</v>
      </c>
      <c r="K18">
        <v>31250</v>
      </c>
    </row>
    <row r="19" spans="1:11">
      <c r="A19" t="s">
        <v>73</v>
      </c>
      <c r="B19">
        <v>92884.43</v>
      </c>
      <c r="C19">
        <v>19</v>
      </c>
      <c r="D19">
        <v>73649.76</v>
      </c>
      <c r="E19">
        <v>496.15</v>
      </c>
      <c r="F19">
        <v>12537.32</v>
      </c>
      <c r="G19">
        <v>5733.8</v>
      </c>
      <c r="H19">
        <v>3895</v>
      </c>
      <c r="I19" s="9">
        <v>-2815.29</v>
      </c>
      <c r="J19">
        <v>467.4</v>
      </c>
      <c r="K19">
        <v>17500</v>
      </c>
    </row>
    <row r="20" spans="1:11">
      <c r="A20" t="s">
        <v>74</v>
      </c>
      <c r="B20">
        <v>260000</v>
      </c>
      <c r="C20">
        <v>22</v>
      </c>
      <c r="D20">
        <v>260000</v>
      </c>
      <c r="F20">
        <v>0</v>
      </c>
      <c r="H20">
        <v>0</v>
      </c>
      <c r="I20" s="9"/>
      <c r="K20">
        <v>27500</v>
      </c>
    </row>
    <row r="21" spans="1:11">
      <c r="A21" t="s">
        <v>75</v>
      </c>
      <c r="B21">
        <v>3899.27</v>
      </c>
      <c r="C21">
        <v>1</v>
      </c>
      <c r="D21">
        <v>0</v>
      </c>
      <c r="E21">
        <v>0</v>
      </c>
      <c r="F21">
        <v>2443.17</v>
      </c>
      <c r="G21">
        <v>1300.3</v>
      </c>
      <c r="H21">
        <v>-445.2</v>
      </c>
      <c r="I21" s="9">
        <v>0</v>
      </c>
      <c r="J21">
        <v>155.8</v>
      </c>
      <c r="K21">
        <v>1250</v>
      </c>
    </row>
    <row r="22" spans="1:11">
      <c r="A22" t="s">
        <v>76</v>
      </c>
      <c r="B22">
        <v>15172.45</v>
      </c>
      <c r="C22">
        <v>2</v>
      </c>
      <c r="D22">
        <v>13855.46</v>
      </c>
      <c r="E22">
        <v>1144.54</v>
      </c>
      <c r="F22">
        <v>0</v>
      </c>
      <c r="G22">
        <v>0</v>
      </c>
      <c r="H22">
        <v>0</v>
      </c>
      <c r="I22" s="9">
        <v>0</v>
      </c>
      <c r="J22">
        <v>172.45</v>
      </c>
      <c r="K22">
        <v>1250</v>
      </c>
    </row>
    <row r="23" spans="1:11">
      <c r="A23" t="s">
        <v>77</v>
      </c>
      <c r="B23">
        <v>9590.02</v>
      </c>
      <c r="C23">
        <v>1</v>
      </c>
      <c r="D23">
        <v>5699.7</v>
      </c>
      <c r="E23">
        <v>0</v>
      </c>
      <c r="F23">
        <v>2434.22</v>
      </c>
      <c r="G23">
        <v>1300.3</v>
      </c>
      <c r="H23">
        <v>0</v>
      </c>
      <c r="I23" s="9">
        <v>0</v>
      </c>
      <c r="J23">
        <v>155.8</v>
      </c>
      <c r="K23">
        <v>1250</v>
      </c>
    </row>
    <row r="24" spans="1:11">
      <c r="A24" t="s">
        <v>78</v>
      </c>
      <c r="B24">
        <v>35605.69</v>
      </c>
      <c r="C24">
        <v>2</v>
      </c>
      <c r="D24">
        <v>30348.71</v>
      </c>
      <c r="E24">
        <v>1728.66</v>
      </c>
      <c r="F24">
        <v>2253.22</v>
      </c>
      <c r="G24">
        <v>1119.3</v>
      </c>
      <c r="H24">
        <v>0</v>
      </c>
      <c r="I24" s="9">
        <v>0</v>
      </c>
      <c r="J24">
        <v>155.8</v>
      </c>
      <c r="K24">
        <v>1250</v>
      </c>
    </row>
    <row r="25" spans="1:11">
      <c r="A25" t="s">
        <v>79</v>
      </c>
      <c r="B25">
        <v>28067.36</v>
      </c>
      <c r="C25">
        <v>3</v>
      </c>
      <c r="D25">
        <v>26118.8</v>
      </c>
      <c r="E25">
        <v>1948.56</v>
      </c>
      <c r="F25">
        <v>0</v>
      </c>
      <c r="G25">
        <v>0</v>
      </c>
      <c r="H25">
        <v>0</v>
      </c>
      <c r="I25" s="9">
        <v>0</v>
      </c>
    </row>
    <row r="26" spans="1:11">
      <c r="A26" t="s">
        <v>80</v>
      </c>
      <c r="B26">
        <v>1646505.89</v>
      </c>
      <c r="C26">
        <v>150</v>
      </c>
      <c r="D26">
        <v>1276349.61</v>
      </c>
      <c r="E26">
        <v>35396.51</v>
      </c>
      <c r="F26">
        <v>211592.29</v>
      </c>
      <c r="G26">
        <v>111571.42</v>
      </c>
      <c r="H26">
        <v>42176.5</v>
      </c>
      <c r="I26" s="9">
        <v>-17927.45</v>
      </c>
      <c r="J26">
        <v>11596.06</v>
      </c>
      <c r="K26">
        <v>123600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B189"/>
  <sheetViews>
    <sheetView topLeftCell="BG1" workbookViewId="0">
      <selection activeCell="CB1" sqref="CB$1:CB$1048576"/>
    </sheetView>
  </sheetViews>
  <sheetFormatPr defaultColWidth="9" defaultRowHeight="17.6"/>
  <cols>
    <col min="3" max="3" width="9.375" style="1"/>
    <col min="17" max="17" width="10.375"/>
    <col min="26" max="26" width="10.375" style="1"/>
    <col min="38" max="38" width="9.375"/>
    <col min="50" max="50" width="9" style="1"/>
    <col min="51" max="51" width="10.375" style="1"/>
    <col min="53" max="53" width="18.3416666666667" customWidth="1"/>
    <col min="55" max="55" width="14.55" customWidth="1"/>
    <col min="59" max="59" width="18.5" customWidth="1"/>
    <col min="69" max="69" width="9.375"/>
    <col min="74" max="74" width="9" style="2"/>
    <col min="75" max="75" width="9.39166666666667" style="2"/>
    <col min="77" max="77" width="10.175"/>
    <col min="80" max="80" width="9" style="1"/>
  </cols>
  <sheetData>
    <row r="1" spans="2:80">
      <c r="B1" s="1"/>
      <c r="E1" s="3" t="s">
        <v>392</v>
      </c>
      <c r="F1" s="3">
        <v>65.26</v>
      </c>
      <c r="I1" t="s">
        <v>184</v>
      </c>
      <c r="J1" t="s">
        <v>229</v>
      </c>
      <c r="K1" t="s">
        <v>249</v>
      </c>
      <c r="P1" s="1" t="s">
        <v>533</v>
      </c>
      <c r="Q1" s="1">
        <v>15644.8793972603</v>
      </c>
      <c r="S1" t="s">
        <v>347</v>
      </c>
      <c r="T1">
        <v>300</v>
      </c>
      <c r="V1" t="s">
        <v>555</v>
      </c>
      <c r="W1">
        <v>255</v>
      </c>
      <c r="AB1" t="s">
        <v>392</v>
      </c>
      <c r="AC1">
        <v>0</v>
      </c>
      <c r="AH1" t="s">
        <v>191</v>
      </c>
      <c r="AN1" t="s">
        <v>262</v>
      </c>
      <c r="AO1">
        <v>2950.8</v>
      </c>
      <c r="AQ1" t="s">
        <v>392</v>
      </c>
      <c r="AR1">
        <v>1180.23</v>
      </c>
      <c r="AT1" s="4" t="s">
        <v>392</v>
      </c>
      <c r="AU1" s="4">
        <v>1617.58</v>
      </c>
      <c r="AV1" s="5" t="s">
        <v>392</v>
      </c>
      <c r="AW1" s="5">
        <v>-1326.96</v>
      </c>
      <c r="BD1" t="s">
        <v>272</v>
      </c>
      <c r="BE1">
        <v>386.37</v>
      </c>
      <c r="BG1" t="s">
        <v>184</v>
      </c>
      <c r="BH1" t="s">
        <v>229</v>
      </c>
      <c r="BJ1" s="2" t="s">
        <v>184</v>
      </c>
      <c r="BK1" s="2" t="s">
        <v>229</v>
      </c>
      <c r="BM1" t="s">
        <v>262</v>
      </c>
      <c r="BN1">
        <v>2837.7</v>
      </c>
      <c r="BS1" s="5"/>
      <c r="BT1" s="5"/>
      <c r="BW1" s="2">
        <v>45176.82</v>
      </c>
      <c r="BX1" s="6" t="s">
        <v>531</v>
      </c>
      <c r="BY1" s="6">
        <v>-1156.48</v>
      </c>
      <c r="CA1" t="s">
        <v>347</v>
      </c>
      <c r="CB1" s="1">
        <v>300</v>
      </c>
    </row>
    <row r="2" spans="2:80">
      <c r="B2" s="1"/>
      <c r="E2" s="3" t="s">
        <v>525</v>
      </c>
      <c r="F2" s="3">
        <v>1582.88</v>
      </c>
      <c r="I2" t="s">
        <v>260</v>
      </c>
      <c r="J2">
        <v>0</v>
      </c>
      <c r="K2" t="s">
        <v>260</v>
      </c>
      <c r="P2" s="1" t="s">
        <v>553</v>
      </c>
      <c r="Q2" s="1">
        <v>11949.576109589</v>
      </c>
      <c r="S2" t="s">
        <v>458</v>
      </c>
      <c r="T2">
        <v>300</v>
      </c>
      <c r="V2" t="s">
        <v>467</v>
      </c>
      <c r="W2">
        <v>100</v>
      </c>
      <c r="AB2" t="s">
        <v>525</v>
      </c>
      <c r="AC2">
        <v>673.2</v>
      </c>
      <c r="AH2" t="s">
        <v>573</v>
      </c>
      <c r="AI2">
        <v>100</v>
      </c>
      <c r="AK2" t="s">
        <v>533</v>
      </c>
      <c r="AL2">
        <v>12998.24</v>
      </c>
      <c r="AN2" t="s">
        <v>307</v>
      </c>
      <c r="AO2">
        <v>9993.57</v>
      </c>
      <c r="AQ2" t="s">
        <v>857</v>
      </c>
      <c r="AR2">
        <v>3013.06</v>
      </c>
      <c r="AT2" s="4" t="s">
        <v>857</v>
      </c>
      <c r="AU2" s="4">
        <v>4028.08</v>
      </c>
      <c r="AV2" s="5" t="s">
        <v>525</v>
      </c>
      <c r="AW2" s="5">
        <v>450.45</v>
      </c>
      <c r="BA2" s="6" t="s">
        <v>184</v>
      </c>
      <c r="BB2" s="6" t="s">
        <v>229</v>
      </c>
      <c r="BC2" s="6"/>
      <c r="BD2" t="s">
        <v>276</v>
      </c>
      <c r="BE2">
        <v>282.7</v>
      </c>
      <c r="BG2" t="s">
        <v>260</v>
      </c>
      <c r="BH2">
        <v>0</v>
      </c>
      <c r="BJ2" s="2" t="s">
        <v>272</v>
      </c>
      <c r="BK2" s="2">
        <v>40</v>
      </c>
      <c r="BM2" t="s">
        <v>307</v>
      </c>
      <c r="BN2">
        <v>8771.12</v>
      </c>
      <c r="BQ2">
        <v>74967.14</v>
      </c>
      <c r="BS2" s="5"/>
      <c r="BT2" s="5"/>
      <c r="BX2" s="6" t="s">
        <v>533</v>
      </c>
      <c r="BY2" s="6">
        <v>-449.7</v>
      </c>
      <c r="CA2" t="s">
        <v>381</v>
      </c>
      <c r="CB2" s="1">
        <v>300</v>
      </c>
    </row>
    <row r="3" spans="2:80">
      <c r="B3" s="1"/>
      <c r="E3" s="3" t="s">
        <v>557</v>
      </c>
      <c r="F3" s="3">
        <v>348.64</v>
      </c>
      <c r="I3" t="s">
        <v>266</v>
      </c>
      <c r="J3">
        <v>0</v>
      </c>
      <c r="K3" t="s">
        <v>266</v>
      </c>
      <c r="P3" s="1" t="s">
        <v>528</v>
      </c>
      <c r="Q3" s="1">
        <v>16164.8180273973</v>
      </c>
      <c r="S3" t="s">
        <v>436</v>
      </c>
      <c r="T3">
        <v>300</v>
      </c>
      <c r="V3" t="s">
        <v>575</v>
      </c>
      <c r="W3">
        <v>240</v>
      </c>
      <c r="Z3" s="1">
        <v>0</v>
      </c>
      <c r="AB3" t="s">
        <v>557</v>
      </c>
      <c r="AC3">
        <v>668.47</v>
      </c>
      <c r="AF3">
        <v>0</v>
      </c>
      <c r="AH3" t="s">
        <v>571</v>
      </c>
      <c r="AI3">
        <v>200</v>
      </c>
      <c r="AK3" t="s">
        <v>553</v>
      </c>
      <c r="AL3">
        <v>20502.75</v>
      </c>
      <c r="AN3" t="s">
        <v>858</v>
      </c>
      <c r="AO3">
        <v>3000</v>
      </c>
      <c r="AQ3" t="s">
        <v>520</v>
      </c>
      <c r="AR3">
        <v>223.1</v>
      </c>
      <c r="AT3" s="4" t="s">
        <v>520</v>
      </c>
      <c r="AU3" s="4">
        <v>223.1</v>
      </c>
      <c r="AV3" s="5" t="s">
        <v>557</v>
      </c>
      <c r="AW3" s="5">
        <v>-300.03</v>
      </c>
      <c r="AY3" s="1">
        <v>0</v>
      </c>
      <c r="BA3" s="6" t="s">
        <v>272</v>
      </c>
      <c r="BB3" s="6">
        <v>40</v>
      </c>
      <c r="BC3" s="6" t="str">
        <f t="shared" ref="BC3:BC66" si="0">VLOOKUP(BA3,BD:BD,1,0)</f>
        <v>北京点才王倩</v>
      </c>
      <c r="BD3" t="s">
        <v>279</v>
      </c>
      <c r="BE3">
        <v>-299.06</v>
      </c>
      <c r="BG3" t="s">
        <v>266</v>
      </c>
      <c r="BH3">
        <v>0</v>
      </c>
      <c r="BJ3" s="2" t="s">
        <v>276</v>
      </c>
      <c r="BK3" s="2">
        <v>40</v>
      </c>
      <c r="BM3" t="s">
        <v>858</v>
      </c>
      <c r="BN3">
        <v>19941.2</v>
      </c>
      <c r="BQ3">
        <v>0</v>
      </c>
      <c r="BS3" s="5"/>
      <c r="BT3" s="5"/>
      <c r="BW3" s="2">
        <v>0</v>
      </c>
      <c r="BX3" s="6" t="s">
        <v>528</v>
      </c>
      <c r="BY3" s="6">
        <v>-315.99</v>
      </c>
      <c r="CA3" t="s">
        <v>458</v>
      </c>
      <c r="CB3" s="1">
        <v>300</v>
      </c>
    </row>
    <row r="4" spans="2:80">
      <c r="B4" s="1"/>
      <c r="E4" s="3" t="s">
        <v>520</v>
      </c>
      <c r="F4" s="3">
        <v>703.78</v>
      </c>
      <c r="I4" t="s">
        <v>272</v>
      </c>
      <c r="J4">
        <v>40</v>
      </c>
      <c r="K4" t="s">
        <v>272</v>
      </c>
      <c r="P4" s="1" t="s">
        <v>542</v>
      </c>
      <c r="Q4" s="1">
        <v>1392.312</v>
      </c>
      <c r="S4" t="s">
        <v>474</v>
      </c>
      <c r="T4">
        <v>300</v>
      </c>
      <c r="V4" t="s">
        <v>381</v>
      </c>
      <c r="W4">
        <v>100</v>
      </c>
      <c r="Z4" s="1">
        <v>56013.61</v>
      </c>
      <c r="AB4" t="s">
        <v>520</v>
      </c>
      <c r="AC4">
        <v>-832.88</v>
      </c>
      <c r="AF4">
        <v>47129.93</v>
      </c>
      <c r="AH4" t="s">
        <v>577</v>
      </c>
      <c r="AI4">
        <v>100</v>
      </c>
      <c r="AK4" t="s">
        <v>528</v>
      </c>
      <c r="AL4">
        <v>18086.94</v>
      </c>
      <c r="AN4" t="s">
        <v>859</v>
      </c>
      <c r="AO4">
        <v>239.05</v>
      </c>
      <c r="AQ4" t="s">
        <v>557</v>
      </c>
      <c r="AR4">
        <v>3466.06</v>
      </c>
      <c r="AT4" s="4" t="s">
        <v>557</v>
      </c>
      <c r="AU4" s="4">
        <v>3678.31</v>
      </c>
      <c r="AV4" s="5" t="s">
        <v>520</v>
      </c>
      <c r="AW4" s="5">
        <v>-1404.09</v>
      </c>
      <c r="AY4" s="1">
        <v>83618.26</v>
      </c>
      <c r="BA4" s="6" t="s">
        <v>276</v>
      </c>
      <c r="BB4" s="6">
        <v>40</v>
      </c>
      <c r="BC4" s="6" t="str">
        <f t="shared" si="0"/>
        <v>开博人才王倩</v>
      </c>
      <c r="BD4" t="s">
        <v>331</v>
      </c>
      <c r="BE4">
        <v>284.77</v>
      </c>
      <c r="BG4" t="s">
        <v>272</v>
      </c>
      <c r="BH4">
        <v>40</v>
      </c>
      <c r="BJ4" s="2" t="s">
        <v>860</v>
      </c>
      <c r="BK4" s="2">
        <v>300</v>
      </c>
      <c r="BM4" t="s">
        <v>121</v>
      </c>
      <c r="BN4">
        <v>109231.64</v>
      </c>
      <c r="BQ4">
        <v>87576.98</v>
      </c>
      <c r="BS4" s="5"/>
      <c r="BT4" s="5"/>
      <c r="BW4" s="2">
        <v>47848.42</v>
      </c>
      <c r="BX4" s="6" t="s">
        <v>553</v>
      </c>
      <c r="BY4" s="6">
        <v>-325.65</v>
      </c>
      <c r="CA4" t="s">
        <v>436</v>
      </c>
      <c r="CB4" s="1">
        <v>300</v>
      </c>
    </row>
    <row r="5" spans="2:80">
      <c r="B5" s="1"/>
      <c r="E5" s="3" t="s">
        <v>857</v>
      </c>
      <c r="F5" s="3">
        <v>-20.59</v>
      </c>
      <c r="I5" t="s">
        <v>860</v>
      </c>
      <c r="J5">
        <v>300</v>
      </c>
      <c r="K5" t="e">
        <v>#N/A</v>
      </c>
      <c r="P5" s="1" t="s">
        <v>531</v>
      </c>
      <c r="Q5" s="1">
        <v>5227.052</v>
      </c>
      <c r="S5" t="s">
        <v>477</v>
      </c>
      <c r="T5">
        <v>300</v>
      </c>
      <c r="Z5" s="1">
        <v>56013.61</v>
      </c>
      <c r="AB5" t="s">
        <v>857</v>
      </c>
      <c r="AF5">
        <v>47129.93</v>
      </c>
      <c r="AH5" t="s">
        <v>555</v>
      </c>
      <c r="AI5">
        <v>530</v>
      </c>
      <c r="AK5" t="s">
        <v>542</v>
      </c>
      <c r="AL5">
        <v>3028.08</v>
      </c>
      <c r="AN5" t="s">
        <v>857</v>
      </c>
      <c r="AO5">
        <v>6130.23</v>
      </c>
      <c r="AQ5" t="s">
        <v>525</v>
      </c>
      <c r="AR5">
        <v>2536.93</v>
      </c>
      <c r="AT5" s="4" t="s">
        <v>525</v>
      </c>
      <c r="AU5" s="4">
        <v>4216.85</v>
      </c>
      <c r="AV5" s="5" t="s">
        <v>531</v>
      </c>
      <c r="AW5" s="5">
        <v>-1216.78</v>
      </c>
      <c r="AY5" s="1">
        <v>83618.26</v>
      </c>
      <c r="BA5" s="6" t="s">
        <v>861</v>
      </c>
      <c r="BB5" s="6">
        <v>300</v>
      </c>
      <c r="BC5" s="6" t="e">
        <f t="shared" si="0"/>
        <v>#N/A</v>
      </c>
      <c r="BD5" t="s">
        <v>304</v>
      </c>
      <c r="BG5" t="s">
        <v>275</v>
      </c>
      <c r="BH5">
        <v>0</v>
      </c>
      <c r="BJ5" s="2" t="s">
        <v>279</v>
      </c>
      <c r="BK5" s="2">
        <v>40</v>
      </c>
      <c r="BM5" t="s">
        <v>859</v>
      </c>
      <c r="BN5">
        <v>239.4</v>
      </c>
      <c r="BQ5">
        <v>87576.98</v>
      </c>
      <c r="BS5" s="5"/>
      <c r="BT5" s="5"/>
      <c r="BW5" s="2">
        <v>47848.42</v>
      </c>
      <c r="BX5" s="6" t="s">
        <v>542</v>
      </c>
      <c r="BY5" s="6">
        <v>-297.73</v>
      </c>
      <c r="CA5" t="s">
        <v>464</v>
      </c>
      <c r="CB5" s="1">
        <v>300</v>
      </c>
    </row>
    <row r="6" spans="2:80">
      <c r="B6" s="6" t="s">
        <v>392</v>
      </c>
      <c r="C6" s="3">
        <v>2531.22</v>
      </c>
      <c r="E6" s="3" t="s">
        <v>531</v>
      </c>
      <c r="F6" s="3">
        <v>350.84</v>
      </c>
      <c r="I6" t="s">
        <v>275</v>
      </c>
      <c r="J6">
        <v>0</v>
      </c>
      <c r="K6" t="s">
        <v>275</v>
      </c>
      <c r="P6" s="1" t="s">
        <v>270</v>
      </c>
      <c r="Q6" s="1">
        <v>2922</v>
      </c>
      <c r="S6" t="s">
        <v>479</v>
      </c>
      <c r="T6">
        <v>300</v>
      </c>
      <c r="AB6" t="s">
        <v>531</v>
      </c>
      <c r="AC6">
        <v>-312.62</v>
      </c>
      <c r="AH6" t="s">
        <v>464</v>
      </c>
      <c r="AI6">
        <v>100</v>
      </c>
      <c r="AK6" t="s">
        <v>531</v>
      </c>
      <c r="AL6">
        <v>1226</v>
      </c>
      <c r="AN6" t="s">
        <v>862</v>
      </c>
      <c r="AO6">
        <v>225</v>
      </c>
      <c r="AV6" s="5" t="s">
        <v>533</v>
      </c>
      <c r="AW6" s="5">
        <v>-480.74</v>
      </c>
      <c r="BA6" s="6" t="s">
        <v>860</v>
      </c>
      <c r="BB6" s="6">
        <v>300</v>
      </c>
      <c r="BC6" s="6" t="e">
        <f t="shared" si="0"/>
        <v>#N/A</v>
      </c>
      <c r="BD6" t="s">
        <v>308</v>
      </c>
      <c r="BE6">
        <v>-954.1</v>
      </c>
      <c r="BG6" t="s">
        <v>276</v>
      </c>
      <c r="BH6">
        <v>40</v>
      </c>
      <c r="BJ6" s="2" t="s">
        <v>304</v>
      </c>
      <c r="BK6" s="2">
        <v>207.92</v>
      </c>
      <c r="BM6" t="s">
        <v>862</v>
      </c>
      <c r="BN6">
        <v>195</v>
      </c>
      <c r="BS6" s="5"/>
      <c r="BT6" s="5"/>
      <c r="BX6" s="6" t="s">
        <v>270</v>
      </c>
      <c r="BY6" s="6">
        <v>-216.62</v>
      </c>
      <c r="CA6" t="s">
        <v>474</v>
      </c>
      <c r="CB6" s="1">
        <v>300</v>
      </c>
    </row>
    <row r="7" spans="2:80">
      <c r="B7" s="6" t="s">
        <v>857</v>
      </c>
      <c r="C7" s="3">
        <v>7429.43</v>
      </c>
      <c r="E7" s="3" t="s">
        <v>533</v>
      </c>
      <c r="F7" s="3">
        <v>-359.42</v>
      </c>
      <c r="I7" t="s">
        <v>863</v>
      </c>
      <c r="J7">
        <v>3427.08</v>
      </c>
      <c r="K7" t="s">
        <v>863</v>
      </c>
      <c r="S7" t="s">
        <v>864</v>
      </c>
      <c r="T7">
        <v>300</v>
      </c>
      <c r="AB7" t="s">
        <v>533</v>
      </c>
      <c r="AC7">
        <v>-60.52</v>
      </c>
      <c r="AH7" t="s">
        <v>471</v>
      </c>
      <c r="AI7">
        <v>100</v>
      </c>
      <c r="AK7" t="s">
        <v>270</v>
      </c>
      <c r="AL7">
        <v>1302</v>
      </c>
      <c r="AN7" t="s">
        <v>520</v>
      </c>
      <c r="AO7">
        <v>40</v>
      </c>
      <c r="AV7" s="5" t="s">
        <v>528</v>
      </c>
      <c r="AW7" s="5">
        <v>-531.72</v>
      </c>
      <c r="BA7" s="6" t="s">
        <v>279</v>
      </c>
      <c r="BB7" s="6">
        <v>40</v>
      </c>
      <c r="BC7" s="6" t="str">
        <f t="shared" si="0"/>
        <v>开弈企业外包王倩</v>
      </c>
      <c r="BD7" t="s">
        <v>313</v>
      </c>
      <c r="BE7">
        <v>-485.44</v>
      </c>
      <c r="BG7" t="s">
        <v>865</v>
      </c>
      <c r="BH7">
        <v>0</v>
      </c>
      <c r="BJ7" s="2" t="s">
        <v>308</v>
      </c>
      <c r="BK7" s="2">
        <v>90.67</v>
      </c>
      <c r="BM7" t="s">
        <v>520</v>
      </c>
      <c r="BN7">
        <v>60</v>
      </c>
      <c r="BS7" s="5"/>
      <c r="BT7" s="5"/>
      <c r="BX7" s="7" t="s">
        <v>392</v>
      </c>
      <c r="BY7" s="7">
        <v>-4200</v>
      </c>
      <c r="CA7" t="s">
        <v>477</v>
      </c>
      <c r="CB7" s="1">
        <v>300</v>
      </c>
    </row>
    <row r="8" spans="2:80">
      <c r="B8" s="6" t="s">
        <v>520</v>
      </c>
      <c r="C8" s="3">
        <v>601.11</v>
      </c>
      <c r="E8" s="3" t="s">
        <v>528</v>
      </c>
      <c r="F8" s="3">
        <v>-309.94</v>
      </c>
      <c r="I8" t="s">
        <v>276</v>
      </c>
      <c r="J8">
        <v>40</v>
      </c>
      <c r="K8" t="s">
        <v>276</v>
      </c>
      <c r="S8" t="s">
        <v>380</v>
      </c>
      <c r="T8">
        <v>300</v>
      </c>
      <c r="Z8" s="1" t="s">
        <v>6</v>
      </c>
      <c r="AB8" t="s">
        <v>528</v>
      </c>
      <c r="AC8">
        <v>-154.54</v>
      </c>
      <c r="AF8" t="s">
        <v>6</v>
      </c>
      <c r="AH8" t="s">
        <v>467</v>
      </c>
      <c r="AI8">
        <v>100</v>
      </c>
      <c r="AN8" t="s">
        <v>531</v>
      </c>
      <c r="AO8">
        <v>60</v>
      </c>
      <c r="AV8" s="5" t="s">
        <v>553</v>
      </c>
      <c r="AW8" s="5">
        <v>-334.61</v>
      </c>
      <c r="AY8" s="1" t="s">
        <v>6</v>
      </c>
      <c r="BA8" s="6" t="s">
        <v>304</v>
      </c>
      <c r="BB8" s="6">
        <v>244.92</v>
      </c>
      <c r="BC8" s="6" t="str">
        <f t="shared" si="0"/>
        <v>开弈人力资源葛豪平</v>
      </c>
      <c r="BD8" t="s">
        <v>327</v>
      </c>
      <c r="BE8">
        <v>-186.52</v>
      </c>
      <c r="BG8" t="s">
        <v>279</v>
      </c>
      <c r="BH8">
        <v>40</v>
      </c>
      <c r="BJ8" s="2" t="s">
        <v>310</v>
      </c>
      <c r="BK8" s="2">
        <v>177</v>
      </c>
      <c r="BM8" t="s">
        <v>531</v>
      </c>
      <c r="BN8">
        <v>60</v>
      </c>
      <c r="BQ8" t="s">
        <v>6</v>
      </c>
      <c r="BS8" s="5"/>
      <c r="BT8" s="5" t="s">
        <v>6</v>
      </c>
      <c r="BW8" s="2" t="s">
        <v>6</v>
      </c>
      <c r="BX8" s="7" t="s">
        <v>525</v>
      </c>
      <c r="BY8" s="7">
        <v>-6000</v>
      </c>
      <c r="CA8" t="s">
        <v>479</v>
      </c>
      <c r="CB8" s="1">
        <v>300</v>
      </c>
    </row>
    <row r="9" spans="2:80">
      <c r="B9" s="6" t="s">
        <v>557</v>
      </c>
      <c r="C9" s="3">
        <v>9518.7</v>
      </c>
      <c r="E9" s="3" t="s">
        <v>553</v>
      </c>
      <c r="F9" s="3">
        <v>-167.52</v>
      </c>
      <c r="I9" t="s">
        <v>866</v>
      </c>
      <c r="J9">
        <v>0</v>
      </c>
      <c r="K9" t="e">
        <v>#N/A</v>
      </c>
      <c r="S9" t="s">
        <v>345</v>
      </c>
      <c r="T9">
        <v>300</v>
      </c>
      <c r="Y9" t="s">
        <v>184</v>
      </c>
      <c r="Z9" s="1" t="s">
        <v>229</v>
      </c>
      <c r="AB9" t="s">
        <v>553</v>
      </c>
      <c r="AC9">
        <v>-169.86</v>
      </c>
      <c r="AE9" t="s">
        <v>184</v>
      </c>
      <c r="AF9" t="s">
        <v>229</v>
      </c>
      <c r="AH9" t="s">
        <v>469</v>
      </c>
      <c r="AI9">
        <v>0</v>
      </c>
      <c r="AN9" t="s">
        <v>316</v>
      </c>
      <c r="AO9">
        <v>1788.89</v>
      </c>
      <c r="AV9" s="5" t="s">
        <v>542</v>
      </c>
      <c r="AW9" s="5">
        <v>-64.19</v>
      </c>
      <c r="AX9" s="1" t="s">
        <v>184</v>
      </c>
      <c r="AY9" s="1" t="s">
        <v>229</v>
      </c>
      <c r="BA9" s="6" t="s">
        <v>308</v>
      </c>
      <c r="BB9" s="6">
        <v>115.34</v>
      </c>
      <c r="BC9" s="6" t="str">
        <f t="shared" si="0"/>
        <v>开弈人力资源侯心怡</v>
      </c>
      <c r="BD9" t="s">
        <v>317</v>
      </c>
      <c r="BE9">
        <v>-272.53</v>
      </c>
      <c r="BG9" t="s">
        <v>867</v>
      </c>
      <c r="BH9">
        <v>0</v>
      </c>
      <c r="BJ9" s="2" t="s">
        <v>313</v>
      </c>
      <c r="BK9" s="2">
        <v>125.34</v>
      </c>
      <c r="BM9" t="s">
        <v>316</v>
      </c>
      <c r="BN9">
        <v>2233.44</v>
      </c>
      <c r="BP9" t="s">
        <v>184</v>
      </c>
      <c r="BQ9" t="s">
        <v>229</v>
      </c>
      <c r="BS9" s="5" t="s">
        <v>184</v>
      </c>
      <c r="BT9" s="5" t="s">
        <v>229</v>
      </c>
      <c r="BU9" t="s">
        <v>229</v>
      </c>
      <c r="BV9" s="2" t="s">
        <v>184</v>
      </c>
      <c r="BW9" s="2" t="s">
        <v>229</v>
      </c>
      <c r="BX9" s="7" t="s">
        <v>557</v>
      </c>
      <c r="BY9" s="7">
        <v>-6630</v>
      </c>
      <c r="CA9" t="s">
        <v>868</v>
      </c>
      <c r="CB9" s="1">
        <v>300</v>
      </c>
    </row>
    <row r="10" spans="2:80">
      <c r="B10" s="6" t="s">
        <v>525</v>
      </c>
      <c r="C10" s="3">
        <v>5291.14</v>
      </c>
      <c r="E10" s="3" t="s">
        <v>542</v>
      </c>
      <c r="F10" s="3">
        <v>-11.52</v>
      </c>
      <c r="I10" t="s">
        <v>865</v>
      </c>
      <c r="J10">
        <v>0</v>
      </c>
      <c r="K10" t="s">
        <v>865</v>
      </c>
      <c r="S10" t="s">
        <v>545</v>
      </c>
      <c r="T10">
        <v>300</v>
      </c>
      <c r="Y10" t="s">
        <v>260</v>
      </c>
      <c r="Z10" s="1">
        <v>0</v>
      </c>
      <c r="AB10" t="s">
        <v>542</v>
      </c>
      <c r="AC10">
        <v>-154.42</v>
      </c>
      <c r="AE10" t="s">
        <v>260</v>
      </c>
      <c r="AF10">
        <v>0</v>
      </c>
      <c r="AH10" t="s">
        <v>389</v>
      </c>
      <c r="AI10">
        <v>0</v>
      </c>
      <c r="AN10" t="s">
        <v>324</v>
      </c>
      <c r="AO10">
        <v>5942.8</v>
      </c>
      <c r="AV10" s="5" t="s">
        <v>270</v>
      </c>
      <c r="AW10" s="5">
        <v>894.18</v>
      </c>
      <c r="AX10" s="1" t="s">
        <v>260</v>
      </c>
      <c r="AY10" s="1">
        <v>0</v>
      </c>
      <c r="BA10" s="6" t="s">
        <v>310</v>
      </c>
      <c r="BB10" s="6">
        <v>219.18</v>
      </c>
      <c r="BC10" s="6" t="str">
        <f t="shared" si="0"/>
        <v>开弈人力资源黄一萧</v>
      </c>
      <c r="BD10" t="s">
        <v>310</v>
      </c>
      <c r="BE10">
        <v>-187.75</v>
      </c>
      <c r="BG10" t="s">
        <v>285</v>
      </c>
      <c r="BH10">
        <v>0</v>
      </c>
      <c r="BJ10" s="2" t="s">
        <v>317</v>
      </c>
      <c r="BK10" s="2">
        <v>35.61</v>
      </c>
      <c r="BM10" t="s">
        <v>324</v>
      </c>
      <c r="BN10">
        <v>5143.6</v>
      </c>
      <c r="BP10" t="s">
        <v>260</v>
      </c>
      <c r="BQ10">
        <v>0</v>
      </c>
      <c r="BS10" s="5" t="s">
        <v>260</v>
      </c>
      <c r="BT10" s="5">
        <v>0</v>
      </c>
      <c r="BU10">
        <v>0</v>
      </c>
      <c r="BV10" s="2" t="s">
        <v>260</v>
      </c>
      <c r="BW10" s="2">
        <v>0</v>
      </c>
      <c r="BX10" s="7" t="s">
        <v>520</v>
      </c>
      <c r="BY10" s="7">
        <v>-6663</v>
      </c>
      <c r="CA10" t="s">
        <v>380</v>
      </c>
      <c r="CB10" s="1">
        <v>300</v>
      </c>
    </row>
    <row r="11" spans="2:80">
      <c r="E11" s="3" t="s">
        <v>270</v>
      </c>
      <c r="F11" s="3">
        <v>-7.7</v>
      </c>
      <c r="I11" t="s">
        <v>279</v>
      </c>
      <c r="J11">
        <v>40</v>
      </c>
      <c r="K11" t="s">
        <v>279</v>
      </c>
      <c r="S11" t="s">
        <v>547</v>
      </c>
      <c r="T11">
        <v>300</v>
      </c>
      <c r="Y11" t="s">
        <v>266</v>
      </c>
      <c r="Z11" s="1">
        <v>0</v>
      </c>
      <c r="AB11" t="s">
        <v>270</v>
      </c>
      <c r="AC11">
        <v>-10.26</v>
      </c>
      <c r="AE11" t="s">
        <v>266</v>
      </c>
      <c r="AF11">
        <v>0</v>
      </c>
      <c r="AH11" t="s">
        <v>575</v>
      </c>
      <c r="AI11">
        <v>90</v>
      </c>
      <c r="AN11" t="s">
        <v>326</v>
      </c>
      <c r="AO11">
        <v>941.78</v>
      </c>
      <c r="AV11" s="5" t="s">
        <v>383</v>
      </c>
      <c r="AW11" s="5">
        <v>-273</v>
      </c>
      <c r="AX11" s="1" t="s">
        <v>266</v>
      </c>
      <c r="AY11" s="1">
        <v>0</v>
      </c>
      <c r="BA11" s="6" t="s">
        <v>313</v>
      </c>
      <c r="BB11" s="6">
        <v>150</v>
      </c>
      <c r="BC11" s="6" t="str">
        <f t="shared" si="0"/>
        <v>开弈人力资源肖宝仙</v>
      </c>
      <c r="BD11" t="s">
        <v>338</v>
      </c>
      <c r="BE11">
        <v>-390.8</v>
      </c>
      <c r="BG11" t="s">
        <v>287</v>
      </c>
      <c r="BH11">
        <v>0</v>
      </c>
      <c r="BJ11" s="2" t="s">
        <v>322</v>
      </c>
      <c r="BK11" s="2">
        <v>272.21</v>
      </c>
      <c r="BM11" t="s">
        <v>326</v>
      </c>
      <c r="BN11">
        <v>1125.05</v>
      </c>
      <c r="BP11" t="s">
        <v>266</v>
      </c>
      <c r="BQ11">
        <v>0</v>
      </c>
      <c r="BS11" s="5" t="s">
        <v>266</v>
      </c>
      <c r="BT11" s="5">
        <v>0</v>
      </c>
      <c r="BU11">
        <v>0</v>
      </c>
      <c r="BV11" s="2" t="s">
        <v>266</v>
      </c>
      <c r="BW11" s="2">
        <v>0</v>
      </c>
      <c r="BX11" s="7" t="s">
        <v>352</v>
      </c>
      <c r="BY11" s="7">
        <v>-4849.55</v>
      </c>
      <c r="CA11" t="s">
        <v>345</v>
      </c>
      <c r="CB11" s="1">
        <v>300</v>
      </c>
    </row>
    <row r="12" spans="2:80">
      <c r="E12" s="6" t="s">
        <v>383</v>
      </c>
      <c r="F12" s="6">
        <v>-407.82</v>
      </c>
      <c r="I12" t="s">
        <v>867</v>
      </c>
      <c r="J12">
        <v>0</v>
      </c>
      <c r="K12" t="s">
        <v>867</v>
      </c>
      <c r="S12" t="s">
        <v>549</v>
      </c>
      <c r="T12">
        <v>300</v>
      </c>
      <c r="Y12" t="s">
        <v>272</v>
      </c>
      <c r="Z12" s="1">
        <v>40</v>
      </c>
      <c r="AB12" t="s">
        <v>383</v>
      </c>
      <c r="AC12">
        <v>-347.76</v>
      </c>
      <c r="AE12" t="s">
        <v>272</v>
      </c>
      <c r="AF12">
        <v>40</v>
      </c>
      <c r="AH12" t="s">
        <v>381</v>
      </c>
      <c r="AI12">
        <v>200</v>
      </c>
      <c r="AN12" t="s">
        <v>330</v>
      </c>
      <c r="AO12">
        <v>380.5</v>
      </c>
      <c r="AX12" s="1" t="s">
        <v>272</v>
      </c>
      <c r="AY12" s="1">
        <v>40</v>
      </c>
      <c r="BA12" s="6" t="s">
        <v>869</v>
      </c>
      <c r="BB12" s="6">
        <v>20.51</v>
      </c>
      <c r="BC12" s="6" t="str">
        <f t="shared" si="0"/>
        <v>开弈人力资源李欣怡</v>
      </c>
      <c r="BD12" t="s">
        <v>334</v>
      </c>
      <c r="BE12">
        <v>-351.54</v>
      </c>
      <c r="BG12" t="s">
        <v>289</v>
      </c>
      <c r="BH12">
        <v>0</v>
      </c>
      <c r="BJ12" s="2" t="s">
        <v>325</v>
      </c>
      <c r="BK12" s="2">
        <v>21.85</v>
      </c>
      <c r="BM12" t="s">
        <v>330</v>
      </c>
      <c r="BN12">
        <v>831.5</v>
      </c>
      <c r="BP12" t="s">
        <v>272</v>
      </c>
      <c r="BQ12">
        <v>40</v>
      </c>
      <c r="BS12" s="5" t="s">
        <v>272</v>
      </c>
      <c r="BT12" s="5">
        <v>40</v>
      </c>
      <c r="BU12">
        <v>40</v>
      </c>
      <c r="BV12" s="2" t="s">
        <v>272</v>
      </c>
      <c r="BW12" s="2">
        <v>40</v>
      </c>
      <c r="CA12" t="s">
        <v>545</v>
      </c>
      <c r="CB12" s="1">
        <v>300</v>
      </c>
    </row>
    <row r="13" spans="2:80">
      <c r="I13" t="s">
        <v>870</v>
      </c>
      <c r="J13">
        <v>0</v>
      </c>
      <c r="K13" t="s">
        <v>870</v>
      </c>
      <c r="S13" t="s">
        <v>569</v>
      </c>
      <c r="T13">
        <v>300</v>
      </c>
      <c r="Y13" t="s">
        <v>275</v>
      </c>
      <c r="Z13" s="1">
        <v>0</v>
      </c>
      <c r="AE13" t="s">
        <v>860</v>
      </c>
      <c r="AF13">
        <v>300</v>
      </c>
      <c r="AN13" t="s">
        <v>627</v>
      </c>
      <c r="AO13">
        <v>31857.1</v>
      </c>
      <c r="AX13" s="1" t="s">
        <v>275</v>
      </c>
      <c r="AY13" s="1">
        <v>0</v>
      </c>
      <c r="BA13" s="6" t="s">
        <v>317</v>
      </c>
      <c r="BB13" s="6">
        <v>55.34</v>
      </c>
      <c r="BC13" s="6" t="str">
        <f t="shared" si="0"/>
        <v>开弈人力资源卢素丹</v>
      </c>
      <c r="BD13" t="s">
        <v>869</v>
      </c>
      <c r="BG13" t="s">
        <v>291</v>
      </c>
      <c r="BH13">
        <v>0</v>
      </c>
      <c r="BJ13" s="2" t="s">
        <v>334</v>
      </c>
      <c r="BK13" s="2">
        <v>40</v>
      </c>
      <c r="BM13" t="s">
        <v>627</v>
      </c>
      <c r="BN13">
        <v>30573.21</v>
      </c>
      <c r="BP13" t="s">
        <v>275</v>
      </c>
      <c r="BQ13">
        <v>0</v>
      </c>
      <c r="BS13" s="5" t="s">
        <v>275</v>
      </c>
      <c r="BT13" s="5">
        <v>0</v>
      </c>
      <c r="BU13">
        <v>0</v>
      </c>
      <c r="BV13" s="2" t="s">
        <v>275</v>
      </c>
      <c r="BW13" s="2">
        <v>0</v>
      </c>
      <c r="CA13" t="s">
        <v>547</v>
      </c>
      <c r="CB13" s="1">
        <v>300</v>
      </c>
    </row>
    <row r="14" spans="2:80">
      <c r="I14" t="s">
        <v>287</v>
      </c>
      <c r="J14">
        <v>0</v>
      </c>
      <c r="K14" t="s">
        <v>287</v>
      </c>
      <c r="Y14" t="s">
        <v>276</v>
      </c>
      <c r="Z14" s="1">
        <v>40</v>
      </c>
      <c r="AE14" t="s">
        <v>275</v>
      </c>
      <c r="AF14">
        <v>0</v>
      </c>
      <c r="AN14" t="s">
        <v>270</v>
      </c>
      <c r="AO14">
        <v>293.4</v>
      </c>
      <c r="AX14" s="1" t="s">
        <v>276</v>
      </c>
      <c r="AY14" s="1">
        <v>40</v>
      </c>
      <c r="BA14" s="6" t="s">
        <v>322</v>
      </c>
      <c r="BB14" s="6">
        <v>349.56</v>
      </c>
      <c r="BC14" s="6" t="str">
        <f t="shared" si="0"/>
        <v>开弈人力资源芦智蔚</v>
      </c>
      <c r="BD14" t="s">
        <v>325</v>
      </c>
      <c r="BG14" t="s">
        <v>293</v>
      </c>
      <c r="BH14">
        <v>0</v>
      </c>
      <c r="BJ14" s="2" t="s">
        <v>338</v>
      </c>
      <c r="BK14" s="2">
        <v>255.38</v>
      </c>
      <c r="BM14" t="s">
        <v>270</v>
      </c>
      <c r="BN14">
        <v>293.4</v>
      </c>
      <c r="BP14" t="s">
        <v>276</v>
      </c>
      <c r="BQ14">
        <v>40</v>
      </c>
      <c r="BS14" s="5" t="s">
        <v>276</v>
      </c>
      <c r="BT14" s="5">
        <v>40</v>
      </c>
      <c r="BU14">
        <v>40</v>
      </c>
      <c r="BV14" s="2" t="s">
        <v>276</v>
      </c>
      <c r="BW14" s="2">
        <v>40</v>
      </c>
      <c r="CA14" t="s">
        <v>549</v>
      </c>
      <c r="CB14" s="1">
        <v>300</v>
      </c>
    </row>
    <row r="15" spans="2:80">
      <c r="I15" t="s">
        <v>291</v>
      </c>
      <c r="J15">
        <v>0</v>
      </c>
      <c r="K15" t="s">
        <v>291</v>
      </c>
      <c r="Y15" t="s">
        <v>865</v>
      </c>
      <c r="Z15" s="1">
        <v>0</v>
      </c>
      <c r="AE15" t="s">
        <v>276</v>
      </c>
      <c r="AF15">
        <v>40</v>
      </c>
      <c r="AN15" t="s">
        <v>871</v>
      </c>
      <c r="AO15">
        <v>3225.98</v>
      </c>
      <c r="AX15" s="1" t="s">
        <v>865</v>
      </c>
      <c r="AY15" s="1">
        <v>0</v>
      </c>
      <c r="BA15" s="6" t="s">
        <v>325</v>
      </c>
      <c r="BB15" s="6">
        <v>38.78</v>
      </c>
      <c r="BC15" s="6" t="str">
        <f t="shared" si="0"/>
        <v>靠普人力毛华英</v>
      </c>
      <c r="BD15" t="s">
        <v>322</v>
      </c>
      <c r="BG15" t="s">
        <v>872</v>
      </c>
      <c r="BH15">
        <v>0</v>
      </c>
      <c r="BJ15" s="2" t="s">
        <v>340</v>
      </c>
      <c r="BK15" s="2">
        <v>63.14</v>
      </c>
      <c r="BM15" t="s">
        <v>871</v>
      </c>
      <c r="BN15">
        <v>3587.3</v>
      </c>
      <c r="BP15" t="s">
        <v>278</v>
      </c>
      <c r="BQ15">
        <v>0</v>
      </c>
      <c r="BS15" s="5" t="s">
        <v>865</v>
      </c>
      <c r="BT15" s="5">
        <v>0</v>
      </c>
      <c r="BU15">
        <v>0</v>
      </c>
      <c r="BV15" s="2" t="s">
        <v>865</v>
      </c>
      <c r="BW15" s="2">
        <v>0</v>
      </c>
      <c r="CA15" t="s">
        <v>569</v>
      </c>
      <c r="CB15" s="1">
        <v>300</v>
      </c>
    </row>
    <row r="16" spans="2:80">
      <c r="I16" t="s">
        <v>293</v>
      </c>
      <c r="J16">
        <v>0</v>
      </c>
      <c r="K16" t="s">
        <v>293</v>
      </c>
      <c r="Y16" t="s">
        <v>279</v>
      </c>
      <c r="Z16" s="1">
        <v>40</v>
      </c>
      <c r="AE16" t="s">
        <v>865</v>
      </c>
      <c r="AF16">
        <v>0</v>
      </c>
      <c r="AN16" t="s">
        <v>873</v>
      </c>
      <c r="AO16">
        <v>1232</v>
      </c>
      <c r="AX16" s="1" t="s">
        <v>279</v>
      </c>
      <c r="AY16" s="1">
        <v>40</v>
      </c>
      <c r="BA16" s="6" t="s">
        <v>327</v>
      </c>
      <c r="BB16" s="6">
        <v>70.34</v>
      </c>
      <c r="BC16" s="6" t="str">
        <f t="shared" si="0"/>
        <v>开弈人力资源裘碧钰</v>
      </c>
      <c r="BD16" t="s">
        <v>340</v>
      </c>
      <c r="BG16" t="s">
        <v>299</v>
      </c>
      <c r="BH16">
        <v>0</v>
      </c>
      <c r="BJ16" s="2" t="s">
        <v>349</v>
      </c>
      <c r="BK16" s="2">
        <v>193.24</v>
      </c>
      <c r="BM16" t="s">
        <v>873</v>
      </c>
      <c r="BN16">
        <v>1240</v>
      </c>
      <c r="BP16" t="s">
        <v>279</v>
      </c>
      <c r="BQ16">
        <v>40</v>
      </c>
      <c r="BS16" s="5" t="s">
        <v>279</v>
      </c>
      <c r="BT16" s="5">
        <v>40</v>
      </c>
      <c r="BU16">
        <v>300</v>
      </c>
      <c r="BV16" s="2" t="s">
        <v>279</v>
      </c>
      <c r="BW16" s="2">
        <v>40</v>
      </c>
      <c r="CA16" t="s">
        <v>571</v>
      </c>
      <c r="CB16" s="1">
        <v>300</v>
      </c>
    </row>
    <row r="17" spans="9:75">
      <c r="I17" t="s">
        <v>872</v>
      </c>
      <c r="J17">
        <v>0</v>
      </c>
      <c r="K17" t="s">
        <v>872</v>
      </c>
      <c r="Y17" t="s">
        <v>867</v>
      </c>
      <c r="Z17" s="1">
        <v>0</v>
      </c>
      <c r="AE17" t="s">
        <v>279</v>
      </c>
      <c r="AF17">
        <v>40</v>
      </c>
      <c r="AN17" t="s">
        <v>874</v>
      </c>
      <c r="AO17">
        <v>3330</v>
      </c>
      <c r="AX17" s="1" t="s">
        <v>867</v>
      </c>
      <c r="AY17" s="1">
        <v>0</v>
      </c>
      <c r="BA17" s="6" t="s">
        <v>331</v>
      </c>
      <c r="BB17" s="6">
        <v>12.11</v>
      </c>
      <c r="BC17" s="6" t="str">
        <f t="shared" si="0"/>
        <v>开弈人力资源沈丽霞</v>
      </c>
      <c r="BD17" t="s">
        <v>349</v>
      </c>
      <c r="BG17" t="s">
        <v>301</v>
      </c>
      <c r="BH17">
        <v>0</v>
      </c>
      <c r="BJ17" s="2" t="s">
        <v>354</v>
      </c>
      <c r="BK17" s="2">
        <v>6152.8</v>
      </c>
      <c r="BM17" t="s">
        <v>874</v>
      </c>
      <c r="BN17">
        <v>3924</v>
      </c>
      <c r="BP17" t="s">
        <v>281</v>
      </c>
      <c r="BQ17">
        <v>0</v>
      </c>
      <c r="BS17" s="5" t="s">
        <v>875</v>
      </c>
      <c r="BT17" s="5">
        <v>0</v>
      </c>
      <c r="BU17">
        <v>40</v>
      </c>
      <c r="BV17" s="2" t="s">
        <v>875</v>
      </c>
      <c r="BW17" s="2">
        <v>0</v>
      </c>
    </row>
    <row r="18" spans="9:75">
      <c r="I18" t="s">
        <v>299</v>
      </c>
      <c r="J18">
        <v>0</v>
      </c>
      <c r="K18" t="s">
        <v>299</v>
      </c>
      <c r="Y18" t="s">
        <v>870</v>
      </c>
      <c r="Z18" s="1">
        <v>0</v>
      </c>
      <c r="AE18" t="s">
        <v>867</v>
      </c>
      <c r="AF18">
        <v>0</v>
      </c>
      <c r="AN18" t="s">
        <v>525</v>
      </c>
      <c r="AO18">
        <v>2535</v>
      </c>
      <c r="AX18" s="1" t="s">
        <v>870</v>
      </c>
      <c r="AY18" s="1">
        <v>0</v>
      </c>
      <c r="BA18" s="6" t="s">
        <v>334</v>
      </c>
      <c r="BB18" s="6">
        <v>40</v>
      </c>
      <c r="BC18" s="6" t="str">
        <f t="shared" si="0"/>
        <v>开弈人力资源王倩</v>
      </c>
      <c r="BD18" t="s">
        <v>372</v>
      </c>
      <c r="BG18" t="s">
        <v>304</v>
      </c>
      <c r="BH18">
        <v>792.9</v>
      </c>
      <c r="BJ18" s="2" t="s">
        <v>876</v>
      </c>
      <c r="BK18" s="2">
        <v>126.5</v>
      </c>
      <c r="BM18" t="s">
        <v>525</v>
      </c>
      <c r="BN18">
        <v>2310.32</v>
      </c>
      <c r="BP18" t="s">
        <v>283</v>
      </c>
      <c r="BQ18">
        <v>0</v>
      </c>
      <c r="BS18" s="5" t="s">
        <v>283</v>
      </c>
      <c r="BT18" s="5">
        <v>0</v>
      </c>
      <c r="BU18">
        <v>0</v>
      </c>
      <c r="BV18" s="2" t="s">
        <v>283</v>
      </c>
      <c r="BW18" s="2">
        <v>0</v>
      </c>
    </row>
    <row r="19" spans="9:75">
      <c r="I19" t="s">
        <v>301</v>
      </c>
      <c r="J19">
        <v>0</v>
      </c>
      <c r="K19" t="s">
        <v>301</v>
      </c>
      <c r="Y19" t="s">
        <v>287</v>
      </c>
      <c r="Z19" s="1">
        <v>0</v>
      </c>
      <c r="AE19" t="s">
        <v>870</v>
      </c>
      <c r="AF19">
        <v>0</v>
      </c>
      <c r="AN19" t="s">
        <v>306</v>
      </c>
      <c r="AO19">
        <v>6619.64</v>
      </c>
      <c r="AX19" s="1" t="s">
        <v>287</v>
      </c>
      <c r="AY19" s="1">
        <v>0</v>
      </c>
      <c r="BA19" s="6" t="s">
        <v>338</v>
      </c>
      <c r="BB19" s="6">
        <v>304.71</v>
      </c>
      <c r="BC19" s="6" t="str">
        <f t="shared" si="0"/>
        <v>开弈人力资源杨漾</v>
      </c>
      <c r="BD19" t="s">
        <v>382</v>
      </c>
      <c r="BG19" t="s">
        <v>308</v>
      </c>
      <c r="BH19">
        <v>369.97</v>
      </c>
      <c r="BJ19" s="2" t="s">
        <v>365</v>
      </c>
      <c r="BK19" s="2">
        <v>579</v>
      </c>
      <c r="BM19" t="s">
        <v>306</v>
      </c>
      <c r="BN19">
        <v>21006.97</v>
      </c>
      <c r="BP19" t="s">
        <v>285</v>
      </c>
      <c r="BQ19">
        <v>0</v>
      </c>
      <c r="BS19" s="5" t="s">
        <v>285</v>
      </c>
      <c r="BT19" s="5">
        <v>0</v>
      </c>
      <c r="BU19">
        <v>0</v>
      </c>
      <c r="BV19" s="2" t="s">
        <v>285</v>
      </c>
      <c r="BW19" s="2">
        <v>0</v>
      </c>
    </row>
    <row r="20" spans="9:75">
      <c r="I20" t="s">
        <v>304</v>
      </c>
      <c r="J20">
        <v>1085.26</v>
      </c>
      <c r="K20" t="s">
        <v>304</v>
      </c>
      <c r="Y20" t="s">
        <v>291</v>
      </c>
      <c r="Z20" s="1">
        <v>0</v>
      </c>
      <c r="AE20" t="s">
        <v>287</v>
      </c>
      <c r="AF20">
        <v>0</v>
      </c>
      <c r="AN20" t="s">
        <v>877</v>
      </c>
      <c r="AO20">
        <v>230</v>
      </c>
      <c r="AX20" s="1" t="s">
        <v>291</v>
      </c>
      <c r="AY20" s="1">
        <v>0</v>
      </c>
      <c r="BA20" s="6" t="s">
        <v>340</v>
      </c>
      <c r="BB20" s="6">
        <v>85.34</v>
      </c>
      <c r="BC20" s="6" t="str">
        <f t="shared" si="0"/>
        <v>开弈人才张祥</v>
      </c>
      <c r="BD20" t="s">
        <v>386</v>
      </c>
      <c r="BG20" t="s">
        <v>310</v>
      </c>
      <c r="BH20">
        <v>708.4</v>
      </c>
      <c r="BJ20" s="2" t="s">
        <v>368</v>
      </c>
      <c r="BK20" s="2">
        <v>195.8</v>
      </c>
      <c r="BM20" t="s">
        <v>877</v>
      </c>
      <c r="BN20">
        <v>210</v>
      </c>
      <c r="BP20" t="s">
        <v>287</v>
      </c>
      <c r="BQ20">
        <v>0</v>
      </c>
      <c r="BS20" s="5" t="s">
        <v>287</v>
      </c>
      <c r="BT20" s="5">
        <v>0</v>
      </c>
      <c r="BU20">
        <v>0</v>
      </c>
      <c r="BV20" s="2" t="s">
        <v>287</v>
      </c>
      <c r="BW20" s="2">
        <v>0</v>
      </c>
    </row>
    <row r="21" spans="9:75">
      <c r="I21" t="s">
        <v>878</v>
      </c>
      <c r="J21">
        <v>0</v>
      </c>
      <c r="K21" t="s">
        <v>878</v>
      </c>
      <c r="Y21" t="s">
        <v>293</v>
      </c>
      <c r="Z21" s="1">
        <v>0</v>
      </c>
      <c r="AE21" t="s">
        <v>291</v>
      </c>
      <c r="AF21">
        <v>0</v>
      </c>
      <c r="AN21" t="s">
        <v>633</v>
      </c>
      <c r="AO21">
        <v>1921</v>
      </c>
      <c r="AX21" s="1" t="s">
        <v>293</v>
      </c>
      <c r="AY21" s="1">
        <v>0</v>
      </c>
      <c r="BA21" s="6" t="s">
        <v>349</v>
      </c>
      <c r="BB21" s="6">
        <v>92.85</v>
      </c>
      <c r="BC21" s="6" t="str">
        <f t="shared" si="0"/>
        <v>开弈投资金学忠</v>
      </c>
      <c r="BD21" t="s">
        <v>388</v>
      </c>
      <c r="BG21" t="s">
        <v>313</v>
      </c>
      <c r="BH21">
        <v>500</v>
      </c>
      <c r="BJ21" s="2" t="s">
        <v>879</v>
      </c>
      <c r="BK21" s="2">
        <v>51.19</v>
      </c>
      <c r="BM21" t="s">
        <v>633</v>
      </c>
      <c r="BN21">
        <v>6386.8</v>
      </c>
      <c r="BP21" t="s">
        <v>289</v>
      </c>
      <c r="BQ21">
        <v>0</v>
      </c>
      <c r="BS21" s="5" t="s">
        <v>289</v>
      </c>
      <c r="BT21" s="5">
        <v>0</v>
      </c>
      <c r="BU21">
        <v>0</v>
      </c>
      <c r="BV21" s="2" t="s">
        <v>289</v>
      </c>
      <c r="BW21" s="2">
        <v>0</v>
      </c>
    </row>
    <row r="22" spans="9:75">
      <c r="I22" t="s">
        <v>308</v>
      </c>
      <c r="J22">
        <v>430.56</v>
      </c>
      <c r="K22" t="s">
        <v>308</v>
      </c>
      <c r="Y22" t="s">
        <v>872</v>
      </c>
      <c r="Z22" s="1">
        <v>0</v>
      </c>
      <c r="AE22" t="s">
        <v>293</v>
      </c>
      <c r="AF22">
        <v>0</v>
      </c>
      <c r="AN22" t="s">
        <v>339</v>
      </c>
      <c r="AO22">
        <v>4900.4</v>
      </c>
      <c r="AX22" s="1" t="s">
        <v>872</v>
      </c>
      <c r="AY22" s="1">
        <v>0</v>
      </c>
      <c r="BA22" s="6" t="s">
        <v>354</v>
      </c>
      <c r="BB22" s="6">
        <v>10000</v>
      </c>
      <c r="BC22" s="6" t="str">
        <f t="shared" si="0"/>
        <v>开弈投资韩喆</v>
      </c>
      <c r="BD22" t="s">
        <v>379</v>
      </c>
      <c r="BG22" t="s">
        <v>315</v>
      </c>
      <c r="BH22">
        <v>0</v>
      </c>
      <c r="BJ22" s="2" t="s">
        <v>370</v>
      </c>
      <c r="BK22" s="2">
        <v>223.47</v>
      </c>
      <c r="BM22" t="s">
        <v>339</v>
      </c>
      <c r="BN22">
        <v>7647.2</v>
      </c>
      <c r="BP22" t="s">
        <v>291</v>
      </c>
      <c r="BQ22">
        <v>0</v>
      </c>
      <c r="BS22" s="5" t="s">
        <v>291</v>
      </c>
      <c r="BT22" s="5">
        <v>0</v>
      </c>
      <c r="BU22">
        <v>0</v>
      </c>
      <c r="BV22" s="2" t="s">
        <v>291</v>
      </c>
      <c r="BW22" s="2">
        <v>0</v>
      </c>
    </row>
    <row r="23" spans="9:75">
      <c r="I23" t="s">
        <v>310</v>
      </c>
      <c r="J23">
        <v>2484.44</v>
      </c>
      <c r="K23" t="s">
        <v>310</v>
      </c>
      <c r="Y23" t="s">
        <v>863</v>
      </c>
      <c r="Z23" s="1">
        <v>3185.71</v>
      </c>
      <c r="AE23" t="s">
        <v>872</v>
      </c>
      <c r="AF23">
        <v>0</v>
      </c>
      <c r="AN23" t="s">
        <v>410</v>
      </c>
      <c r="AO23">
        <v>16400</v>
      </c>
      <c r="AX23" s="1" t="s">
        <v>299</v>
      </c>
      <c r="AY23" s="1">
        <v>0</v>
      </c>
      <c r="BA23" s="6" t="s">
        <v>362</v>
      </c>
      <c r="BB23" s="6">
        <v>10.34</v>
      </c>
      <c r="BC23" s="6" t="str">
        <f t="shared" si="0"/>
        <v>开弈投资周凯楠</v>
      </c>
      <c r="BD23" t="s">
        <v>395</v>
      </c>
      <c r="BG23" t="s">
        <v>869</v>
      </c>
      <c r="BH23">
        <v>14.96</v>
      </c>
      <c r="BJ23" s="2" t="s">
        <v>372</v>
      </c>
      <c r="BK23" s="2">
        <v>45.3</v>
      </c>
      <c r="BM23" t="s">
        <v>410</v>
      </c>
      <c r="BN23">
        <v>592.74</v>
      </c>
      <c r="BP23" t="s">
        <v>293</v>
      </c>
      <c r="BQ23">
        <v>0</v>
      </c>
      <c r="BS23" s="5" t="s">
        <v>293</v>
      </c>
      <c r="BT23" s="5">
        <v>0</v>
      </c>
      <c r="BU23">
        <v>0</v>
      </c>
      <c r="BV23" s="2" t="s">
        <v>293</v>
      </c>
      <c r="BW23" s="2">
        <v>0</v>
      </c>
    </row>
    <row r="24" spans="9:75">
      <c r="I24" t="s">
        <v>313</v>
      </c>
      <c r="J24">
        <v>1380</v>
      </c>
      <c r="K24" t="s">
        <v>313</v>
      </c>
      <c r="Y24" t="s">
        <v>880</v>
      </c>
      <c r="Z24" s="1">
        <v>96.78</v>
      </c>
      <c r="AE24" t="s">
        <v>299</v>
      </c>
      <c r="AF24">
        <v>0</v>
      </c>
      <c r="AX24" s="1" t="s">
        <v>301</v>
      </c>
      <c r="AY24" s="1">
        <v>0</v>
      </c>
      <c r="BA24" s="6" t="s">
        <v>876</v>
      </c>
      <c r="BB24" s="6">
        <v>126.5</v>
      </c>
      <c r="BC24" s="6" t="str">
        <f t="shared" si="0"/>
        <v>弈工分信息王佩佩</v>
      </c>
      <c r="BD24" t="s">
        <v>402</v>
      </c>
      <c r="BG24" t="s">
        <v>317</v>
      </c>
      <c r="BH24">
        <v>50.99</v>
      </c>
      <c r="BJ24" s="2" t="s">
        <v>379</v>
      </c>
      <c r="BK24" s="2">
        <v>98.25</v>
      </c>
      <c r="BP24" t="s">
        <v>295</v>
      </c>
      <c r="BQ24">
        <v>0</v>
      </c>
      <c r="BS24" s="5" t="s">
        <v>872</v>
      </c>
      <c r="BT24" s="5">
        <v>0</v>
      </c>
      <c r="BU24">
        <v>0</v>
      </c>
      <c r="BV24" s="2" t="s">
        <v>872</v>
      </c>
      <c r="BW24" s="2">
        <v>0</v>
      </c>
    </row>
    <row r="25" spans="9:75">
      <c r="I25" t="s">
        <v>315</v>
      </c>
      <c r="J25">
        <v>0</v>
      </c>
      <c r="K25" t="s">
        <v>315</v>
      </c>
      <c r="Y25" t="s">
        <v>881</v>
      </c>
      <c r="Z25" s="1">
        <v>6.9</v>
      </c>
      <c r="AE25" t="s">
        <v>301</v>
      </c>
      <c r="AF25">
        <v>0</v>
      </c>
      <c r="AX25" s="1" t="s">
        <v>304</v>
      </c>
      <c r="AY25" s="1">
        <v>792.9</v>
      </c>
      <c r="BA25" s="6" t="s">
        <v>365</v>
      </c>
      <c r="BB25" s="6">
        <v>557.4</v>
      </c>
      <c r="BC25" s="6" t="e">
        <f t="shared" si="0"/>
        <v>#N/A</v>
      </c>
      <c r="BD25" t="s">
        <v>409</v>
      </c>
      <c r="BG25" t="s">
        <v>322</v>
      </c>
      <c r="BH25">
        <v>1125</v>
      </c>
      <c r="BJ25" s="2" t="s">
        <v>382</v>
      </c>
      <c r="BK25" s="2">
        <v>17.95</v>
      </c>
      <c r="BP25" t="s">
        <v>299</v>
      </c>
      <c r="BQ25">
        <v>0</v>
      </c>
      <c r="BS25" s="5" t="s">
        <v>299</v>
      </c>
      <c r="BT25" s="5">
        <v>0</v>
      </c>
      <c r="BU25">
        <v>0</v>
      </c>
      <c r="BV25" s="2" t="s">
        <v>299</v>
      </c>
      <c r="BW25" s="2">
        <v>0</v>
      </c>
    </row>
    <row r="26" spans="9:75">
      <c r="I26" t="s">
        <v>869</v>
      </c>
      <c r="J26">
        <v>20.91</v>
      </c>
      <c r="K26" t="s">
        <v>869</v>
      </c>
      <c r="Y26" t="s">
        <v>882</v>
      </c>
      <c r="Z26" s="1">
        <v>7.17</v>
      </c>
      <c r="AE26" t="s">
        <v>304</v>
      </c>
      <c r="AF26">
        <v>792.9</v>
      </c>
      <c r="AX26" s="1" t="s">
        <v>308</v>
      </c>
      <c r="AY26" s="1">
        <v>368.38</v>
      </c>
      <c r="BA26" s="6" t="s">
        <v>368</v>
      </c>
      <c r="BB26" s="6">
        <v>193.03</v>
      </c>
      <c r="BC26" s="6" t="e">
        <f t="shared" si="0"/>
        <v>#N/A</v>
      </c>
      <c r="BD26" t="s">
        <v>398</v>
      </c>
      <c r="BG26" t="s">
        <v>325</v>
      </c>
      <c r="BH26">
        <v>35.99</v>
      </c>
      <c r="BJ26" s="2" t="s">
        <v>388</v>
      </c>
      <c r="BK26" s="2">
        <v>42.31</v>
      </c>
      <c r="BP26" t="s">
        <v>863</v>
      </c>
      <c r="BQ26">
        <v>3057.32</v>
      </c>
      <c r="BS26" s="5" t="s">
        <v>301</v>
      </c>
      <c r="BT26" s="5">
        <v>0</v>
      </c>
      <c r="BU26">
        <v>0</v>
      </c>
      <c r="BV26" s="2" t="s">
        <v>301</v>
      </c>
      <c r="BW26" s="2">
        <v>0</v>
      </c>
    </row>
    <row r="27" spans="9:75">
      <c r="I27" t="s">
        <v>317</v>
      </c>
      <c r="J27">
        <v>102.44</v>
      </c>
      <c r="K27" t="s">
        <v>317</v>
      </c>
      <c r="Y27" t="s">
        <v>883</v>
      </c>
      <c r="Z27" s="1">
        <v>99.9</v>
      </c>
      <c r="AE27" t="s">
        <v>878</v>
      </c>
      <c r="AF27">
        <v>0</v>
      </c>
      <c r="AX27" s="1" t="s">
        <v>310</v>
      </c>
      <c r="AY27" s="1">
        <v>708.4</v>
      </c>
      <c r="BA27" s="6" t="s">
        <v>370</v>
      </c>
      <c r="BB27" s="6">
        <v>220.69</v>
      </c>
      <c r="BC27" s="6" t="e">
        <f t="shared" si="0"/>
        <v>#N/A</v>
      </c>
      <c r="BD27" t="s">
        <v>403</v>
      </c>
      <c r="BG27" t="s">
        <v>327</v>
      </c>
      <c r="BH27">
        <v>369.97</v>
      </c>
      <c r="BJ27" s="2" t="s">
        <v>393</v>
      </c>
      <c r="BK27" s="2">
        <v>508.79</v>
      </c>
      <c r="BP27" t="s">
        <v>301</v>
      </c>
      <c r="BQ27">
        <v>0</v>
      </c>
      <c r="BS27" s="5" t="s">
        <v>304</v>
      </c>
      <c r="BT27" s="5">
        <v>245.89</v>
      </c>
      <c r="BU27">
        <v>0</v>
      </c>
      <c r="BV27" s="2" t="s">
        <v>304</v>
      </c>
      <c r="BW27" s="2">
        <v>1981.55</v>
      </c>
    </row>
    <row r="28" spans="9:75">
      <c r="I28" t="s">
        <v>322</v>
      </c>
      <c r="J28">
        <v>1125</v>
      </c>
      <c r="K28" t="s">
        <v>322</v>
      </c>
      <c r="Y28" t="s">
        <v>884</v>
      </c>
      <c r="Z28" s="1">
        <v>36.96</v>
      </c>
      <c r="AE28" t="s">
        <v>308</v>
      </c>
      <c r="AF28">
        <v>370.77</v>
      </c>
      <c r="AX28" s="1" t="s">
        <v>313</v>
      </c>
      <c r="AY28" s="1">
        <v>500</v>
      </c>
      <c r="BA28" s="6" t="s">
        <v>372</v>
      </c>
      <c r="BB28" s="6">
        <v>79.34</v>
      </c>
      <c r="BC28" s="6" t="str">
        <f t="shared" si="0"/>
        <v>开弈投资李蕾</v>
      </c>
      <c r="BD28" t="s">
        <v>393</v>
      </c>
      <c r="BG28" t="s">
        <v>329</v>
      </c>
      <c r="BH28">
        <v>0</v>
      </c>
      <c r="BJ28" s="2" t="s">
        <v>395</v>
      </c>
      <c r="BK28" s="2">
        <v>393.85</v>
      </c>
      <c r="BP28" t="s">
        <v>304</v>
      </c>
      <c r="BQ28">
        <v>1076.67</v>
      </c>
      <c r="BS28" s="5" t="s">
        <v>308</v>
      </c>
      <c r="BT28" s="5">
        <v>115.66</v>
      </c>
      <c r="BU28">
        <v>244.92</v>
      </c>
      <c r="BV28" s="2" t="s">
        <v>308</v>
      </c>
      <c r="BW28" s="2">
        <v>212.87</v>
      </c>
    </row>
    <row r="29" spans="9:75">
      <c r="I29" t="s">
        <v>325</v>
      </c>
      <c r="J29">
        <v>216.83</v>
      </c>
      <c r="K29" t="s">
        <v>325</v>
      </c>
      <c r="Y29" t="s">
        <v>885</v>
      </c>
      <c r="Z29" s="1">
        <v>6.75</v>
      </c>
      <c r="AE29" t="s">
        <v>310</v>
      </c>
      <c r="AF29">
        <v>708.4</v>
      </c>
      <c r="AX29" s="1" t="s">
        <v>315</v>
      </c>
      <c r="AY29" s="1">
        <v>0</v>
      </c>
      <c r="BA29" s="6" t="s">
        <v>379</v>
      </c>
      <c r="BB29" s="6">
        <v>66.82</v>
      </c>
      <c r="BC29" s="6" t="str">
        <f t="shared" si="0"/>
        <v>开弈投资邵吴慧</v>
      </c>
      <c r="BD29" t="s">
        <v>428</v>
      </c>
      <c r="BG29" t="s">
        <v>331</v>
      </c>
      <c r="BH29">
        <v>5.06</v>
      </c>
      <c r="BJ29" s="2" t="s">
        <v>398</v>
      </c>
      <c r="BK29" s="2">
        <v>12.04</v>
      </c>
      <c r="BP29" t="s">
        <v>308</v>
      </c>
      <c r="BQ29">
        <v>1242.48</v>
      </c>
      <c r="BS29" s="5" t="s">
        <v>310</v>
      </c>
      <c r="BT29" s="5">
        <v>8.53</v>
      </c>
      <c r="BU29">
        <v>115.34</v>
      </c>
      <c r="BV29" s="2" t="s">
        <v>310</v>
      </c>
      <c r="BW29" s="2">
        <v>4898.96</v>
      </c>
    </row>
    <row r="30" spans="9:75">
      <c r="I30" t="s">
        <v>327</v>
      </c>
      <c r="J30">
        <v>405.27</v>
      </c>
      <c r="K30" t="s">
        <v>327</v>
      </c>
      <c r="Y30" t="s">
        <v>886</v>
      </c>
      <c r="Z30" s="1">
        <v>90</v>
      </c>
      <c r="AE30" t="s">
        <v>313</v>
      </c>
      <c r="AF30">
        <v>500</v>
      </c>
      <c r="AX30" s="1" t="s">
        <v>869</v>
      </c>
      <c r="AY30" s="1">
        <v>16.79</v>
      </c>
      <c r="BA30" s="6" t="s">
        <v>382</v>
      </c>
      <c r="BB30" s="6">
        <v>17.96</v>
      </c>
      <c r="BC30" s="6" t="str">
        <f t="shared" si="0"/>
        <v>开弈投资王建平</v>
      </c>
      <c r="BD30" t="s">
        <v>426</v>
      </c>
      <c r="BG30" t="s">
        <v>333</v>
      </c>
      <c r="BH30">
        <v>0</v>
      </c>
      <c r="BJ30" s="2" t="s">
        <v>402</v>
      </c>
      <c r="BK30" s="2">
        <v>37.32</v>
      </c>
      <c r="BP30" t="s">
        <v>310</v>
      </c>
      <c r="BQ30">
        <v>8465.64</v>
      </c>
      <c r="BS30" s="5" t="s">
        <v>313</v>
      </c>
      <c r="BT30" s="5">
        <v>150</v>
      </c>
      <c r="BU30">
        <v>162.89</v>
      </c>
      <c r="BV30" s="2" t="s">
        <v>313</v>
      </c>
      <c r="BW30" s="2">
        <v>150</v>
      </c>
    </row>
    <row r="31" spans="9:75">
      <c r="I31" t="s">
        <v>887</v>
      </c>
      <c r="J31">
        <v>0</v>
      </c>
      <c r="K31" t="s">
        <v>887</v>
      </c>
      <c r="Y31" t="s">
        <v>299</v>
      </c>
      <c r="Z31" s="1">
        <v>0</v>
      </c>
      <c r="AE31" t="s">
        <v>315</v>
      </c>
      <c r="AF31">
        <v>0</v>
      </c>
      <c r="AX31" s="1" t="s">
        <v>317</v>
      </c>
      <c r="AY31" s="1">
        <v>48.31</v>
      </c>
      <c r="BA31" s="6" t="s">
        <v>386</v>
      </c>
      <c r="BB31" s="6">
        <v>37.35</v>
      </c>
      <c r="BC31" s="6" t="str">
        <f t="shared" si="0"/>
        <v>开弈投资王韬</v>
      </c>
      <c r="BD31" t="s">
        <v>431</v>
      </c>
      <c r="BG31" t="s">
        <v>334</v>
      </c>
      <c r="BH31">
        <v>40</v>
      </c>
      <c r="BJ31" s="2" t="s">
        <v>403</v>
      </c>
      <c r="BK31" s="2">
        <v>40</v>
      </c>
      <c r="BP31" t="s">
        <v>313</v>
      </c>
      <c r="BQ31">
        <v>5500</v>
      </c>
      <c r="BS31" s="5" t="s">
        <v>315</v>
      </c>
      <c r="BT31" s="5">
        <v>0</v>
      </c>
      <c r="BU31">
        <v>124.53</v>
      </c>
      <c r="BV31" s="2" t="s">
        <v>315</v>
      </c>
      <c r="BW31" s="2">
        <v>0</v>
      </c>
    </row>
    <row r="32" spans="9:75">
      <c r="I32" t="s">
        <v>331</v>
      </c>
      <c r="J32">
        <v>14.15</v>
      </c>
      <c r="K32" t="s">
        <v>331</v>
      </c>
      <c r="Y32" t="s">
        <v>301</v>
      </c>
      <c r="Z32" s="1">
        <v>0</v>
      </c>
      <c r="AE32" t="s">
        <v>869</v>
      </c>
      <c r="AF32">
        <v>20.34</v>
      </c>
      <c r="AX32" s="1" t="s">
        <v>322</v>
      </c>
      <c r="AY32" s="1">
        <v>1125</v>
      </c>
      <c r="BA32" s="6" t="s">
        <v>388</v>
      </c>
      <c r="BB32" s="6">
        <v>76.35</v>
      </c>
      <c r="BC32" s="6" t="str">
        <f t="shared" si="0"/>
        <v>开弈投资王永佳</v>
      </c>
      <c r="BD32" t="s">
        <v>435</v>
      </c>
      <c r="BG32" t="s">
        <v>336</v>
      </c>
      <c r="BH32">
        <v>0</v>
      </c>
      <c r="BJ32" s="2" t="s">
        <v>409</v>
      </c>
      <c r="BK32" s="2">
        <v>933.02</v>
      </c>
      <c r="BP32" t="s">
        <v>315</v>
      </c>
      <c r="BQ32">
        <v>0</v>
      </c>
      <c r="BS32" s="5" t="s">
        <v>317</v>
      </c>
      <c r="BT32" s="5">
        <v>55.67</v>
      </c>
      <c r="BU32">
        <v>0</v>
      </c>
      <c r="BV32" s="2" t="s">
        <v>317</v>
      </c>
      <c r="BW32" s="2">
        <v>139.89</v>
      </c>
    </row>
    <row r="33" spans="9:75">
      <c r="I33" t="s">
        <v>333</v>
      </c>
      <c r="J33">
        <v>0</v>
      </c>
      <c r="K33" t="s">
        <v>333</v>
      </c>
      <c r="Y33" t="s">
        <v>304</v>
      </c>
      <c r="Z33" s="1">
        <v>1087.98</v>
      </c>
      <c r="AE33" t="s">
        <v>317</v>
      </c>
      <c r="AF33">
        <v>49.57</v>
      </c>
      <c r="AX33" s="1" t="s">
        <v>325</v>
      </c>
      <c r="AY33" s="1">
        <v>32.41</v>
      </c>
      <c r="BA33" s="6" t="s">
        <v>393</v>
      </c>
      <c r="BB33" s="6">
        <v>508.8</v>
      </c>
      <c r="BC33" s="6" t="str">
        <f t="shared" si="0"/>
        <v>开弈信息杜宪</v>
      </c>
      <c r="BD33" t="s">
        <v>444</v>
      </c>
      <c r="BG33" t="s">
        <v>338</v>
      </c>
      <c r="BH33">
        <v>1001.2</v>
      </c>
      <c r="BJ33" s="2" t="s">
        <v>412</v>
      </c>
      <c r="BK33" s="2">
        <v>272</v>
      </c>
      <c r="BP33" t="s">
        <v>869</v>
      </c>
      <c r="BQ33">
        <v>15.2</v>
      </c>
      <c r="BS33" s="5" t="s">
        <v>322</v>
      </c>
      <c r="BT33" s="5">
        <v>2175.84</v>
      </c>
      <c r="BU33">
        <v>11.45</v>
      </c>
      <c r="BV33" s="2" t="s">
        <v>322</v>
      </c>
      <c r="BW33" s="2">
        <v>1953.04</v>
      </c>
    </row>
    <row r="34" spans="9:75">
      <c r="I34" t="s">
        <v>334</v>
      </c>
      <c r="J34">
        <v>40</v>
      </c>
      <c r="K34" t="s">
        <v>334</v>
      </c>
      <c r="Y34" t="s">
        <v>308</v>
      </c>
      <c r="Z34" s="1">
        <v>1370.12</v>
      </c>
      <c r="AE34" t="s">
        <v>322</v>
      </c>
      <c r="AF34">
        <v>1125</v>
      </c>
      <c r="AX34" s="1" t="s">
        <v>327</v>
      </c>
      <c r="AY34" s="1">
        <v>347.36</v>
      </c>
      <c r="BA34" s="6" t="s">
        <v>395</v>
      </c>
      <c r="BB34" s="6">
        <v>459.6</v>
      </c>
      <c r="BC34" s="6" t="str">
        <f t="shared" si="0"/>
        <v>开弈信息黄欢欢</v>
      </c>
      <c r="BD34" t="s">
        <v>439</v>
      </c>
      <c r="BG34" t="s">
        <v>888</v>
      </c>
      <c r="BH34">
        <v>0</v>
      </c>
      <c r="BJ34" s="2" t="s">
        <v>426</v>
      </c>
      <c r="BK34" s="2">
        <v>40</v>
      </c>
      <c r="BP34" t="s">
        <v>317</v>
      </c>
      <c r="BQ34">
        <v>208.18</v>
      </c>
      <c r="BS34" s="5" t="s">
        <v>325</v>
      </c>
      <c r="BT34" s="5">
        <v>37.56</v>
      </c>
      <c r="BU34">
        <v>55.33</v>
      </c>
      <c r="BV34" s="2" t="s">
        <v>325</v>
      </c>
      <c r="BW34" s="2">
        <v>233.35</v>
      </c>
    </row>
    <row r="35" spans="9:75">
      <c r="I35" t="s">
        <v>336</v>
      </c>
      <c r="J35">
        <v>0</v>
      </c>
      <c r="K35" t="s">
        <v>336</v>
      </c>
      <c r="Y35" t="s">
        <v>310</v>
      </c>
      <c r="Z35" s="1">
        <v>708.4</v>
      </c>
      <c r="AE35" t="s">
        <v>325</v>
      </c>
      <c r="AF35">
        <v>33.13</v>
      </c>
      <c r="AX35" s="1" t="s">
        <v>887</v>
      </c>
      <c r="AY35" s="1">
        <v>0</v>
      </c>
      <c r="BA35" s="6" t="s">
        <v>398</v>
      </c>
      <c r="BB35" s="6">
        <v>55.34</v>
      </c>
      <c r="BC35" s="6" t="str">
        <f t="shared" si="0"/>
        <v>开弈信息沈明明</v>
      </c>
      <c r="BD35" t="s">
        <v>442</v>
      </c>
      <c r="BG35" t="s">
        <v>340</v>
      </c>
      <c r="BH35">
        <v>269.97</v>
      </c>
      <c r="BJ35" s="2" t="s">
        <v>428</v>
      </c>
      <c r="BK35" s="2">
        <v>69.46</v>
      </c>
      <c r="BP35" t="s">
        <v>322</v>
      </c>
      <c r="BQ35">
        <v>1125</v>
      </c>
      <c r="BS35" s="5" t="s">
        <v>327</v>
      </c>
      <c r="BT35" s="5">
        <v>0</v>
      </c>
      <c r="BU35">
        <v>6026.19</v>
      </c>
      <c r="BV35" s="2" t="s">
        <v>327</v>
      </c>
      <c r="BW35" s="2">
        <v>0</v>
      </c>
    </row>
    <row r="36" spans="9:75">
      <c r="I36" t="s">
        <v>338</v>
      </c>
      <c r="J36">
        <v>1397.16</v>
      </c>
      <c r="K36" t="s">
        <v>338</v>
      </c>
      <c r="Y36" t="s">
        <v>313</v>
      </c>
      <c r="Z36" s="1">
        <v>500</v>
      </c>
      <c r="AE36" t="s">
        <v>327</v>
      </c>
      <c r="AF36">
        <v>111.23</v>
      </c>
      <c r="AX36" s="1" t="s">
        <v>331</v>
      </c>
      <c r="AY36" s="1">
        <v>4.58</v>
      </c>
      <c r="BA36" s="6" t="s">
        <v>402</v>
      </c>
      <c r="BB36" s="6">
        <v>46.74</v>
      </c>
      <c r="BC36" s="6" t="str">
        <f t="shared" si="0"/>
        <v>开弈信息黄燕婷</v>
      </c>
      <c r="BD36" t="s">
        <v>449</v>
      </c>
      <c r="BG36" t="s">
        <v>344</v>
      </c>
      <c r="BH36">
        <v>0</v>
      </c>
      <c r="BJ36" s="2" t="s">
        <v>431</v>
      </c>
      <c r="BK36" s="2">
        <v>40</v>
      </c>
      <c r="BP36" t="s">
        <v>325</v>
      </c>
      <c r="BQ36">
        <v>188.75</v>
      </c>
      <c r="BS36" s="5" t="s">
        <v>329</v>
      </c>
      <c r="BT36" s="5">
        <v>0</v>
      </c>
      <c r="BU36">
        <v>34.13</v>
      </c>
      <c r="BV36" s="2" t="s">
        <v>329</v>
      </c>
      <c r="BW36" s="2">
        <v>0</v>
      </c>
    </row>
    <row r="37" spans="9:75">
      <c r="I37" t="s">
        <v>888</v>
      </c>
      <c r="J37">
        <v>0</v>
      </c>
      <c r="K37" t="s">
        <v>888</v>
      </c>
      <c r="Y37" t="s">
        <v>315</v>
      </c>
      <c r="Z37" s="1">
        <v>0</v>
      </c>
      <c r="AE37" t="s">
        <v>887</v>
      </c>
      <c r="AF37">
        <v>0</v>
      </c>
      <c r="AX37" s="1" t="s">
        <v>333</v>
      </c>
      <c r="AY37" s="1">
        <v>0</v>
      </c>
      <c r="BA37" s="6" t="s">
        <v>403</v>
      </c>
      <c r="BB37" s="6">
        <v>40</v>
      </c>
      <c r="BC37" s="6" t="str">
        <f t="shared" si="0"/>
        <v>开弈信息王倩</v>
      </c>
      <c r="BD37" t="s">
        <v>448</v>
      </c>
      <c r="BG37" t="s">
        <v>349</v>
      </c>
      <c r="BH37">
        <v>646.05</v>
      </c>
      <c r="BJ37" s="2" t="s">
        <v>435</v>
      </c>
      <c r="BK37" s="2">
        <v>40</v>
      </c>
      <c r="BP37" t="s">
        <v>327</v>
      </c>
      <c r="BQ37">
        <v>482.47</v>
      </c>
      <c r="BS37" s="5" t="s">
        <v>331</v>
      </c>
      <c r="BT37" s="5">
        <v>10.17</v>
      </c>
      <c r="BU37">
        <v>0</v>
      </c>
      <c r="BV37" s="2" t="s">
        <v>331</v>
      </c>
      <c r="BW37" s="2">
        <v>299.42</v>
      </c>
    </row>
    <row r="38" spans="9:75">
      <c r="I38" t="s">
        <v>340</v>
      </c>
      <c r="J38">
        <v>229.18</v>
      </c>
      <c r="K38" t="s">
        <v>340</v>
      </c>
      <c r="Y38" t="s">
        <v>869</v>
      </c>
      <c r="Z38" s="1">
        <v>15.76</v>
      </c>
      <c r="AE38" t="s">
        <v>331</v>
      </c>
      <c r="AF38">
        <v>5.3</v>
      </c>
      <c r="AX38" s="1" t="s">
        <v>334</v>
      </c>
      <c r="AY38" s="1">
        <v>40</v>
      </c>
      <c r="BA38" s="6" t="s">
        <v>409</v>
      </c>
      <c r="BB38" s="6">
        <v>609.36</v>
      </c>
      <c r="BC38" s="6" t="str">
        <f t="shared" si="0"/>
        <v>开弈信息张毅</v>
      </c>
      <c r="BD38" t="s">
        <v>454</v>
      </c>
      <c r="BG38" t="s">
        <v>354</v>
      </c>
      <c r="BH38">
        <v>10000</v>
      </c>
      <c r="BJ38" s="2" t="s">
        <v>439</v>
      </c>
      <c r="BK38" s="2">
        <v>45.66</v>
      </c>
      <c r="BP38" t="s">
        <v>329</v>
      </c>
      <c r="BQ38">
        <v>0</v>
      </c>
      <c r="BS38" s="5" t="s">
        <v>333</v>
      </c>
      <c r="BT38" s="5">
        <v>0</v>
      </c>
      <c r="BU38">
        <v>0</v>
      </c>
      <c r="BV38" s="2" t="s">
        <v>333</v>
      </c>
      <c r="BW38" s="2">
        <v>0</v>
      </c>
    </row>
    <row r="39" spans="9:75">
      <c r="I39" t="s">
        <v>344</v>
      </c>
      <c r="J39">
        <v>0</v>
      </c>
      <c r="K39" t="s">
        <v>344</v>
      </c>
      <c r="Y39" t="s">
        <v>317</v>
      </c>
      <c r="Z39" s="1">
        <v>104.9</v>
      </c>
      <c r="AE39" t="s">
        <v>333</v>
      </c>
      <c r="AF39">
        <v>0</v>
      </c>
      <c r="AX39" s="1" t="s">
        <v>336</v>
      </c>
      <c r="AY39" s="1">
        <v>0</v>
      </c>
      <c r="BA39" s="6" t="s">
        <v>412</v>
      </c>
      <c r="BB39" s="6">
        <v>349.35</v>
      </c>
      <c r="BC39" s="6" t="str">
        <f t="shared" si="0"/>
        <v>开弈信息蔡心宇</v>
      </c>
      <c r="BD39" t="s">
        <v>450</v>
      </c>
      <c r="BG39" t="s">
        <v>889</v>
      </c>
      <c r="BH39">
        <v>1442.64</v>
      </c>
      <c r="BJ39" s="2" t="s">
        <v>442</v>
      </c>
      <c r="BK39" s="2">
        <v>463.92</v>
      </c>
      <c r="BP39" t="s">
        <v>331</v>
      </c>
      <c r="BQ39">
        <v>30</v>
      </c>
      <c r="BS39" s="5" t="s">
        <v>334</v>
      </c>
      <c r="BT39" s="5">
        <v>40</v>
      </c>
      <c r="BU39">
        <v>0</v>
      </c>
      <c r="BV39" s="2" t="s">
        <v>334</v>
      </c>
      <c r="BW39" s="2">
        <v>40</v>
      </c>
    </row>
    <row r="40" spans="9:75">
      <c r="I40" t="s">
        <v>890</v>
      </c>
      <c r="J40">
        <v>3853.13</v>
      </c>
      <c r="K40" t="s">
        <v>890</v>
      </c>
      <c r="Y40" t="s">
        <v>322</v>
      </c>
      <c r="Z40" s="1">
        <v>1125</v>
      </c>
      <c r="AE40" t="s">
        <v>334</v>
      </c>
      <c r="AF40">
        <v>40</v>
      </c>
      <c r="AX40" s="1" t="s">
        <v>338</v>
      </c>
      <c r="AY40" s="1">
        <v>1001.2</v>
      </c>
      <c r="BA40" s="6" t="s">
        <v>426</v>
      </c>
      <c r="BB40" s="6">
        <v>40</v>
      </c>
      <c r="BC40" s="6" t="str">
        <f t="shared" si="0"/>
        <v>靠普人力杜宪</v>
      </c>
      <c r="BD40" t="s">
        <v>459</v>
      </c>
      <c r="BG40" t="s">
        <v>358</v>
      </c>
      <c r="BH40">
        <v>0</v>
      </c>
      <c r="BJ40" s="2" t="s">
        <v>444</v>
      </c>
      <c r="BK40" s="2">
        <v>61.66</v>
      </c>
      <c r="BP40" t="s">
        <v>333</v>
      </c>
      <c r="BQ40">
        <v>0</v>
      </c>
      <c r="BS40" s="5" t="s">
        <v>336</v>
      </c>
      <c r="BT40" s="5">
        <v>0</v>
      </c>
      <c r="BU40">
        <v>0</v>
      </c>
      <c r="BV40" s="2" t="s">
        <v>336</v>
      </c>
      <c r="BW40" s="2">
        <v>0</v>
      </c>
    </row>
    <row r="41" spans="9:75">
      <c r="I41" t="s">
        <v>349</v>
      </c>
      <c r="J41">
        <v>127.19</v>
      </c>
      <c r="K41" t="s">
        <v>349</v>
      </c>
      <c r="Y41" t="s">
        <v>325</v>
      </c>
      <c r="Z41" s="1">
        <v>211.41</v>
      </c>
      <c r="AE41" t="s">
        <v>336</v>
      </c>
      <c r="AF41">
        <v>0</v>
      </c>
      <c r="AX41" s="1" t="s">
        <v>888</v>
      </c>
      <c r="AY41" s="1">
        <v>0</v>
      </c>
      <c r="BA41" s="6" t="s">
        <v>428</v>
      </c>
      <c r="BB41" s="6">
        <v>104.27</v>
      </c>
      <c r="BC41" s="6" t="str">
        <f t="shared" si="0"/>
        <v>靠普人力季嘉莉</v>
      </c>
      <c r="BD41" t="s">
        <v>463</v>
      </c>
      <c r="BG41" t="s">
        <v>362</v>
      </c>
      <c r="BH41">
        <v>0</v>
      </c>
      <c r="BJ41" s="2" t="s">
        <v>448</v>
      </c>
      <c r="BK41" s="2">
        <v>186.37</v>
      </c>
      <c r="BP41" t="s">
        <v>334</v>
      </c>
      <c r="BQ41">
        <v>40</v>
      </c>
      <c r="BS41" s="5" t="s">
        <v>338</v>
      </c>
      <c r="BT41" s="5">
        <v>514.64</v>
      </c>
      <c r="BU41">
        <v>40</v>
      </c>
      <c r="BV41" s="2" t="s">
        <v>338</v>
      </c>
      <c r="BW41" s="2">
        <v>3310.66</v>
      </c>
    </row>
    <row r="42" spans="9:75">
      <c r="I42" t="s">
        <v>354</v>
      </c>
      <c r="J42">
        <v>10000</v>
      </c>
      <c r="K42" t="s">
        <v>354</v>
      </c>
      <c r="Y42" t="s">
        <v>327</v>
      </c>
      <c r="Z42" s="1">
        <v>139.48</v>
      </c>
      <c r="AE42" t="s">
        <v>338</v>
      </c>
      <c r="AF42">
        <v>1001.2</v>
      </c>
      <c r="AX42" s="1" t="s">
        <v>340</v>
      </c>
      <c r="AY42" s="1">
        <v>268.37</v>
      </c>
      <c r="BA42" s="6" t="s">
        <v>431</v>
      </c>
      <c r="BB42" s="6">
        <v>40</v>
      </c>
      <c r="BC42" s="6" t="str">
        <f t="shared" si="0"/>
        <v>开弈人力资源杜宪</v>
      </c>
      <c r="BD42" t="s">
        <v>457</v>
      </c>
      <c r="BG42" t="s">
        <v>876</v>
      </c>
      <c r="BH42">
        <v>126.5</v>
      </c>
      <c r="BJ42" s="2" t="s">
        <v>449</v>
      </c>
      <c r="BK42" s="2">
        <v>160.64</v>
      </c>
      <c r="BP42" t="s">
        <v>336</v>
      </c>
      <c r="BQ42">
        <v>0</v>
      </c>
      <c r="BS42" s="5" t="s">
        <v>340</v>
      </c>
      <c r="BT42" s="5">
        <v>85.66</v>
      </c>
      <c r="BU42">
        <v>0</v>
      </c>
      <c r="BV42" s="2" t="s">
        <v>340</v>
      </c>
      <c r="BW42" s="2">
        <v>236.75</v>
      </c>
    </row>
    <row r="43" spans="9:75">
      <c r="I43" t="s">
        <v>889</v>
      </c>
      <c r="J43">
        <v>449.06</v>
      </c>
      <c r="K43" t="s">
        <v>889</v>
      </c>
      <c r="Y43" t="s">
        <v>887</v>
      </c>
      <c r="Z43" s="1">
        <v>0</v>
      </c>
      <c r="AE43" t="s">
        <v>888</v>
      </c>
      <c r="AF43">
        <v>0</v>
      </c>
      <c r="AX43" s="1" t="s">
        <v>344</v>
      </c>
      <c r="AY43" s="1">
        <v>0</v>
      </c>
      <c r="BA43" s="6" t="s">
        <v>435</v>
      </c>
      <c r="BB43" s="6">
        <v>40</v>
      </c>
      <c r="BC43" s="6" t="str">
        <f t="shared" si="0"/>
        <v>深圳和弈王倩</v>
      </c>
      <c r="BD43" t="s">
        <v>518</v>
      </c>
      <c r="BG43" t="s">
        <v>891</v>
      </c>
      <c r="BH43">
        <v>225</v>
      </c>
      <c r="BJ43" s="2" t="s">
        <v>450</v>
      </c>
      <c r="BK43" s="2">
        <v>40</v>
      </c>
      <c r="BP43" t="s">
        <v>338</v>
      </c>
      <c r="BQ43">
        <v>5397.26</v>
      </c>
      <c r="BS43" s="5" t="s">
        <v>344</v>
      </c>
      <c r="BT43" s="5">
        <v>0</v>
      </c>
      <c r="BU43">
        <v>304.71</v>
      </c>
      <c r="BV43" s="2" t="s">
        <v>344</v>
      </c>
      <c r="BW43" s="2">
        <v>0</v>
      </c>
    </row>
    <row r="44" spans="9:75">
      <c r="I44" t="s">
        <v>358</v>
      </c>
      <c r="J44">
        <v>0</v>
      </c>
      <c r="K44" t="s">
        <v>358</v>
      </c>
      <c r="Y44" t="s">
        <v>331</v>
      </c>
      <c r="Z44" s="1">
        <v>16.72</v>
      </c>
      <c r="AE44" t="s">
        <v>340</v>
      </c>
      <c r="AF44">
        <v>81.23</v>
      </c>
      <c r="AX44" s="1" t="s">
        <v>890</v>
      </c>
      <c r="AY44" s="1">
        <v>261.76</v>
      </c>
      <c r="BA44" s="6" t="s">
        <v>439</v>
      </c>
      <c r="BB44" s="6">
        <v>107.45</v>
      </c>
      <c r="BC44" s="6" t="str">
        <f t="shared" si="0"/>
        <v>弈工分信息安东生</v>
      </c>
      <c r="BD44" t="s">
        <v>519</v>
      </c>
      <c r="BG44" t="s">
        <v>892</v>
      </c>
      <c r="BH44">
        <v>42</v>
      </c>
      <c r="BJ44" s="2" t="s">
        <v>893</v>
      </c>
      <c r="BK44" s="2">
        <v>40</v>
      </c>
      <c r="BP44" t="s">
        <v>888</v>
      </c>
      <c r="BQ44">
        <v>0</v>
      </c>
      <c r="BS44" s="5" t="s">
        <v>349</v>
      </c>
      <c r="BT44" s="5">
        <v>93.18</v>
      </c>
      <c r="BU44">
        <v>0</v>
      </c>
      <c r="BV44" s="2" t="s">
        <v>349</v>
      </c>
      <c r="BW44" s="2">
        <v>93.17</v>
      </c>
    </row>
    <row r="45" spans="9:75">
      <c r="I45" t="s">
        <v>894</v>
      </c>
      <c r="J45">
        <v>300</v>
      </c>
      <c r="K45" t="s">
        <v>894</v>
      </c>
      <c r="Y45" t="s">
        <v>333</v>
      </c>
      <c r="Z45" s="1">
        <v>0</v>
      </c>
      <c r="AE45" t="s">
        <v>344</v>
      </c>
      <c r="AF45">
        <v>0</v>
      </c>
      <c r="AX45" s="1" t="s">
        <v>349</v>
      </c>
      <c r="AY45" s="1">
        <v>97.5</v>
      </c>
      <c r="BA45" s="6" t="s">
        <v>442</v>
      </c>
      <c r="BB45" s="6">
        <v>463.92</v>
      </c>
      <c r="BC45" s="6" t="str">
        <f t="shared" si="0"/>
        <v>时代人才常虹</v>
      </c>
      <c r="BD45" t="s">
        <v>521</v>
      </c>
      <c r="BG45" t="s">
        <v>895</v>
      </c>
      <c r="BH45">
        <v>0</v>
      </c>
      <c r="BJ45" s="2" t="s">
        <v>463</v>
      </c>
      <c r="BK45" s="2">
        <v>20.91</v>
      </c>
      <c r="BP45" t="s">
        <v>340</v>
      </c>
      <c r="BQ45">
        <v>1034.69</v>
      </c>
      <c r="BS45" s="5" t="s">
        <v>354</v>
      </c>
      <c r="BT45" s="5">
        <v>8836.11</v>
      </c>
      <c r="BU45">
        <v>85.34</v>
      </c>
      <c r="BV45" s="2" t="s">
        <v>354</v>
      </c>
      <c r="BW45" s="2">
        <v>8800.12</v>
      </c>
    </row>
    <row r="46" spans="9:75">
      <c r="I46" t="s">
        <v>362</v>
      </c>
      <c r="J46">
        <v>0</v>
      </c>
      <c r="K46" t="s">
        <v>362</v>
      </c>
      <c r="Y46" t="s">
        <v>334</v>
      </c>
      <c r="Z46" s="1">
        <v>40</v>
      </c>
      <c r="AE46" t="s">
        <v>890</v>
      </c>
      <c r="AF46">
        <v>5513.77</v>
      </c>
      <c r="AX46" s="1" t="s">
        <v>354</v>
      </c>
      <c r="AY46" s="1">
        <v>10000</v>
      </c>
      <c r="BA46" s="6" t="s">
        <v>444</v>
      </c>
      <c r="BB46" s="6">
        <v>61.67</v>
      </c>
      <c r="BC46" s="6" t="str">
        <f t="shared" si="0"/>
        <v>时代人才蒋孝峰</v>
      </c>
      <c r="BD46" t="s">
        <v>526</v>
      </c>
      <c r="BG46" t="s">
        <v>896</v>
      </c>
      <c r="BH46">
        <v>37.59</v>
      </c>
      <c r="BJ46" s="2" t="s">
        <v>476</v>
      </c>
      <c r="BK46" s="2">
        <v>65.9</v>
      </c>
      <c r="BP46" t="s">
        <v>344</v>
      </c>
      <c r="BQ46">
        <v>0</v>
      </c>
      <c r="BS46" s="5" t="s">
        <v>358</v>
      </c>
      <c r="BT46" s="5">
        <v>0</v>
      </c>
      <c r="BU46">
        <v>0</v>
      </c>
      <c r="BV46" s="2" t="s">
        <v>358</v>
      </c>
      <c r="BW46" s="2">
        <v>0</v>
      </c>
    </row>
    <row r="47" spans="9:75">
      <c r="I47" t="s">
        <v>372</v>
      </c>
      <c r="J47">
        <v>74.82</v>
      </c>
      <c r="K47" t="s">
        <v>372</v>
      </c>
      <c r="Y47" t="s">
        <v>336</v>
      </c>
      <c r="Z47" s="1">
        <v>0</v>
      </c>
      <c r="AE47" t="s">
        <v>349</v>
      </c>
      <c r="AF47">
        <v>97.5</v>
      </c>
      <c r="AX47" s="1" t="s">
        <v>889</v>
      </c>
      <c r="AY47" s="1">
        <v>1492.08</v>
      </c>
      <c r="BA47" s="6" t="s">
        <v>448</v>
      </c>
      <c r="BB47" s="6">
        <v>213.55</v>
      </c>
      <c r="BC47" s="6" t="str">
        <f t="shared" si="0"/>
        <v>天津英才陈一卓</v>
      </c>
      <c r="BD47" t="s">
        <v>524</v>
      </c>
      <c r="BG47" t="s">
        <v>372</v>
      </c>
      <c r="BH47">
        <v>66.2</v>
      </c>
      <c r="BJ47" s="2" t="s">
        <v>478</v>
      </c>
      <c r="BK47" s="2">
        <v>68.9</v>
      </c>
      <c r="BP47" t="s">
        <v>349</v>
      </c>
      <c r="BQ47">
        <v>295</v>
      </c>
      <c r="BS47" s="5" t="s">
        <v>362</v>
      </c>
      <c r="BT47" s="5">
        <v>0</v>
      </c>
      <c r="BU47">
        <v>92.84</v>
      </c>
      <c r="BV47" s="2" t="s">
        <v>362</v>
      </c>
      <c r="BW47" s="2">
        <v>0</v>
      </c>
    </row>
    <row r="48" spans="9:75">
      <c r="I48" t="s">
        <v>376</v>
      </c>
      <c r="J48">
        <v>93.75</v>
      </c>
      <c r="K48" t="s">
        <v>376</v>
      </c>
      <c r="Y48" t="s">
        <v>338</v>
      </c>
      <c r="Z48" s="1">
        <v>1663.16</v>
      </c>
      <c r="AE48" t="s">
        <v>354</v>
      </c>
      <c r="AF48">
        <v>10000</v>
      </c>
      <c r="AX48" s="1" t="s">
        <v>358</v>
      </c>
      <c r="AY48" s="1">
        <v>0</v>
      </c>
      <c r="BA48" s="6" t="s">
        <v>449</v>
      </c>
      <c r="BB48" s="6">
        <v>185.67</v>
      </c>
      <c r="BC48" s="6" t="str">
        <f t="shared" si="0"/>
        <v>天津英才郭双红</v>
      </c>
      <c r="BD48" t="s">
        <v>532</v>
      </c>
      <c r="BG48" t="s">
        <v>376</v>
      </c>
      <c r="BH48">
        <v>0</v>
      </c>
      <c r="BJ48" s="2" t="s">
        <v>518</v>
      </c>
      <c r="BK48" s="2">
        <v>214.73</v>
      </c>
      <c r="BP48" t="s">
        <v>354</v>
      </c>
      <c r="BQ48">
        <v>10000</v>
      </c>
      <c r="BS48" s="5" t="s">
        <v>876</v>
      </c>
      <c r="BT48" s="5">
        <v>119.61</v>
      </c>
      <c r="BU48">
        <v>18695.54</v>
      </c>
      <c r="BV48" s="2" t="s">
        <v>365</v>
      </c>
      <c r="BW48" s="2">
        <v>1081.2</v>
      </c>
    </row>
    <row r="49" spans="9:75">
      <c r="I49" t="s">
        <v>379</v>
      </c>
      <c r="J49">
        <v>26.59</v>
      </c>
      <c r="K49" t="s">
        <v>379</v>
      </c>
      <c r="Y49" t="s">
        <v>888</v>
      </c>
      <c r="Z49" s="1">
        <v>0</v>
      </c>
      <c r="AE49" t="s">
        <v>889</v>
      </c>
      <c r="AF49">
        <v>1491.54</v>
      </c>
      <c r="AX49" s="1" t="s">
        <v>897</v>
      </c>
      <c r="AY49" s="1">
        <v>611.65</v>
      </c>
      <c r="BA49" s="6" t="s">
        <v>450</v>
      </c>
      <c r="BB49" s="6">
        <v>40</v>
      </c>
      <c r="BC49" s="6" t="str">
        <f t="shared" si="0"/>
        <v>天津英才王倩</v>
      </c>
      <c r="BD49" t="s">
        <v>570</v>
      </c>
      <c r="BG49" t="s">
        <v>379</v>
      </c>
      <c r="BH49">
        <v>65.99</v>
      </c>
      <c r="BJ49" s="2" t="s">
        <v>519</v>
      </c>
      <c r="BK49" s="2">
        <v>440</v>
      </c>
      <c r="BP49" t="s">
        <v>889</v>
      </c>
      <c r="BQ49">
        <v>1500</v>
      </c>
      <c r="BS49" s="5" t="s">
        <v>372</v>
      </c>
      <c r="BT49" s="5">
        <v>86.08</v>
      </c>
      <c r="BU49">
        <v>0</v>
      </c>
      <c r="BV49" s="2" t="s">
        <v>368</v>
      </c>
      <c r="BW49" s="2">
        <v>451.92</v>
      </c>
    </row>
    <row r="50" spans="9:75">
      <c r="I50" t="s">
        <v>382</v>
      </c>
      <c r="J50">
        <v>34.85</v>
      </c>
      <c r="K50" t="s">
        <v>382</v>
      </c>
      <c r="Y50" t="s">
        <v>340</v>
      </c>
      <c r="Z50" s="1">
        <v>356.71</v>
      </c>
      <c r="AE50" t="s">
        <v>358</v>
      </c>
      <c r="AF50">
        <v>0</v>
      </c>
      <c r="AX50" s="1" t="s">
        <v>894</v>
      </c>
      <c r="AY50" s="1">
        <v>300</v>
      </c>
      <c r="BA50" s="6" t="s">
        <v>454</v>
      </c>
      <c r="BB50" s="6">
        <v>1.39</v>
      </c>
      <c r="BC50" s="6" t="str">
        <f t="shared" si="0"/>
        <v>天津英才周梓荣</v>
      </c>
      <c r="BD50" t="s">
        <v>541</v>
      </c>
      <c r="BG50" t="s">
        <v>382</v>
      </c>
      <c r="BH50">
        <v>16.61</v>
      </c>
      <c r="BJ50" s="2" t="s">
        <v>521</v>
      </c>
      <c r="BK50" s="2">
        <v>243.87</v>
      </c>
      <c r="BP50" t="s">
        <v>358</v>
      </c>
      <c r="BQ50">
        <v>0</v>
      </c>
      <c r="BS50" s="5" t="s">
        <v>376</v>
      </c>
      <c r="BT50" s="5">
        <v>0</v>
      </c>
      <c r="BU50">
        <v>0</v>
      </c>
      <c r="BV50" s="2" t="s">
        <v>370</v>
      </c>
      <c r="BW50" s="2">
        <v>497.52</v>
      </c>
    </row>
    <row r="51" spans="9:75">
      <c r="I51" t="s">
        <v>386</v>
      </c>
      <c r="J51">
        <v>153</v>
      </c>
      <c r="K51" t="s">
        <v>386</v>
      </c>
      <c r="Y51" t="s">
        <v>344</v>
      </c>
      <c r="Z51" s="1">
        <v>0</v>
      </c>
      <c r="AE51" t="s">
        <v>894</v>
      </c>
      <c r="AF51">
        <v>300</v>
      </c>
      <c r="AX51" s="1" t="s">
        <v>891</v>
      </c>
      <c r="AY51" s="1">
        <v>435</v>
      </c>
      <c r="BA51" s="6" t="s">
        <v>457</v>
      </c>
      <c r="BB51" s="6">
        <v>40</v>
      </c>
      <c r="BC51" s="6" t="str">
        <f t="shared" si="0"/>
        <v>弈工分健康戴琼琪</v>
      </c>
      <c r="BD51" t="s">
        <v>534</v>
      </c>
      <c r="BG51" t="s">
        <v>386</v>
      </c>
      <c r="BH51">
        <v>153</v>
      </c>
      <c r="BJ51" s="2" t="s">
        <v>524</v>
      </c>
      <c r="BK51" s="2">
        <v>408.96</v>
      </c>
      <c r="BP51" t="s">
        <v>362</v>
      </c>
      <c r="BQ51">
        <v>0</v>
      </c>
      <c r="BS51" s="5" t="s">
        <v>379</v>
      </c>
      <c r="BT51" s="5">
        <v>113.13</v>
      </c>
      <c r="BU51">
        <v>126.5</v>
      </c>
      <c r="BV51" s="2" t="s">
        <v>372</v>
      </c>
      <c r="BW51" s="2">
        <v>52.67</v>
      </c>
    </row>
    <row r="52" spans="9:75">
      <c r="I52" t="s">
        <v>388</v>
      </c>
      <c r="J52">
        <v>71.58</v>
      </c>
      <c r="K52" t="s">
        <v>388</v>
      </c>
      <c r="Y52" t="s">
        <v>890</v>
      </c>
      <c r="Z52" s="1">
        <v>4255.57</v>
      </c>
      <c r="AE52" t="s">
        <v>891</v>
      </c>
      <c r="AF52">
        <v>393.2</v>
      </c>
      <c r="AX52" s="1" t="s">
        <v>892</v>
      </c>
      <c r="AY52" s="1">
        <v>210</v>
      </c>
      <c r="BA52" s="6" t="s">
        <v>459</v>
      </c>
      <c r="BB52" s="6">
        <v>34.49</v>
      </c>
      <c r="BC52" s="6" t="str">
        <f t="shared" si="0"/>
        <v>弈工分健康胡金明</v>
      </c>
      <c r="BD52" t="s">
        <v>529</v>
      </c>
      <c r="BG52" t="s">
        <v>388</v>
      </c>
      <c r="BH52">
        <v>64.42</v>
      </c>
      <c r="BJ52" s="2" t="s">
        <v>526</v>
      </c>
      <c r="BK52" s="2">
        <v>130.09</v>
      </c>
      <c r="BP52" t="s">
        <v>876</v>
      </c>
      <c r="BQ52">
        <v>126.5</v>
      </c>
      <c r="BS52" s="5" t="s">
        <v>382</v>
      </c>
      <c r="BT52" s="5">
        <v>18.28</v>
      </c>
      <c r="BU52">
        <v>944.4</v>
      </c>
      <c r="BV52" s="2" t="s">
        <v>376</v>
      </c>
      <c r="BW52" s="2">
        <v>0</v>
      </c>
    </row>
    <row r="53" spans="9:75">
      <c r="I53" t="s">
        <v>390</v>
      </c>
      <c r="J53">
        <v>0</v>
      </c>
      <c r="K53" t="s">
        <v>390</v>
      </c>
      <c r="Y53" t="s">
        <v>349</v>
      </c>
      <c r="Z53" s="1">
        <v>97.5</v>
      </c>
      <c r="AE53" t="s">
        <v>892</v>
      </c>
      <c r="AF53">
        <v>192.23</v>
      </c>
      <c r="AX53" s="1" t="s">
        <v>895</v>
      </c>
      <c r="AY53" s="1">
        <v>72</v>
      </c>
      <c r="BA53" s="6" t="s">
        <v>463</v>
      </c>
      <c r="BB53" s="6">
        <v>70.34</v>
      </c>
      <c r="BC53" s="6" t="str">
        <f t="shared" si="0"/>
        <v>弈工分健康贾飞龙</v>
      </c>
      <c r="BD53" t="s">
        <v>548</v>
      </c>
      <c r="BG53" t="s">
        <v>390</v>
      </c>
      <c r="BH53">
        <v>0</v>
      </c>
      <c r="BJ53" s="2" t="s">
        <v>529</v>
      </c>
      <c r="BK53" s="2">
        <v>28.73</v>
      </c>
      <c r="BP53" t="s">
        <v>365</v>
      </c>
      <c r="BQ53">
        <v>498</v>
      </c>
      <c r="BS53" s="5" t="s">
        <v>386</v>
      </c>
      <c r="BT53" s="5">
        <v>160.67</v>
      </c>
      <c r="BU53">
        <v>403.2</v>
      </c>
      <c r="BV53" s="2" t="s">
        <v>379</v>
      </c>
      <c r="BW53" s="2">
        <v>56.64</v>
      </c>
    </row>
    <row r="54" spans="9:75">
      <c r="I54" t="s">
        <v>393</v>
      </c>
      <c r="J54">
        <v>2013.67</v>
      </c>
      <c r="K54" t="s">
        <v>393</v>
      </c>
      <c r="Y54" t="s">
        <v>354</v>
      </c>
      <c r="Z54" s="1">
        <v>10000</v>
      </c>
      <c r="AE54" t="s">
        <v>895</v>
      </c>
      <c r="AF54">
        <v>36.41</v>
      </c>
      <c r="AX54" s="1" t="s">
        <v>362</v>
      </c>
      <c r="AY54" s="1">
        <v>0</v>
      </c>
      <c r="BA54" s="6" t="s">
        <v>476</v>
      </c>
      <c r="BB54" s="6">
        <v>28.1</v>
      </c>
      <c r="BC54" s="6" t="str">
        <f t="shared" si="0"/>
        <v>弈工分健康黄连兵</v>
      </c>
      <c r="BD54" t="s">
        <v>550</v>
      </c>
      <c r="BG54" t="s">
        <v>393</v>
      </c>
      <c r="BH54">
        <v>3608.26</v>
      </c>
      <c r="BJ54" s="2" t="s">
        <v>532</v>
      </c>
      <c r="BK54" s="2">
        <v>165.02</v>
      </c>
      <c r="BP54" t="s">
        <v>368</v>
      </c>
      <c r="BQ54">
        <v>201.33</v>
      </c>
      <c r="BS54" s="5" t="s">
        <v>388</v>
      </c>
      <c r="BT54" s="5">
        <v>83.09</v>
      </c>
      <c r="BU54">
        <v>108.55</v>
      </c>
      <c r="BV54" s="2" t="s">
        <v>382</v>
      </c>
      <c r="BW54" s="2">
        <v>18.29</v>
      </c>
    </row>
    <row r="55" spans="9:75">
      <c r="I55" t="s">
        <v>395</v>
      </c>
      <c r="J55">
        <v>1517.5</v>
      </c>
      <c r="K55" t="s">
        <v>395</v>
      </c>
      <c r="Y55" t="s">
        <v>889</v>
      </c>
      <c r="Z55" s="1">
        <v>123.75</v>
      </c>
      <c r="AE55" t="s">
        <v>898</v>
      </c>
      <c r="AF55">
        <v>0</v>
      </c>
      <c r="AX55" s="1" t="s">
        <v>372</v>
      </c>
      <c r="AY55" s="1">
        <v>179.59</v>
      </c>
      <c r="BA55" s="6" t="s">
        <v>478</v>
      </c>
      <c r="BB55" s="6">
        <v>28.1</v>
      </c>
      <c r="BC55" s="6" t="str">
        <f t="shared" si="0"/>
        <v>弈工分健康庄艳林</v>
      </c>
      <c r="BD55" t="s">
        <v>558</v>
      </c>
      <c r="BG55" t="s">
        <v>395</v>
      </c>
      <c r="BH55">
        <v>2292.5</v>
      </c>
      <c r="BJ55" s="2" t="s">
        <v>537</v>
      </c>
      <c r="BK55" s="2">
        <v>150</v>
      </c>
      <c r="BP55" t="s">
        <v>899</v>
      </c>
      <c r="BQ55">
        <v>107.62</v>
      </c>
      <c r="BS55" s="5" t="s">
        <v>390</v>
      </c>
      <c r="BT55" s="5">
        <v>0</v>
      </c>
      <c r="BU55">
        <v>442.8</v>
      </c>
      <c r="BV55" s="2" t="s">
        <v>386</v>
      </c>
      <c r="BW55" s="2">
        <v>215.52</v>
      </c>
    </row>
    <row r="56" spans="9:75">
      <c r="I56" t="s">
        <v>900</v>
      </c>
      <c r="J56">
        <v>3106.28</v>
      </c>
      <c r="K56" t="s">
        <v>900</v>
      </c>
      <c r="Y56" t="s">
        <v>358</v>
      </c>
      <c r="Z56" s="1">
        <v>0</v>
      </c>
      <c r="AE56" t="s">
        <v>362</v>
      </c>
      <c r="AF56">
        <v>0</v>
      </c>
      <c r="AX56" s="1" t="s">
        <v>376</v>
      </c>
      <c r="AY56" s="1">
        <v>0</v>
      </c>
      <c r="BA56" s="6" t="s">
        <v>480</v>
      </c>
      <c r="BB56" s="6">
        <v>9.2</v>
      </c>
      <c r="BC56" s="6" t="str">
        <f t="shared" si="0"/>
        <v>弈工分健康谢小强</v>
      </c>
      <c r="BD56" t="s">
        <v>539</v>
      </c>
      <c r="BG56" t="s">
        <v>398</v>
      </c>
      <c r="BH56">
        <v>51</v>
      </c>
      <c r="BJ56" s="2" t="s">
        <v>539</v>
      </c>
      <c r="BK56" s="2">
        <v>28.48</v>
      </c>
      <c r="BP56" t="s">
        <v>901</v>
      </c>
      <c r="BQ56">
        <v>6.3</v>
      </c>
      <c r="BS56" s="5" t="s">
        <v>393</v>
      </c>
      <c r="BT56" s="5">
        <v>1329.17</v>
      </c>
      <c r="BU56">
        <v>210.17</v>
      </c>
      <c r="BV56" s="2" t="s">
        <v>388</v>
      </c>
      <c r="BW56" s="2">
        <v>49.67</v>
      </c>
    </row>
    <row r="57" spans="9:75">
      <c r="I57" t="s">
        <v>398</v>
      </c>
      <c r="J57">
        <v>51.23</v>
      </c>
      <c r="K57" t="s">
        <v>398</v>
      </c>
      <c r="Y57" t="s">
        <v>894</v>
      </c>
      <c r="Z57" s="1">
        <v>300</v>
      </c>
      <c r="AE57" t="s">
        <v>372</v>
      </c>
      <c r="AF57">
        <v>69.26</v>
      </c>
      <c r="AX57" s="1" t="s">
        <v>379</v>
      </c>
      <c r="AY57" s="1">
        <v>65.52</v>
      </c>
      <c r="BA57" s="6" t="s">
        <v>482</v>
      </c>
      <c r="BB57" s="6">
        <v>27.95</v>
      </c>
      <c r="BC57" s="6" t="str">
        <f t="shared" si="0"/>
        <v>弈工分健康张子俊</v>
      </c>
      <c r="BD57" t="s">
        <v>552</v>
      </c>
      <c r="BG57" t="s">
        <v>402</v>
      </c>
      <c r="BH57">
        <v>21.88</v>
      </c>
      <c r="BJ57" s="2" t="s">
        <v>546</v>
      </c>
      <c r="BK57" s="2">
        <v>131</v>
      </c>
      <c r="BP57" t="s">
        <v>902</v>
      </c>
      <c r="BQ57">
        <v>7.18</v>
      </c>
      <c r="BS57" s="5" t="s">
        <v>395</v>
      </c>
      <c r="BT57" s="5">
        <v>1286.58</v>
      </c>
      <c r="BU57">
        <v>0</v>
      </c>
      <c r="BV57" s="2" t="s">
        <v>390</v>
      </c>
      <c r="BW57" s="2">
        <v>0</v>
      </c>
    </row>
    <row r="58" spans="9:75">
      <c r="I58" t="s">
        <v>403</v>
      </c>
      <c r="J58">
        <v>40</v>
      </c>
      <c r="K58" t="s">
        <v>403</v>
      </c>
      <c r="Y58" t="s">
        <v>891</v>
      </c>
      <c r="Z58" s="1">
        <v>360</v>
      </c>
      <c r="AE58" t="s">
        <v>376</v>
      </c>
      <c r="AF58">
        <v>85.5</v>
      </c>
      <c r="AX58" s="1" t="s">
        <v>382</v>
      </c>
      <c r="AY58" s="1">
        <v>22.14</v>
      </c>
      <c r="BA58" s="6" t="s">
        <v>518</v>
      </c>
      <c r="BB58" s="6">
        <v>214.74</v>
      </c>
      <c r="BC58" s="6" t="str">
        <f t="shared" si="0"/>
        <v>弈工分文化季文菊</v>
      </c>
      <c r="BD58" t="s">
        <v>537</v>
      </c>
      <c r="BG58" t="s">
        <v>403</v>
      </c>
      <c r="BH58">
        <v>40</v>
      </c>
      <c r="BJ58" s="2" t="s">
        <v>548</v>
      </c>
      <c r="BK58" s="2">
        <v>36.99</v>
      </c>
      <c r="BP58" t="s">
        <v>903</v>
      </c>
      <c r="BQ58">
        <v>117.72</v>
      </c>
      <c r="BS58" s="5" t="s">
        <v>398</v>
      </c>
      <c r="BT58" s="5">
        <v>55.67</v>
      </c>
      <c r="BU58">
        <v>194.85</v>
      </c>
      <c r="BV58" s="2" t="s">
        <v>393</v>
      </c>
      <c r="BW58" s="2">
        <v>1421.79</v>
      </c>
    </row>
    <row r="59" spans="9:75">
      <c r="I59" t="s">
        <v>904</v>
      </c>
      <c r="J59">
        <v>171.23</v>
      </c>
      <c r="K59" t="s">
        <v>904</v>
      </c>
      <c r="Y59" t="s">
        <v>892</v>
      </c>
      <c r="Z59" s="1">
        <v>180</v>
      </c>
      <c r="AE59" t="s">
        <v>379</v>
      </c>
      <c r="AF59">
        <v>59.19</v>
      </c>
      <c r="AX59" s="1" t="s">
        <v>386</v>
      </c>
      <c r="AY59" s="1">
        <v>153</v>
      </c>
      <c r="BA59" s="6" t="s">
        <v>519</v>
      </c>
      <c r="BB59" s="6">
        <v>440</v>
      </c>
      <c r="BC59" s="6" t="str">
        <f t="shared" si="0"/>
        <v>弈工分文化王建平</v>
      </c>
      <c r="BD59" t="s">
        <v>546</v>
      </c>
      <c r="BG59" t="s">
        <v>406</v>
      </c>
      <c r="BH59">
        <v>170.99</v>
      </c>
      <c r="BJ59" s="2" t="s">
        <v>550</v>
      </c>
      <c r="BK59" s="2">
        <v>851.35</v>
      </c>
      <c r="BP59" t="s">
        <v>905</v>
      </c>
      <c r="BQ59">
        <v>37.2</v>
      </c>
      <c r="BS59" s="5" t="s">
        <v>402</v>
      </c>
      <c r="BT59" s="5">
        <v>45.37</v>
      </c>
      <c r="BU59">
        <v>17.96</v>
      </c>
      <c r="BV59" s="2" t="s">
        <v>395</v>
      </c>
      <c r="BW59" s="2">
        <v>633.08</v>
      </c>
    </row>
    <row r="60" spans="9:75">
      <c r="I60" t="s">
        <v>409</v>
      </c>
      <c r="J60">
        <v>2000</v>
      </c>
      <c r="K60" t="s">
        <v>409</v>
      </c>
      <c r="Y60" t="s">
        <v>895</v>
      </c>
      <c r="Z60" s="1">
        <v>0</v>
      </c>
      <c r="AE60" t="s">
        <v>382</v>
      </c>
      <c r="AF60">
        <v>16.85</v>
      </c>
      <c r="AX60" s="1" t="s">
        <v>388</v>
      </c>
      <c r="AY60" s="1">
        <v>162</v>
      </c>
      <c r="BA60" s="6" t="s">
        <v>521</v>
      </c>
      <c r="BB60" s="6">
        <v>457.49</v>
      </c>
      <c r="BC60" s="6" t="str">
        <f t="shared" si="0"/>
        <v>开弈投资李萍萍</v>
      </c>
      <c r="BD60" t="s">
        <v>354</v>
      </c>
      <c r="BG60" t="s">
        <v>409</v>
      </c>
      <c r="BH60">
        <v>4000</v>
      </c>
      <c r="BJ60" s="2" t="s">
        <v>552</v>
      </c>
      <c r="BK60" s="2">
        <v>63.94</v>
      </c>
      <c r="BP60" t="s">
        <v>906</v>
      </c>
      <c r="BQ60">
        <v>5.85</v>
      </c>
      <c r="BS60" s="5" t="s">
        <v>403</v>
      </c>
      <c r="BT60" s="5">
        <v>40</v>
      </c>
      <c r="BU60">
        <v>652.64</v>
      </c>
      <c r="BV60" s="2" t="s">
        <v>398</v>
      </c>
      <c r="BW60" s="2">
        <v>55.66</v>
      </c>
    </row>
    <row r="61" spans="9:75">
      <c r="I61" t="s">
        <v>411</v>
      </c>
      <c r="J61">
        <v>0</v>
      </c>
      <c r="K61" t="s">
        <v>411</v>
      </c>
      <c r="Y61" t="s">
        <v>898</v>
      </c>
      <c r="Z61" s="1">
        <v>0</v>
      </c>
      <c r="AE61" t="s">
        <v>386</v>
      </c>
      <c r="AF61">
        <v>3</v>
      </c>
      <c r="AX61" s="1" t="s">
        <v>390</v>
      </c>
      <c r="AY61" s="1">
        <v>0</v>
      </c>
      <c r="BA61" s="6" t="s">
        <v>524</v>
      </c>
      <c r="BB61" s="6">
        <v>410.61</v>
      </c>
      <c r="BC61" s="6" t="str">
        <f t="shared" si="0"/>
        <v>弈工分信息王倩</v>
      </c>
      <c r="BD61" t="s">
        <v>412</v>
      </c>
      <c r="BG61" t="s">
        <v>411</v>
      </c>
      <c r="BH61">
        <v>0</v>
      </c>
      <c r="BJ61" s="2" t="s">
        <v>554</v>
      </c>
      <c r="BK61" s="2">
        <v>51.28</v>
      </c>
      <c r="BP61" t="s">
        <v>907</v>
      </c>
      <c r="BQ61">
        <v>598.24</v>
      </c>
      <c r="BS61" s="5" t="s">
        <v>406</v>
      </c>
      <c r="BT61" s="5">
        <v>0</v>
      </c>
      <c r="BU61">
        <v>268.38</v>
      </c>
      <c r="BV61" s="2" t="s">
        <v>402</v>
      </c>
      <c r="BW61" s="2">
        <v>16.97</v>
      </c>
    </row>
    <row r="62" spans="9:75">
      <c r="I62" t="s">
        <v>412</v>
      </c>
      <c r="J62">
        <v>1150</v>
      </c>
      <c r="K62" t="s">
        <v>412</v>
      </c>
      <c r="Y62" t="s">
        <v>362</v>
      </c>
      <c r="Z62" s="1">
        <v>0</v>
      </c>
      <c r="AE62" t="s">
        <v>388</v>
      </c>
      <c r="AF62">
        <v>69.67</v>
      </c>
      <c r="AX62" s="1" t="s">
        <v>393</v>
      </c>
      <c r="AY62" s="1">
        <v>3386.52</v>
      </c>
      <c r="BA62" s="6" t="s">
        <v>526</v>
      </c>
      <c r="BB62" s="6">
        <v>322.45</v>
      </c>
      <c r="BC62" s="6" t="str">
        <f t="shared" si="0"/>
        <v>弈工分信息武敏辉</v>
      </c>
      <c r="BD62" t="s">
        <v>579</v>
      </c>
      <c r="BG62" t="s">
        <v>412</v>
      </c>
      <c r="BH62">
        <v>1150</v>
      </c>
      <c r="BJ62" s="2" t="s">
        <v>558</v>
      </c>
      <c r="BK62" s="2">
        <v>27.06</v>
      </c>
      <c r="BP62" t="s">
        <v>908</v>
      </c>
      <c r="BQ62">
        <v>328.59</v>
      </c>
      <c r="BS62" s="5" t="s">
        <v>409</v>
      </c>
      <c r="BT62" s="5">
        <v>2036.88</v>
      </c>
      <c r="BU62">
        <v>0</v>
      </c>
      <c r="BV62" s="2" t="s">
        <v>403</v>
      </c>
      <c r="BW62" s="2">
        <v>40</v>
      </c>
    </row>
    <row r="63" spans="9:75">
      <c r="I63" t="s">
        <v>414</v>
      </c>
      <c r="K63" t="s">
        <v>414</v>
      </c>
      <c r="Y63" t="s">
        <v>372</v>
      </c>
      <c r="Z63" s="1">
        <v>75.63</v>
      </c>
      <c r="AE63" t="s">
        <v>390</v>
      </c>
      <c r="AF63">
        <v>0</v>
      </c>
      <c r="AX63" s="1" t="s">
        <v>395</v>
      </c>
      <c r="AY63" s="1">
        <v>1517.5</v>
      </c>
      <c r="BA63" s="6" t="s">
        <v>529</v>
      </c>
      <c r="BB63" s="6">
        <v>34.34</v>
      </c>
      <c r="BC63" s="6" t="str">
        <f t="shared" si="0"/>
        <v>弈工分信息党红艳</v>
      </c>
      <c r="BD63" t="s">
        <v>580</v>
      </c>
      <c r="BG63" t="s">
        <v>414</v>
      </c>
      <c r="BJ63" s="2" t="s">
        <v>570</v>
      </c>
      <c r="BK63" s="2">
        <v>20.68</v>
      </c>
      <c r="BP63" t="s">
        <v>370</v>
      </c>
      <c r="BQ63">
        <v>141.81</v>
      </c>
      <c r="BS63" s="5" t="s">
        <v>411</v>
      </c>
      <c r="BT63" s="5">
        <v>0</v>
      </c>
      <c r="BU63">
        <v>1399.12</v>
      </c>
      <c r="BV63" s="2" t="s">
        <v>406</v>
      </c>
      <c r="BW63" s="2">
        <v>0</v>
      </c>
    </row>
    <row r="64" spans="9:75">
      <c r="I64" t="s">
        <v>425</v>
      </c>
      <c r="K64" t="s">
        <v>425</v>
      </c>
      <c r="Y64" t="s">
        <v>376</v>
      </c>
      <c r="Z64" s="1">
        <v>103.5</v>
      </c>
      <c r="AE64" t="s">
        <v>393</v>
      </c>
      <c r="AF64">
        <v>1791.15</v>
      </c>
      <c r="AX64" s="1" t="s">
        <v>398</v>
      </c>
      <c r="AY64" s="1">
        <v>50.51</v>
      </c>
      <c r="BA64" s="6" t="s">
        <v>532</v>
      </c>
      <c r="BB64" s="6">
        <v>169.35</v>
      </c>
      <c r="BC64" s="6" t="str">
        <f t="shared" si="0"/>
        <v>弈工分信息林知峰</v>
      </c>
      <c r="BD64" t="s">
        <v>362</v>
      </c>
      <c r="BG64" t="s">
        <v>425</v>
      </c>
      <c r="BJ64" s="2" t="s">
        <v>579</v>
      </c>
      <c r="BK64" s="2">
        <v>40</v>
      </c>
      <c r="BP64" t="s">
        <v>372</v>
      </c>
      <c r="BQ64">
        <v>293.01</v>
      </c>
      <c r="BS64" s="5" t="s">
        <v>412</v>
      </c>
      <c r="BT64" s="5">
        <v>664.48</v>
      </c>
      <c r="BU64">
        <v>916.13</v>
      </c>
      <c r="BV64" s="2" t="s">
        <v>409</v>
      </c>
      <c r="BW64" s="2">
        <v>2036.88</v>
      </c>
    </row>
    <row r="65" spans="9:75">
      <c r="I65" t="s">
        <v>426</v>
      </c>
      <c r="J65">
        <v>40</v>
      </c>
      <c r="K65" t="s">
        <v>426</v>
      </c>
      <c r="Y65" t="s">
        <v>379</v>
      </c>
      <c r="Z65" s="1">
        <v>66.23</v>
      </c>
      <c r="AE65" t="s">
        <v>395</v>
      </c>
      <c r="AF65">
        <v>1517.5</v>
      </c>
      <c r="AX65" s="1" t="s">
        <v>403</v>
      </c>
      <c r="AY65" s="1">
        <v>40</v>
      </c>
      <c r="BA65" s="6" t="s">
        <v>534</v>
      </c>
      <c r="BB65" s="6">
        <v>40.65</v>
      </c>
      <c r="BC65" s="6" t="str">
        <f t="shared" si="0"/>
        <v>弈工分信息罗俊尧</v>
      </c>
      <c r="BD65" t="s">
        <v>876</v>
      </c>
      <c r="BG65" t="s">
        <v>426</v>
      </c>
      <c r="BH65">
        <v>40</v>
      </c>
      <c r="BJ65" s="2" t="s">
        <v>580</v>
      </c>
      <c r="BK65" s="2">
        <v>23.56</v>
      </c>
      <c r="BP65" t="s">
        <v>376</v>
      </c>
      <c r="BQ65">
        <v>0</v>
      </c>
      <c r="BS65" s="5" t="s">
        <v>414</v>
      </c>
      <c r="BT65" s="5"/>
      <c r="BU65">
        <v>55.34</v>
      </c>
      <c r="BV65" s="2" t="s">
        <v>411</v>
      </c>
      <c r="BW65" s="2">
        <v>101.84</v>
      </c>
    </row>
    <row r="66" spans="9:75">
      <c r="I66" t="s">
        <v>428</v>
      </c>
      <c r="J66">
        <v>100.16</v>
      </c>
      <c r="K66" t="s">
        <v>428</v>
      </c>
      <c r="Y66" t="s">
        <v>382</v>
      </c>
      <c r="Z66" s="1">
        <v>46.85</v>
      </c>
      <c r="AE66" t="s">
        <v>398</v>
      </c>
      <c r="AF66">
        <v>51.23</v>
      </c>
      <c r="AX66" s="1" t="s">
        <v>406</v>
      </c>
      <c r="AY66" s="1">
        <v>170.51</v>
      </c>
      <c r="BA66" s="6" t="s">
        <v>537</v>
      </c>
      <c r="BB66" s="6">
        <v>150</v>
      </c>
      <c r="BC66" s="6" t="str">
        <f t="shared" si="0"/>
        <v>弈工分信息方祥</v>
      </c>
      <c r="BD66" t="s">
        <v>476</v>
      </c>
      <c r="BG66" t="s">
        <v>428</v>
      </c>
      <c r="BH66">
        <v>99.92</v>
      </c>
      <c r="BP66" t="s">
        <v>379</v>
      </c>
      <c r="BQ66">
        <v>62.47</v>
      </c>
      <c r="BS66" s="5" t="s">
        <v>425</v>
      </c>
      <c r="BT66" s="5"/>
      <c r="BU66">
        <v>61.28</v>
      </c>
      <c r="BV66" s="2" t="s">
        <v>412</v>
      </c>
      <c r="BW66" s="2">
        <v>745.58</v>
      </c>
    </row>
    <row r="67" spans="9:75">
      <c r="I67" t="s">
        <v>909</v>
      </c>
      <c r="J67">
        <v>0</v>
      </c>
      <c r="K67" t="s">
        <v>909</v>
      </c>
      <c r="Y67" t="s">
        <v>386</v>
      </c>
      <c r="Z67" s="1">
        <v>3</v>
      </c>
      <c r="AE67" t="s">
        <v>403</v>
      </c>
      <c r="AF67">
        <v>40</v>
      </c>
      <c r="AX67" s="1" t="s">
        <v>409</v>
      </c>
      <c r="AY67" s="1">
        <v>4000</v>
      </c>
      <c r="BA67" s="6" t="s">
        <v>539</v>
      </c>
      <c r="BB67" s="6">
        <v>70.35</v>
      </c>
      <c r="BC67" s="6" t="str">
        <f t="shared" ref="BC67:BC76" si="1">VLOOKUP(BA67,BD:BD,1,0)</f>
        <v>弈工分信息宣国英</v>
      </c>
      <c r="BD67" t="s">
        <v>482</v>
      </c>
      <c r="BG67" t="s">
        <v>909</v>
      </c>
      <c r="BH67">
        <v>0</v>
      </c>
      <c r="BP67" t="s">
        <v>382</v>
      </c>
      <c r="BQ67">
        <v>16.61</v>
      </c>
      <c r="BS67" s="5" t="s">
        <v>426</v>
      </c>
      <c r="BT67" s="5">
        <v>40</v>
      </c>
      <c r="BU67">
        <v>40</v>
      </c>
      <c r="BV67" s="2" t="s">
        <v>414</v>
      </c>
    </row>
    <row r="68" spans="9:75">
      <c r="I68" t="s">
        <v>431</v>
      </c>
      <c r="J68">
        <v>40</v>
      </c>
      <c r="K68" t="s">
        <v>431</v>
      </c>
      <c r="Y68" t="s">
        <v>388</v>
      </c>
      <c r="Z68" s="1">
        <v>72.4</v>
      </c>
      <c r="AE68" t="s">
        <v>406</v>
      </c>
      <c r="AF68">
        <v>171.23</v>
      </c>
      <c r="AX68" s="1" t="s">
        <v>411</v>
      </c>
      <c r="AY68" s="1">
        <v>0</v>
      </c>
      <c r="BA68" s="6" t="s">
        <v>541</v>
      </c>
      <c r="BB68" s="6">
        <v>60.52</v>
      </c>
      <c r="BC68" s="6" t="str">
        <f t="shared" si="1"/>
        <v>弈工分信息方有保</v>
      </c>
      <c r="BD68" t="s">
        <v>478</v>
      </c>
      <c r="BG68" t="s">
        <v>431</v>
      </c>
      <c r="BH68">
        <v>40</v>
      </c>
      <c r="BP68" t="s">
        <v>386</v>
      </c>
      <c r="BQ68">
        <v>153</v>
      </c>
      <c r="BS68" s="5" t="s">
        <v>428</v>
      </c>
      <c r="BT68" s="5">
        <v>104.59</v>
      </c>
      <c r="BU68">
        <v>0</v>
      </c>
      <c r="BV68" s="2" t="s">
        <v>418</v>
      </c>
    </row>
    <row r="69" spans="9:75">
      <c r="I69" t="s">
        <v>434</v>
      </c>
      <c r="J69">
        <v>0</v>
      </c>
      <c r="K69" t="s">
        <v>434</v>
      </c>
      <c r="Y69" t="s">
        <v>390</v>
      </c>
      <c r="Z69" s="1">
        <v>0</v>
      </c>
      <c r="AE69" t="s">
        <v>409</v>
      </c>
      <c r="AF69">
        <v>2000</v>
      </c>
      <c r="AX69" s="1" t="s">
        <v>412</v>
      </c>
      <c r="AY69" s="1">
        <v>1150</v>
      </c>
      <c r="BA69" s="6" t="s">
        <v>546</v>
      </c>
      <c r="BB69" s="6">
        <v>54.3</v>
      </c>
      <c r="BC69" s="6" t="str">
        <f t="shared" si="1"/>
        <v>弈工分信息董宾宾</v>
      </c>
      <c r="BD69" t="s">
        <v>480</v>
      </c>
      <c r="BG69" t="s">
        <v>434</v>
      </c>
      <c r="BH69">
        <v>0</v>
      </c>
      <c r="BP69" t="s">
        <v>388</v>
      </c>
      <c r="BQ69">
        <v>203.71</v>
      </c>
      <c r="BS69" s="5" t="s">
        <v>430</v>
      </c>
      <c r="BT69" s="5">
        <v>0</v>
      </c>
      <c r="BU69">
        <v>2031.18</v>
      </c>
      <c r="BV69" s="2" t="s">
        <v>421</v>
      </c>
    </row>
    <row r="70" spans="9:75">
      <c r="I70" t="s">
        <v>435</v>
      </c>
      <c r="J70">
        <v>40</v>
      </c>
      <c r="K70" t="s">
        <v>435</v>
      </c>
      <c r="Y70" t="s">
        <v>393</v>
      </c>
      <c r="Z70" s="1">
        <v>1770.88</v>
      </c>
      <c r="AE70" t="s">
        <v>411</v>
      </c>
      <c r="AF70">
        <v>0</v>
      </c>
      <c r="AX70" s="1" t="s">
        <v>414</v>
      </c>
      <c r="BA70" s="6" t="s">
        <v>548</v>
      </c>
      <c r="BB70" s="6">
        <v>62.72</v>
      </c>
      <c r="BC70" s="6" t="str">
        <f t="shared" si="1"/>
        <v>弈工分信息吕相坠</v>
      </c>
      <c r="BG70" t="s">
        <v>435</v>
      </c>
      <c r="BH70">
        <v>40</v>
      </c>
      <c r="BP70" t="s">
        <v>390</v>
      </c>
      <c r="BQ70">
        <v>0</v>
      </c>
      <c r="BS70" s="5" t="s">
        <v>431</v>
      </c>
      <c r="BT70" s="5">
        <v>40</v>
      </c>
      <c r="BU70">
        <v>0</v>
      </c>
      <c r="BV70" s="2" t="s">
        <v>424</v>
      </c>
    </row>
    <row r="71" spans="9:75">
      <c r="I71" t="s">
        <v>439</v>
      </c>
      <c r="J71">
        <v>103.34</v>
      </c>
      <c r="K71" t="s">
        <v>439</v>
      </c>
      <c r="Y71" t="s">
        <v>395</v>
      </c>
      <c r="Z71" s="1">
        <v>1517.5</v>
      </c>
      <c r="AE71" t="s">
        <v>412</v>
      </c>
      <c r="AF71">
        <v>1150</v>
      </c>
      <c r="AX71" s="1" t="s">
        <v>425</v>
      </c>
      <c r="BA71" s="6" t="s">
        <v>550</v>
      </c>
      <c r="BB71" s="6">
        <v>1056</v>
      </c>
      <c r="BC71" s="6" t="str">
        <f t="shared" si="1"/>
        <v>弈工分信息朱鑫沛</v>
      </c>
      <c r="BG71" t="s">
        <v>439</v>
      </c>
      <c r="BH71">
        <v>137.6</v>
      </c>
      <c r="BP71" t="s">
        <v>393</v>
      </c>
      <c r="BQ71">
        <v>3146.45</v>
      </c>
      <c r="BS71" s="5" t="s">
        <v>434</v>
      </c>
      <c r="BT71" s="5">
        <v>0</v>
      </c>
      <c r="BU71">
        <v>328.41</v>
      </c>
      <c r="BV71" s="2" t="s">
        <v>425</v>
      </c>
    </row>
    <row r="72" spans="9:75">
      <c r="I72" t="s">
        <v>442</v>
      </c>
      <c r="J72">
        <v>1666.67</v>
      </c>
      <c r="K72" t="s">
        <v>442</v>
      </c>
      <c r="Y72" t="s">
        <v>398</v>
      </c>
      <c r="Z72" s="1">
        <v>51.23</v>
      </c>
      <c r="AE72" t="s">
        <v>414</v>
      </c>
      <c r="AX72" s="1" t="s">
        <v>426</v>
      </c>
      <c r="AY72" s="1">
        <v>40</v>
      </c>
      <c r="BA72" s="6" t="s">
        <v>552</v>
      </c>
      <c r="BB72" s="6">
        <v>145.34</v>
      </c>
      <c r="BC72" s="6" t="str">
        <f t="shared" si="1"/>
        <v>弈工分信息汪顺</v>
      </c>
      <c r="BG72" t="s">
        <v>442</v>
      </c>
      <c r="BH72">
        <v>3750</v>
      </c>
      <c r="BP72" t="s">
        <v>395</v>
      </c>
      <c r="BQ72">
        <v>3035</v>
      </c>
      <c r="BS72" s="5" t="s">
        <v>435</v>
      </c>
      <c r="BT72" s="5">
        <v>40</v>
      </c>
      <c r="BV72" s="2" t="s">
        <v>426</v>
      </c>
      <c r="BW72" s="2">
        <v>40</v>
      </c>
    </row>
    <row r="73" spans="9:75">
      <c r="I73" t="s">
        <v>444</v>
      </c>
      <c r="J73">
        <v>57.56</v>
      </c>
      <c r="K73" t="s">
        <v>444</v>
      </c>
      <c r="Y73" t="s">
        <v>403</v>
      </c>
      <c r="Z73" s="1">
        <v>40</v>
      </c>
      <c r="AE73" t="s">
        <v>414</v>
      </c>
      <c r="AX73" s="1" t="s">
        <v>428</v>
      </c>
      <c r="AY73" s="1">
        <v>99.44</v>
      </c>
      <c r="BA73" s="6" t="s">
        <v>558</v>
      </c>
      <c r="BB73" s="6">
        <v>21.15</v>
      </c>
      <c r="BC73" s="6" t="str">
        <f t="shared" si="1"/>
        <v>弈工分信息苏坤</v>
      </c>
      <c r="BG73" t="s">
        <v>444</v>
      </c>
      <c r="BH73">
        <v>57.32</v>
      </c>
      <c r="BP73" t="s">
        <v>398</v>
      </c>
      <c r="BQ73">
        <v>50.99</v>
      </c>
      <c r="BS73" s="5" t="s">
        <v>439</v>
      </c>
      <c r="BT73" s="5">
        <v>145.04</v>
      </c>
      <c r="BV73" s="2" t="s">
        <v>428</v>
      </c>
      <c r="BW73" s="2">
        <v>104.6</v>
      </c>
    </row>
    <row r="74" spans="9:75">
      <c r="I74" t="s">
        <v>448</v>
      </c>
      <c r="J74">
        <v>211.9</v>
      </c>
      <c r="K74" t="s">
        <v>448</v>
      </c>
      <c r="Y74" t="s">
        <v>406</v>
      </c>
      <c r="Z74" s="1">
        <v>151.37</v>
      </c>
      <c r="AE74" t="s">
        <v>425</v>
      </c>
      <c r="AX74" s="1" t="s">
        <v>909</v>
      </c>
      <c r="AY74" s="1">
        <v>0</v>
      </c>
      <c r="BA74" s="6" t="s">
        <v>570</v>
      </c>
      <c r="BB74" s="6">
        <v>91.04</v>
      </c>
      <c r="BC74" s="6" t="str">
        <f t="shared" si="1"/>
        <v>弈工分信息王力</v>
      </c>
      <c r="BG74" t="s">
        <v>448</v>
      </c>
      <c r="BH74">
        <v>706.16</v>
      </c>
      <c r="BP74" t="s">
        <v>402</v>
      </c>
      <c r="BQ74">
        <v>65.84</v>
      </c>
      <c r="BS74" s="5" t="s">
        <v>442</v>
      </c>
      <c r="BT74" s="5">
        <v>1666.67</v>
      </c>
      <c r="BV74" s="2" t="s">
        <v>430</v>
      </c>
      <c r="BW74" s="2">
        <v>0</v>
      </c>
    </row>
    <row r="75" spans="9:75">
      <c r="I75" t="s">
        <v>449</v>
      </c>
      <c r="J75">
        <v>184.2</v>
      </c>
      <c r="K75" t="s">
        <v>449</v>
      </c>
      <c r="Y75" t="s">
        <v>409</v>
      </c>
      <c r="Z75" s="1">
        <v>3600</v>
      </c>
      <c r="AE75" t="s">
        <v>426</v>
      </c>
      <c r="AF75">
        <v>40</v>
      </c>
      <c r="AX75" s="1" t="s">
        <v>431</v>
      </c>
      <c r="AY75" s="1">
        <v>40</v>
      </c>
      <c r="BA75" s="6" t="s">
        <v>579</v>
      </c>
      <c r="BB75" s="6">
        <v>40</v>
      </c>
      <c r="BC75" s="6" t="str">
        <f t="shared" si="1"/>
        <v>弈享天津杜宪</v>
      </c>
      <c r="BG75" t="s">
        <v>449</v>
      </c>
      <c r="BH75">
        <v>609.2</v>
      </c>
      <c r="BP75" t="s">
        <v>403</v>
      </c>
      <c r="BQ75">
        <v>40</v>
      </c>
      <c r="BS75" s="5" t="s">
        <v>444</v>
      </c>
      <c r="BT75" s="5">
        <v>61.99</v>
      </c>
      <c r="BV75" s="2" t="s">
        <v>431</v>
      </c>
      <c r="BW75" s="2">
        <v>40</v>
      </c>
    </row>
    <row r="76" spans="9:75">
      <c r="I76" t="s">
        <v>450</v>
      </c>
      <c r="J76">
        <v>40</v>
      </c>
      <c r="K76" t="s">
        <v>450</v>
      </c>
      <c r="Y76" t="s">
        <v>411</v>
      </c>
      <c r="Z76" s="1">
        <v>269.58</v>
      </c>
      <c r="AE76" t="s">
        <v>428</v>
      </c>
      <c r="AF76">
        <v>100.16</v>
      </c>
      <c r="AX76" s="1" t="s">
        <v>434</v>
      </c>
      <c r="AY76" s="1">
        <v>0</v>
      </c>
      <c r="BA76" s="6" t="s">
        <v>580</v>
      </c>
      <c r="BB76" s="6">
        <v>40</v>
      </c>
      <c r="BC76" s="6" t="str">
        <f t="shared" si="1"/>
        <v>弈享天津周梓荣</v>
      </c>
      <c r="BG76" t="s">
        <v>450</v>
      </c>
      <c r="BH76">
        <v>40</v>
      </c>
      <c r="BP76" t="s">
        <v>406</v>
      </c>
      <c r="BQ76">
        <v>170.99</v>
      </c>
      <c r="BS76" s="5" t="s">
        <v>448</v>
      </c>
      <c r="BT76" s="5">
        <v>211.43</v>
      </c>
      <c r="BV76" s="2" t="s">
        <v>434</v>
      </c>
      <c r="BW76" s="2">
        <v>0</v>
      </c>
    </row>
    <row r="77" spans="9:75">
      <c r="I77" t="s">
        <v>452</v>
      </c>
      <c r="J77">
        <v>0</v>
      </c>
      <c r="K77" t="s">
        <v>452</v>
      </c>
      <c r="Y77" t="s">
        <v>412</v>
      </c>
      <c r="Z77" s="1">
        <v>1150</v>
      </c>
      <c r="AE77" t="s">
        <v>909</v>
      </c>
      <c r="AF77">
        <v>0</v>
      </c>
      <c r="AX77" s="1" t="s">
        <v>435</v>
      </c>
      <c r="AY77" s="1">
        <v>40</v>
      </c>
      <c r="BG77" t="s">
        <v>452</v>
      </c>
      <c r="BH77">
        <v>0</v>
      </c>
      <c r="BP77" t="s">
        <v>409</v>
      </c>
      <c r="BQ77">
        <v>4000</v>
      </c>
      <c r="BS77" s="5" t="s">
        <v>449</v>
      </c>
      <c r="BT77" s="5">
        <v>185.63</v>
      </c>
      <c r="BU77">
        <v>40</v>
      </c>
      <c r="BV77" s="2" t="s">
        <v>435</v>
      </c>
      <c r="BW77" s="2">
        <v>40</v>
      </c>
    </row>
    <row r="78" spans="9:75">
      <c r="I78" t="s">
        <v>454</v>
      </c>
      <c r="J78">
        <v>0</v>
      </c>
      <c r="K78" t="s">
        <v>454</v>
      </c>
      <c r="Y78" t="s">
        <v>414</v>
      </c>
      <c r="AE78" t="s">
        <v>431</v>
      </c>
      <c r="AF78">
        <v>40</v>
      </c>
      <c r="AX78" s="1" t="s">
        <v>439</v>
      </c>
      <c r="AY78" s="1">
        <v>137.13</v>
      </c>
      <c r="BG78" t="s">
        <v>454</v>
      </c>
      <c r="BH78">
        <v>0</v>
      </c>
      <c r="BP78" t="s">
        <v>411</v>
      </c>
      <c r="BQ78">
        <v>0</v>
      </c>
      <c r="BS78" s="5" t="s">
        <v>450</v>
      </c>
      <c r="BT78" s="5">
        <v>40</v>
      </c>
      <c r="BU78">
        <v>104.27</v>
      </c>
      <c r="BV78" s="2" t="s">
        <v>439</v>
      </c>
      <c r="BW78" s="2">
        <v>192.77</v>
      </c>
    </row>
    <row r="79" spans="9:75">
      <c r="I79" t="s">
        <v>456</v>
      </c>
      <c r="J79">
        <v>21.23</v>
      </c>
      <c r="K79" t="s">
        <v>456</v>
      </c>
      <c r="Y79" t="s">
        <v>425</v>
      </c>
      <c r="AE79" t="s">
        <v>434</v>
      </c>
      <c r="AF79">
        <v>0</v>
      </c>
      <c r="AX79" s="1" t="s">
        <v>442</v>
      </c>
      <c r="AY79" s="1">
        <v>1965.64</v>
      </c>
      <c r="BG79" t="s">
        <v>456</v>
      </c>
      <c r="BH79">
        <v>0</v>
      </c>
      <c r="BP79" t="s">
        <v>412</v>
      </c>
      <c r="BQ79">
        <v>1150</v>
      </c>
      <c r="BS79" s="5" t="s">
        <v>452</v>
      </c>
      <c r="BT79" s="5">
        <v>0</v>
      </c>
      <c r="BU79">
        <v>0</v>
      </c>
      <c r="BV79" s="2" t="s">
        <v>442</v>
      </c>
      <c r="BW79" s="2">
        <v>1666.66</v>
      </c>
    </row>
    <row r="80" spans="9:75">
      <c r="I80" t="s">
        <v>457</v>
      </c>
      <c r="J80">
        <v>40</v>
      </c>
      <c r="K80" t="s">
        <v>457</v>
      </c>
      <c r="Y80" t="s">
        <v>426</v>
      </c>
      <c r="Z80" s="1">
        <v>40</v>
      </c>
      <c r="AE80" t="s">
        <v>435</v>
      </c>
      <c r="AF80">
        <v>40</v>
      </c>
      <c r="AX80" s="1" t="s">
        <v>444</v>
      </c>
      <c r="AY80" s="1">
        <v>56.85</v>
      </c>
      <c r="BG80" t="s">
        <v>457</v>
      </c>
      <c r="BH80">
        <v>40</v>
      </c>
      <c r="BP80" t="s">
        <v>414</v>
      </c>
      <c r="BS80" s="5" t="s">
        <v>454</v>
      </c>
      <c r="BT80" s="5">
        <v>0</v>
      </c>
      <c r="BU80">
        <v>40</v>
      </c>
      <c r="BV80" s="2" t="s">
        <v>444</v>
      </c>
      <c r="BW80" s="2">
        <v>62</v>
      </c>
    </row>
    <row r="81" spans="9:75">
      <c r="I81" t="s">
        <v>459</v>
      </c>
      <c r="J81">
        <v>0</v>
      </c>
      <c r="K81" t="s">
        <v>459</v>
      </c>
      <c r="Y81" t="s">
        <v>428</v>
      </c>
      <c r="Z81" s="1">
        <v>100.16</v>
      </c>
      <c r="AE81" t="s">
        <v>439</v>
      </c>
      <c r="AF81">
        <v>112.34</v>
      </c>
      <c r="AX81" s="1" t="s">
        <v>448</v>
      </c>
      <c r="AY81" s="1">
        <v>732.84</v>
      </c>
      <c r="BG81" t="s">
        <v>459</v>
      </c>
      <c r="BH81">
        <v>39.98</v>
      </c>
      <c r="BP81" t="s">
        <v>418</v>
      </c>
      <c r="BS81" s="5" t="s">
        <v>456</v>
      </c>
      <c r="BT81" s="5">
        <v>0</v>
      </c>
      <c r="BU81">
        <v>0</v>
      </c>
      <c r="BV81" s="2" t="s">
        <v>448</v>
      </c>
      <c r="BW81" s="2">
        <v>190.49</v>
      </c>
    </row>
    <row r="82" spans="9:75">
      <c r="I82" t="s">
        <v>463</v>
      </c>
      <c r="J82">
        <v>0</v>
      </c>
      <c r="K82" t="s">
        <v>463</v>
      </c>
      <c r="Y82" t="s">
        <v>909</v>
      </c>
      <c r="Z82" s="1">
        <v>0</v>
      </c>
      <c r="AE82" t="s">
        <v>442</v>
      </c>
      <c r="AF82">
        <v>1666.66</v>
      </c>
      <c r="AX82" s="1" t="s">
        <v>449</v>
      </c>
      <c r="AY82" s="1">
        <v>635.47</v>
      </c>
      <c r="BG82" t="s">
        <v>463</v>
      </c>
      <c r="BH82">
        <v>0</v>
      </c>
      <c r="BP82" t="s">
        <v>421</v>
      </c>
      <c r="BS82" s="5" t="s">
        <v>893</v>
      </c>
      <c r="BT82" s="5">
        <v>40</v>
      </c>
      <c r="BU82">
        <v>40</v>
      </c>
      <c r="BV82" s="2" t="s">
        <v>449</v>
      </c>
      <c r="BW82" s="2">
        <v>185.63</v>
      </c>
    </row>
    <row r="83" spans="9:75">
      <c r="I83" t="s">
        <v>465</v>
      </c>
      <c r="J83">
        <v>0</v>
      </c>
      <c r="K83" t="s">
        <v>465</v>
      </c>
      <c r="Y83" t="s">
        <v>431</v>
      </c>
      <c r="Z83" s="1">
        <v>40</v>
      </c>
      <c r="AE83" t="s">
        <v>444</v>
      </c>
      <c r="AF83">
        <v>57.56</v>
      </c>
      <c r="AX83" s="1" t="s">
        <v>450</v>
      </c>
      <c r="AY83" s="1">
        <v>40</v>
      </c>
      <c r="BG83" t="s">
        <v>465</v>
      </c>
      <c r="BH83">
        <v>0</v>
      </c>
      <c r="BP83" t="s">
        <v>424</v>
      </c>
      <c r="BS83" s="5" t="s">
        <v>459</v>
      </c>
      <c r="BT83" s="5">
        <v>71.7</v>
      </c>
      <c r="BU83">
        <v>278</v>
      </c>
      <c r="BV83" s="2" t="s">
        <v>450</v>
      </c>
      <c r="BW83" s="2">
        <v>40</v>
      </c>
    </row>
    <row r="84" spans="9:75">
      <c r="I84" t="s">
        <v>468</v>
      </c>
      <c r="J84">
        <v>0</v>
      </c>
      <c r="K84" t="s">
        <v>468</v>
      </c>
      <c r="Y84" t="s">
        <v>434</v>
      </c>
      <c r="Z84" s="1">
        <v>0</v>
      </c>
      <c r="AE84" t="s">
        <v>448</v>
      </c>
      <c r="AF84">
        <v>725.83</v>
      </c>
      <c r="AX84" s="1" t="s">
        <v>452</v>
      </c>
      <c r="AY84" s="1">
        <v>0</v>
      </c>
      <c r="BG84" t="s">
        <v>468</v>
      </c>
      <c r="BH84">
        <v>0</v>
      </c>
      <c r="BP84" t="s">
        <v>425</v>
      </c>
      <c r="BS84" s="5" t="s">
        <v>910</v>
      </c>
      <c r="BT84" s="5">
        <v>0</v>
      </c>
      <c r="BU84">
        <v>1272.16</v>
      </c>
      <c r="BV84" s="2" t="s">
        <v>452</v>
      </c>
      <c r="BW84" s="2">
        <v>0</v>
      </c>
    </row>
    <row r="85" spans="9:75">
      <c r="I85" t="s">
        <v>470</v>
      </c>
      <c r="J85">
        <v>0</v>
      </c>
      <c r="K85" t="s">
        <v>470</v>
      </c>
      <c r="Y85" t="s">
        <v>435</v>
      </c>
      <c r="Z85" s="1">
        <v>40</v>
      </c>
      <c r="AE85" t="s">
        <v>449</v>
      </c>
      <c r="AF85">
        <v>635.47</v>
      </c>
      <c r="AX85" s="1" t="s">
        <v>454</v>
      </c>
      <c r="AY85" s="1">
        <v>3.7</v>
      </c>
      <c r="BA85" t="s">
        <v>584</v>
      </c>
      <c r="BG85" t="s">
        <v>470</v>
      </c>
      <c r="BH85">
        <v>0</v>
      </c>
      <c r="BP85" t="s">
        <v>426</v>
      </c>
      <c r="BQ85">
        <v>40</v>
      </c>
      <c r="BS85" s="5" t="s">
        <v>463</v>
      </c>
      <c r="BT85" s="5">
        <v>141.01</v>
      </c>
      <c r="BU85">
        <v>61.67</v>
      </c>
      <c r="BV85" s="2" t="s">
        <v>454</v>
      </c>
      <c r="BW85" s="2">
        <v>0</v>
      </c>
    </row>
    <row r="86" spans="9:75">
      <c r="I86" t="s">
        <v>472</v>
      </c>
      <c r="J86">
        <v>0</v>
      </c>
      <c r="K86" t="s">
        <v>472</v>
      </c>
      <c r="Y86" t="s">
        <v>439</v>
      </c>
      <c r="Z86" s="1">
        <v>140.84</v>
      </c>
      <c r="AE86" t="s">
        <v>450</v>
      </c>
      <c r="AF86">
        <v>40</v>
      </c>
      <c r="AX86" s="1" t="s">
        <v>456</v>
      </c>
      <c r="AY86" s="1">
        <v>0</v>
      </c>
      <c r="BG86" t="s">
        <v>472</v>
      </c>
      <c r="BH86">
        <v>0</v>
      </c>
      <c r="BP86" t="s">
        <v>428</v>
      </c>
      <c r="BQ86">
        <v>143.57</v>
      </c>
      <c r="BS86" s="5" t="s">
        <v>465</v>
      </c>
      <c r="BT86" s="5">
        <v>0</v>
      </c>
      <c r="BU86">
        <v>218.46</v>
      </c>
      <c r="BV86" s="2" t="s">
        <v>456</v>
      </c>
      <c r="BW86" s="2">
        <v>0</v>
      </c>
    </row>
    <row r="87" spans="9:75">
      <c r="I87" t="s">
        <v>476</v>
      </c>
      <c r="J87">
        <v>64.2</v>
      </c>
      <c r="K87" t="s">
        <v>476</v>
      </c>
      <c r="Y87" t="s">
        <v>442</v>
      </c>
      <c r="Z87" s="1">
        <v>1666.67</v>
      </c>
      <c r="AE87" t="s">
        <v>452</v>
      </c>
      <c r="AF87">
        <v>0</v>
      </c>
      <c r="AX87" s="1" t="s">
        <v>457</v>
      </c>
      <c r="AY87" s="1">
        <v>40</v>
      </c>
      <c r="BG87" t="s">
        <v>476</v>
      </c>
      <c r="BH87">
        <v>68.9</v>
      </c>
      <c r="BP87" t="s">
        <v>430</v>
      </c>
      <c r="BQ87">
        <v>0</v>
      </c>
      <c r="BS87" s="5" t="s">
        <v>468</v>
      </c>
      <c r="BT87" s="5">
        <v>0</v>
      </c>
      <c r="BU87">
        <v>185.31</v>
      </c>
      <c r="BV87" s="2" t="s">
        <v>893</v>
      </c>
      <c r="BW87" s="2">
        <v>40</v>
      </c>
    </row>
    <row r="88" spans="9:75">
      <c r="I88" t="s">
        <v>478</v>
      </c>
      <c r="J88">
        <v>70.2</v>
      </c>
      <c r="K88" t="s">
        <v>478</v>
      </c>
      <c r="Y88" t="s">
        <v>444</v>
      </c>
      <c r="Z88" s="1">
        <v>57.56</v>
      </c>
      <c r="AE88" t="s">
        <v>454</v>
      </c>
      <c r="AF88">
        <v>0</v>
      </c>
      <c r="AX88" s="1" t="s">
        <v>459</v>
      </c>
      <c r="AY88" s="1">
        <v>0</v>
      </c>
      <c r="BG88" t="s">
        <v>478</v>
      </c>
      <c r="BH88">
        <v>68.9</v>
      </c>
      <c r="BP88" t="s">
        <v>431</v>
      </c>
      <c r="BQ88">
        <v>40</v>
      </c>
      <c r="BS88" s="5" t="s">
        <v>470</v>
      </c>
      <c r="BT88" s="5">
        <v>0</v>
      </c>
      <c r="BU88">
        <v>40</v>
      </c>
      <c r="BV88" s="2" t="s">
        <v>459</v>
      </c>
      <c r="BW88" s="2">
        <v>102.73</v>
      </c>
    </row>
    <row r="89" spans="9:75">
      <c r="I89" t="s">
        <v>480</v>
      </c>
      <c r="J89">
        <v>64.2</v>
      </c>
      <c r="K89" t="s">
        <v>480</v>
      </c>
      <c r="Y89" t="s">
        <v>448</v>
      </c>
      <c r="Z89" s="1">
        <v>777.43</v>
      </c>
      <c r="AE89" t="s">
        <v>456</v>
      </c>
      <c r="AF89">
        <v>21.23</v>
      </c>
      <c r="AX89" s="1" t="s">
        <v>463</v>
      </c>
      <c r="AY89" s="1">
        <v>0</v>
      </c>
      <c r="BG89" t="s">
        <v>480</v>
      </c>
      <c r="BH89">
        <v>65.9</v>
      </c>
      <c r="BP89" t="s">
        <v>434</v>
      </c>
      <c r="BQ89">
        <v>0</v>
      </c>
      <c r="BS89" s="5" t="s">
        <v>472</v>
      </c>
      <c r="BT89" s="5">
        <v>0</v>
      </c>
      <c r="BU89">
        <v>0</v>
      </c>
      <c r="BV89" s="2" t="s">
        <v>910</v>
      </c>
      <c r="BW89" s="2">
        <v>19.83</v>
      </c>
    </row>
    <row r="90" spans="9:75">
      <c r="I90" t="s">
        <v>482</v>
      </c>
      <c r="J90">
        <v>44.85</v>
      </c>
      <c r="K90" t="s">
        <v>482</v>
      </c>
      <c r="Y90" t="s">
        <v>449</v>
      </c>
      <c r="Z90" s="1">
        <v>635.47</v>
      </c>
      <c r="AE90" t="s">
        <v>457</v>
      </c>
      <c r="AF90">
        <v>40</v>
      </c>
      <c r="AX90" s="1" t="s">
        <v>465</v>
      </c>
      <c r="AY90" s="1">
        <v>0</v>
      </c>
      <c r="BG90" t="s">
        <v>482</v>
      </c>
      <c r="BH90">
        <v>56.3</v>
      </c>
      <c r="BP90" t="s">
        <v>435</v>
      </c>
      <c r="BQ90">
        <v>40</v>
      </c>
      <c r="BS90" s="5" t="s">
        <v>476</v>
      </c>
      <c r="BT90" s="5">
        <v>0</v>
      </c>
      <c r="BU90">
        <v>0</v>
      </c>
      <c r="BV90" s="2" t="s">
        <v>463</v>
      </c>
      <c r="BW90" s="2">
        <v>141.01</v>
      </c>
    </row>
    <row r="91" spans="9:75">
      <c r="I91" t="s">
        <v>911</v>
      </c>
      <c r="J91">
        <v>0</v>
      </c>
      <c r="K91" t="e">
        <v>#N/A</v>
      </c>
      <c r="Y91" t="s">
        <v>450</v>
      </c>
      <c r="Z91" s="1">
        <v>40</v>
      </c>
      <c r="AE91" t="s">
        <v>459</v>
      </c>
      <c r="AF91">
        <v>0</v>
      </c>
      <c r="AX91" s="1" t="s">
        <v>468</v>
      </c>
      <c r="AY91" s="1">
        <v>0</v>
      </c>
      <c r="BG91" t="s">
        <v>912</v>
      </c>
      <c r="BH91">
        <v>0</v>
      </c>
      <c r="BP91" t="s">
        <v>439</v>
      </c>
      <c r="BQ91">
        <v>261.08</v>
      </c>
      <c r="BS91" s="5" t="s">
        <v>478</v>
      </c>
      <c r="BT91" s="5">
        <v>37.5</v>
      </c>
      <c r="BU91">
        <v>0</v>
      </c>
      <c r="BV91" s="2" t="s">
        <v>465</v>
      </c>
      <c r="BW91" s="2">
        <v>0</v>
      </c>
    </row>
    <row r="92" spans="9:75">
      <c r="I92" t="s">
        <v>913</v>
      </c>
      <c r="J92">
        <v>0</v>
      </c>
      <c r="K92" t="e">
        <v>#N/A</v>
      </c>
      <c r="Y92" t="s">
        <v>452</v>
      </c>
      <c r="Z92" s="1">
        <v>0</v>
      </c>
      <c r="AE92" t="s">
        <v>463</v>
      </c>
      <c r="AF92">
        <v>0</v>
      </c>
      <c r="AX92" s="1" t="s">
        <v>470</v>
      </c>
      <c r="AY92" s="1">
        <v>0</v>
      </c>
      <c r="BG92" t="s">
        <v>911</v>
      </c>
      <c r="BH92">
        <v>0</v>
      </c>
      <c r="BP92" t="s">
        <v>442</v>
      </c>
      <c r="BQ92">
        <v>3750</v>
      </c>
      <c r="BS92" s="5" t="s">
        <v>480</v>
      </c>
      <c r="BT92" s="5">
        <v>37.5</v>
      </c>
      <c r="BU92">
        <v>40</v>
      </c>
      <c r="BV92" s="2" t="s">
        <v>468</v>
      </c>
      <c r="BW92" s="2">
        <v>0</v>
      </c>
    </row>
    <row r="93" spans="9:75">
      <c r="I93" t="s">
        <v>914</v>
      </c>
      <c r="J93">
        <v>0</v>
      </c>
      <c r="K93" t="e">
        <v>#N/A</v>
      </c>
      <c r="Y93" t="s">
        <v>454</v>
      </c>
      <c r="Z93" s="1">
        <v>0</v>
      </c>
      <c r="AE93" t="s">
        <v>465</v>
      </c>
      <c r="AF93">
        <v>0</v>
      </c>
      <c r="AX93" s="1" t="s">
        <v>472</v>
      </c>
      <c r="AY93" s="1">
        <v>0</v>
      </c>
      <c r="BG93" t="s">
        <v>913</v>
      </c>
      <c r="BH93">
        <v>0</v>
      </c>
      <c r="BP93" t="s">
        <v>444</v>
      </c>
      <c r="BQ93">
        <v>57.32</v>
      </c>
      <c r="BS93" s="5" t="s">
        <v>915</v>
      </c>
      <c r="BT93" s="5">
        <v>0</v>
      </c>
      <c r="BU93">
        <v>44.05</v>
      </c>
      <c r="BV93" s="2" t="s">
        <v>470</v>
      </c>
      <c r="BW93" s="2">
        <v>0</v>
      </c>
    </row>
    <row r="94" spans="9:75">
      <c r="I94" t="s">
        <v>916</v>
      </c>
      <c r="J94">
        <v>0</v>
      </c>
      <c r="K94" t="e">
        <v>#N/A</v>
      </c>
      <c r="Y94" t="s">
        <v>456</v>
      </c>
      <c r="Z94" s="1">
        <v>0</v>
      </c>
      <c r="AE94" t="s">
        <v>468</v>
      </c>
      <c r="AF94">
        <v>0</v>
      </c>
      <c r="AX94" s="1" t="s">
        <v>476</v>
      </c>
      <c r="AY94" s="1">
        <v>27.02</v>
      </c>
      <c r="BG94" t="s">
        <v>917</v>
      </c>
      <c r="BH94">
        <v>0</v>
      </c>
      <c r="BP94" t="s">
        <v>448</v>
      </c>
      <c r="BQ94">
        <v>691.26</v>
      </c>
      <c r="BS94" s="5" t="s">
        <v>518</v>
      </c>
      <c r="BT94" s="5">
        <v>215.17</v>
      </c>
      <c r="BU94">
        <v>70.34</v>
      </c>
      <c r="BV94" s="2" t="s">
        <v>472</v>
      </c>
      <c r="BW94" s="2">
        <v>0</v>
      </c>
    </row>
    <row r="95" spans="9:75">
      <c r="I95" t="s">
        <v>880</v>
      </c>
      <c r="J95">
        <v>59.16</v>
      </c>
      <c r="K95" t="e">
        <v>#N/A</v>
      </c>
      <c r="Y95" t="s">
        <v>457</v>
      </c>
      <c r="Z95" s="1">
        <v>40</v>
      </c>
      <c r="AE95" t="s">
        <v>470</v>
      </c>
      <c r="AF95">
        <v>0</v>
      </c>
      <c r="AX95" s="1" t="s">
        <v>478</v>
      </c>
      <c r="AY95" s="1">
        <v>27.02</v>
      </c>
      <c r="BG95" t="s">
        <v>916</v>
      </c>
      <c r="BH95">
        <v>0</v>
      </c>
      <c r="BP95" t="s">
        <v>449</v>
      </c>
      <c r="BQ95">
        <v>606.8</v>
      </c>
      <c r="BS95" s="5" t="s">
        <v>519</v>
      </c>
      <c r="BT95" s="5">
        <v>440</v>
      </c>
      <c r="BU95">
        <v>0</v>
      </c>
      <c r="BV95" s="2" t="s">
        <v>476</v>
      </c>
      <c r="BW95" s="2">
        <v>0</v>
      </c>
    </row>
    <row r="96" spans="9:75">
      <c r="I96" t="s">
        <v>881</v>
      </c>
      <c r="J96">
        <v>7.56</v>
      </c>
      <c r="K96" t="e">
        <v>#N/A</v>
      </c>
      <c r="Y96" t="s">
        <v>459</v>
      </c>
      <c r="Z96" s="1">
        <v>0</v>
      </c>
      <c r="AE96" t="s">
        <v>472</v>
      </c>
      <c r="AF96">
        <v>0</v>
      </c>
      <c r="AX96" s="1" t="s">
        <v>480</v>
      </c>
      <c r="AY96" s="1">
        <v>27.02</v>
      </c>
      <c r="BG96" t="s">
        <v>918</v>
      </c>
      <c r="BP96" t="s">
        <v>450</v>
      </c>
      <c r="BQ96">
        <v>40</v>
      </c>
      <c r="BS96" s="5" t="s">
        <v>521</v>
      </c>
      <c r="BT96" s="5">
        <v>895.11</v>
      </c>
      <c r="BU96">
        <v>0</v>
      </c>
      <c r="BV96" s="2" t="s">
        <v>478</v>
      </c>
      <c r="BW96" s="2">
        <v>47.51</v>
      </c>
    </row>
    <row r="97" spans="9:75">
      <c r="I97" t="s">
        <v>882</v>
      </c>
      <c r="J97">
        <v>5.66</v>
      </c>
      <c r="K97" t="e">
        <v>#N/A</v>
      </c>
      <c r="Y97" t="s">
        <v>463</v>
      </c>
      <c r="Z97" s="1">
        <v>0</v>
      </c>
      <c r="AE97" t="s">
        <v>476</v>
      </c>
      <c r="AF97">
        <v>48</v>
      </c>
      <c r="AX97" s="1" t="s">
        <v>482</v>
      </c>
      <c r="AY97" s="1">
        <v>14.42</v>
      </c>
      <c r="BG97" t="s">
        <v>919</v>
      </c>
      <c r="BP97" t="s">
        <v>452</v>
      </c>
      <c r="BQ97">
        <v>0</v>
      </c>
      <c r="BS97" s="5" t="s">
        <v>524</v>
      </c>
      <c r="BT97" s="5">
        <v>2352.71</v>
      </c>
      <c r="BU97">
        <v>0</v>
      </c>
      <c r="BV97" s="2" t="s">
        <v>480</v>
      </c>
      <c r="BW97" s="2">
        <v>41</v>
      </c>
    </row>
    <row r="98" spans="9:75">
      <c r="I98" t="s">
        <v>883</v>
      </c>
      <c r="J98">
        <v>88.02</v>
      </c>
      <c r="K98" t="e">
        <v>#N/A</v>
      </c>
      <c r="Y98" t="s">
        <v>465</v>
      </c>
      <c r="Z98" s="1">
        <v>0</v>
      </c>
      <c r="AE98" t="s">
        <v>478</v>
      </c>
      <c r="AF98">
        <v>3.6</v>
      </c>
      <c r="AX98" s="1" t="s">
        <v>912</v>
      </c>
      <c r="AY98" s="1">
        <v>0</v>
      </c>
      <c r="BG98" t="s">
        <v>490</v>
      </c>
      <c r="BP98" t="s">
        <v>454</v>
      </c>
      <c r="BQ98">
        <v>0</v>
      </c>
      <c r="BS98" s="5" t="s">
        <v>526</v>
      </c>
      <c r="BT98" s="5">
        <v>382.57</v>
      </c>
      <c r="BU98">
        <v>0</v>
      </c>
      <c r="BV98" s="2" t="s">
        <v>915</v>
      </c>
      <c r="BW98" s="2">
        <v>0</v>
      </c>
    </row>
    <row r="99" spans="9:75">
      <c r="I99" t="s">
        <v>920</v>
      </c>
      <c r="J99">
        <v>12.04</v>
      </c>
      <c r="K99" t="e">
        <v>#N/A</v>
      </c>
      <c r="Y99" t="s">
        <v>468</v>
      </c>
      <c r="Z99" s="1">
        <v>0</v>
      </c>
      <c r="AE99" t="s">
        <v>480</v>
      </c>
      <c r="AF99">
        <v>54</v>
      </c>
      <c r="AX99" s="1" t="s">
        <v>911</v>
      </c>
      <c r="AY99" s="1">
        <v>0</v>
      </c>
      <c r="BG99" t="s">
        <v>921</v>
      </c>
      <c r="BP99" t="s">
        <v>456</v>
      </c>
      <c r="BQ99">
        <v>0</v>
      </c>
      <c r="BS99" s="5" t="s">
        <v>529</v>
      </c>
      <c r="BT99" s="5">
        <v>36.36</v>
      </c>
      <c r="BU99">
        <v>0</v>
      </c>
      <c r="BV99" s="2" t="s">
        <v>918</v>
      </c>
    </row>
    <row r="100" spans="9:75">
      <c r="I100" t="s">
        <v>884</v>
      </c>
      <c r="J100">
        <v>39.12</v>
      </c>
      <c r="K100" t="e">
        <v>#N/A</v>
      </c>
      <c r="Y100" t="s">
        <v>470</v>
      </c>
      <c r="Z100" s="1">
        <v>0</v>
      </c>
      <c r="AE100" t="s">
        <v>482</v>
      </c>
      <c r="AF100">
        <v>54</v>
      </c>
      <c r="AX100" s="1" t="s">
        <v>913</v>
      </c>
      <c r="AY100" s="1">
        <v>0</v>
      </c>
      <c r="BG100" t="s">
        <v>922</v>
      </c>
      <c r="BP100" t="s">
        <v>457</v>
      </c>
      <c r="BQ100">
        <v>40</v>
      </c>
      <c r="BS100" s="5" t="s">
        <v>532</v>
      </c>
      <c r="BT100" s="5">
        <v>134.98</v>
      </c>
      <c r="BU100">
        <v>36.5</v>
      </c>
      <c r="BV100" s="2" t="s">
        <v>923</v>
      </c>
    </row>
    <row r="101" spans="9:75">
      <c r="I101" t="s">
        <v>885</v>
      </c>
      <c r="J101">
        <v>7.2</v>
      </c>
      <c r="K101" t="e">
        <v>#N/A</v>
      </c>
      <c r="Y101" t="s">
        <v>472</v>
      </c>
      <c r="Z101" s="1">
        <v>0</v>
      </c>
      <c r="AE101" t="s">
        <v>912</v>
      </c>
      <c r="AF101">
        <v>0</v>
      </c>
      <c r="AX101" s="1" t="s">
        <v>924</v>
      </c>
      <c r="AY101" s="1">
        <v>0</v>
      </c>
      <c r="BG101" t="s">
        <v>488</v>
      </c>
      <c r="BP101" t="s">
        <v>459</v>
      </c>
      <c r="BQ101">
        <v>30.15</v>
      </c>
      <c r="BS101" s="5" t="s">
        <v>534</v>
      </c>
      <c r="BT101" s="5">
        <v>6.18</v>
      </c>
      <c r="BU101">
        <v>17.35</v>
      </c>
      <c r="BV101" s="2" t="s">
        <v>488</v>
      </c>
    </row>
    <row r="102" spans="9:75">
      <c r="I102" t="s">
        <v>925</v>
      </c>
      <c r="J102">
        <v>2.25</v>
      </c>
      <c r="K102" t="e">
        <v>#N/A</v>
      </c>
      <c r="Y102" t="s">
        <v>476</v>
      </c>
      <c r="Z102" s="1">
        <v>30.74</v>
      </c>
      <c r="AE102" t="s">
        <v>911</v>
      </c>
      <c r="AF102">
        <v>0</v>
      </c>
      <c r="AX102" s="1" t="s">
        <v>916</v>
      </c>
      <c r="AY102" s="1">
        <v>0</v>
      </c>
      <c r="BG102" t="s">
        <v>502</v>
      </c>
      <c r="BP102" t="s">
        <v>463</v>
      </c>
      <c r="BQ102">
        <v>0</v>
      </c>
      <c r="BS102" s="5" t="s">
        <v>537</v>
      </c>
      <c r="BT102" s="5">
        <v>150</v>
      </c>
      <c r="BU102">
        <v>0</v>
      </c>
      <c r="BV102" s="2" t="s">
        <v>486</v>
      </c>
    </row>
    <row r="103" spans="9:75">
      <c r="I103" t="s">
        <v>886</v>
      </c>
      <c r="J103">
        <v>45</v>
      </c>
      <c r="K103" t="e">
        <v>#N/A</v>
      </c>
      <c r="Y103" t="s">
        <v>478</v>
      </c>
      <c r="Z103" s="1">
        <v>8.84</v>
      </c>
      <c r="AE103" t="s">
        <v>926</v>
      </c>
      <c r="AF103">
        <v>0</v>
      </c>
      <c r="AX103" s="1" t="s">
        <v>918</v>
      </c>
      <c r="BG103" t="s">
        <v>927</v>
      </c>
      <c r="BP103" t="s">
        <v>465</v>
      </c>
      <c r="BQ103">
        <v>0</v>
      </c>
      <c r="BS103" s="5" t="s">
        <v>539</v>
      </c>
      <c r="BT103" s="5">
        <v>70.67</v>
      </c>
      <c r="BU103">
        <v>0</v>
      </c>
      <c r="BV103" s="2" t="s">
        <v>928</v>
      </c>
    </row>
    <row r="104" spans="9:75">
      <c r="I104" t="s">
        <v>929</v>
      </c>
      <c r="J104">
        <v>20.4</v>
      </c>
      <c r="K104" t="e">
        <v>#N/A</v>
      </c>
      <c r="Y104" t="s">
        <v>480</v>
      </c>
      <c r="Z104" s="1">
        <v>21.44</v>
      </c>
      <c r="AE104" t="s">
        <v>916</v>
      </c>
      <c r="AF104">
        <v>0</v>
      </c>
      <c r="AX104" s="1" t="s">
        <v>919</v>
      </c>
      <c r="BG104" t="s">
        <v>930</v>
      </c>
      <c r="BP104" t="s">
        <v>468</v>
      </c>
      <c r="BQ104">
        <v>0</v>
      </c>
      <c r="BS104" s="5" t="s">
        <v>541</v>
      </c>
      <c r="BT104" s="5">
        <v>210.85</v>
      </c>
      <c r="BU104">
        <v>0</v>
      </c>
      <c r="BV104" s="2" t="s">
        <v>927</v>
      </c>
    </row>
    <row r="105" spans="9:75">
      <c r="I105" t="s">
        <v>918</v>
      </c>
      <c r="K105" t="e">
        <v>#N/A</v>
      </c>
      <c r="Y105" t="s">
        <v>482</v>
      </c>
      <c r="Z105" s="1">
        <v>21.44</v>
      </c>
      <c r="AE105" t="s">
        <v>918</v>
      </c>
      <c r="AX105" s="1" t="s">
        <v>490</v>
      </c>
      <c r="BG105" t="s">
        <v>500</v>
      </c>
      <c r="BP105" t="s">
        <v>470</v>
      </c>
      <c r="BQ105">
        <v>0</v>
      </c>
      <c r="BS105" s="5" t="s">
        <v>543</v>
      </c>
      <c r="BT105" s="5">
        <v>0</v>
      </c>
      <c r="BU105">
        <v>0</v>
      </c>
      <c r="BV105" s="2" t="s">
        <v>931</v>
      </c>
    </row>
    <row r="106" spans="9:75">
      <c r="I106" t="s">
        <v>919</v>
      </c>
      <c r="K106" t="e">
        <v>#N/A</v>
      </c>
      <c r="Y106" t="s">
        <v>912</v>
      </c>
      <c r="Z106" s="1">
        <v>0</v>
      </c>
      <c r="AE106" t="s">
        <v>919</v>
      </c>
      <c r="AX106" s="1" t="s">
        <v>921</v>
      </c>
      <c r="BG106" t="s">
        <v>506</v>
      </c>
      <c r="BP106" t="s">
        <v>472</v>
      </c>
      <c r="BQ106">
        <v>0</v>
      </c>
      <c r="BS106" s="5" t="s">
        <v>546</v>
      </c>
      <c r="BT106" s="5">
        <v>71.7</v>
      </c>
      <c r="BU106">
        <v>0</v>
      </c>
      <c r="BV106" s="2" t="s">
        <v>932</v>
      </c>
    </row>
    <row r="107" spans="9:75">
      <c r="I107" t="s">
        <v>490</v>
      </c>
      <c r="K107" t="e">
        <v>#N/A</v>
      </c>
      <c r="Y107" t="s">
        <v>911</v>
      </c>
      <c r="Z107" s="1">
        <v>0</v>
      </c>
      <c r="AE107" t="s">
        <v>490</v>
      </c>
      <c r="AX107" s="1" t="s">
        <v>922</v>
      </c>
      <c r="BG107" t="s">
        <v>933</v>
      </c>
      <c r="BP107" t="s">
        <v>476</v>
      </c>
      <c r="BQ107">
        <v>15.5</v>
      </c>
      <c r="BS107" s="5" t="s">
        <v>548</v>
      </c>
      <c r="BT107" s="5">
        <v>55.25</v>
      </c>
      <c r="BV107" s="2" t="s">
        <v>934</v>
      </c>
    </row>
    <row r="108" spans="9:75">
      <c r="I108" t="s">
        <v>921</v>
      </c>
      <c r="K108" t="e">
        <v>#N/A</v>
      </c>
      <c r="Y108" t="s">
        <v>913</v>
      </c>
      <c r="Z108" s="1">
        <v>0</v>
      </c>
      <c r="AE108" t="s">
        <v>921</v>
      </c>
      <c r="AX108" s="1" t="s">
        <v>488</v>
      </c>
      <c r="BG108" t="s">
        <v>518</v>
      </c>
      <c r="BH108">
        <v>700</v>
      </c>
      <c r="BP108" t="s">
        <v>478</v>
      </c>
      <c r="BQ108">
        <v>9.2</v>
      </c>
      <c r="BS108" s="5" t="s">
        <v>550</v>
      </c>
      <c r="BT108" s="5">
        <v>1056</v>
      </c>
      <c r="BV108" s="2" t="s">
        <v>502</v>
      </c>
    </row>
    <row r="109" spans="9:75">
      <c r="I109" t="s">
        <v>922</v>
      </c>
      <c r="K109" t="e">
        <v>#N/A</v>
      </c>
      <c r="Y109" t="s">
        <v>926</v>
      </c>
      <c r="Z109" s="1">
        <v>0</v>
      </c>
      <c r="AE109" t="s">
        <v>922</v>
      </c>
      <c r="AX109" s="1" t="s">
        <v>502</v>
      </c>
      <c r="BG109" t="s">
        <v>935</v>
      </c>
      <c r="BH109">
        <v>0</v>
      </c>
      <c r="BP109" t="s">
        <v>480</v>
      </c>
      <c r="BQ109">
        <v>15.5</v>
      </c>
      <c r="BS109" s="5" t="s">
        <v>552</v>
      </c>
      <c r="BT109" s="5">
        <v>1259.23</v>
      </c>
      <c r="BV109" s="2" t="s">
        <v>504</v>
      </c>
    </row>
    <row r="110" spans="9:75">
      <c r="I110" t="s">
        <v>488</v>
      </c>
      <c r="K110" t="e">
        <v>#N/A</v>
      </c>
      <c r="Y110" t="s">
        <v>916</v>
      </c>
      <c r="Z110" s="1">
        <v>0</v>
      </c>
      <c r="AE110" t="s">
        <v>488</v>
      </c>
      <c r="AX110" s="1" t="s">
        <v>927</v>
      </c>
      <c r="BG110" t="s">
        <v>936</v>
      </c>
      <c r="BH110">
        <v>3200</v>
      </c>
      <c r="BP110" t="s">
        <v>482</v>
      </c>
      <c r="BQ110">
        <v>9.2</v>
      </c>
      <c r="BS110" s="5" t="s">
        <v>554</v>
      </c>
      <c r="BT110" s="5">
        <v>0</v>
      </c>
      <c r="BV110" s="2" t="s">
        <v>506</v>
      </c>
    </row>
    <row r="111" spans="9:75">
      <c r="I111" t="s">
        <v>502</v>
      </c>
      <c r="K111" t="e">
        <v>#N/A</v>
      </c>
      <c r="Y111" t="s">
        <v>918</v>
      </c>
      <c r="AE111" t="s">
        <v>502</v>
      </c>
      <c r="AX111" s="1" t="s">
        <v>930</v>
      </c>
      <c r="BG111" t="s">
        <v>598</v>
      </c>
      <c r="BH111">
        <v>1600</v>
      </c>
      <c r="BP111" t="s">
        <v>912</v>
      </c>
      <c r="BQ111">
        <v>0</v>
      </c>
      <c r="BS111" s="5" t="s">
        <v>556</v>
      </c>
      <c r="BT111" s="5">
        <v>0</v>
      </c>
      <c r="BV111" s="2" t="s">
        <v>937</v>
      </c>
    </row>
    <row r="112" spans="9:75">
      <c r="I112" t="s">
        <v>927</v>
      </c>
      <c r="K112" t="e">
        <v>#N/A</v>
      </c>
      <c r="Y112" t="s">
        <v>919</v>
      </c>
      <c r="AE112" t="s">
        <v>927</v>
      </c>
      <c r="AX112" s="1" t="s">
        <v>500</v>
      </c>
      <c r="BG112" t="s">
        <v>938</v>
      </c>
      <c r="BH112">
        <v>800</v>
      </c>
      <c r="BP112" t="s">
        <v>939</v>
      </c>
      <c r="BQ112">
        <v>0</v>
      </c>
      <c r="BS112" s="5" t="s">
        <v>558</v>
      </c>
      <c r="BT112" s="5">
        <v>500.96</v>
      </c>
      <c r="BV112" s="2" t="s">
        <v>940</v>
      </c>
    </row>
    <row r="113" spans="9:75">
      <c r="I113" t="s">
        <v>930</v>
      </c>
      <c r="K113" t="e">
        <v>#N/A</v>
      </c>
      <c r="Y113" t="s">
        <v>490</v>
      </c>
      <c r="AE113" t="s">
        <v>930</v>
      </c>
      <c r="AX113" s="1" t="s">
        <v>506</v>
      </c>
      <c r="BG113" t="s">
        <v>941</v>
      </c>
      <c r="BH113">
        <v>640</v>
      </c>
      <c r="BP113" t="s">
        <v>913</v>
      </c>
      <c r="BQ113">
        <v>0</v>
      </c>
      <c r="BS113" s="5" t="s">
        <v>570</v>
      </c>
      <c r="BT113" s="5">
        <v>210.47</v>
      </c>
      <c r="BV113" s="2" t="s">
        <v>942</v>
      </c>
    </row>
    <row r="114" spans="9:75">
      <c r="I114" t="s">
        <v>500</v>
      </c>
      <c r="K114" t="e">
        <v>#N/A</v>
      </c>
      <c r="Y114" t="s">
        <v>921</v>
      </c>
      <c r="AE114" t="s">
        <v>500</v>
      </c>
      <c r="AX114" s="1" t="s">
        <v>933</v>
      </c>
      <c r="BG114" t="s">
        <v>943</v>
      </c>
      <c r="BH114">
        <v>640</v>
      </c>
      <c r="BP114" t="s">
        <v>917</v>
      </c>
      <c r="BQ114">
        <v>0</v>
      </c>
      <c r="BS114" s="5" t="s">
        <v>572</v>
      </c>
      <c r="BT114" s="5"/>
      <c r="BV114" s="2" t="s">
        <v>944</v>
      </c>
    </row>
    <row r="115" spans="9:75">
      <c r="I115" t="s">
        <v>506</v>
      </c>
      <c r="K115" t="e">
        <v>#N/A</v>
      </c>
      <c r="Y115" t="s">
        <v>922</v>
      </c>
      <c r="AE115" t="s">
        <v>506</v>
      </c>
      <c r="AX115" s="1" t="s">
        <v>518</v>
      </c>
      <c r="AY115" s="1">
        <v>700</v>
      </c>
      <c r="BG115" t="s">
        <v>945</v>
      </c>
      <c r="BH115">
        <v>240</v>
      </c>
      <c r="BP115" t="s">
        <v>916</v>
      </c>
      <c r="BQ115">
        <v>0</v>
      </c>
      <c r="BS115" s="5" t="s">
        <v>574</v>
      </c>
      <c r="BT115" s="5"/>
      <c r="BV115" s="2" t="s">
        <v>946</v>
      </c>
    </row>
    <row r="116" spans="9:75">
      <c r="I116" t="s">
        <v>933</v>
      </c>
      <c r="K116" t="e">
        <v>#N/A</v>
      </c>
      <c r="Y116" t="s">
        <v>488</v>
      </c>
      <c r="AE116" t="s">
        <v>933</v>
      </c>
      <c r="AX116" s="1" t="s">
        <v>935</v>
      </c>
      <c r="AY116" s="1">
        <v>0</v>
      </c>
      <c r="BG116" t="s">
        <v>947</v>
      </c>
      <c r="BH116">
        <v>240</v>
      </c>
      <c r="BP116" t="s">
        <v>918</v>
      </c>
      <c r="BS116" s="5" t="s">
        <v>561</v>
      </c>
      <c r="BT116" s="5">
        <v>0</v>
      </c>
      <c r="BV116" s="2" t="s">
        <v>948</v>
      </c>
    </row>
    <row r="117" spans="9:75">
      <c r="I117" t="s">
        <v>518</v>
      </c>
      <c r="J117">
        <v>210</v>
      </c>
      <c r="K117" t="s">
        <v>518</v>
      </c>
      <c r="Y117" t="s">
        <v>502</v>
      </c>
      <c r="AE117" t="s">
        <v>518</v>
      </c>
      <c r="AF117">
        <v>700</v>
      </c>
      <c r="AX117" s="1" t="s">
        <v>936</v>
      </c>
      <c r="AY117" s="1">
        <v>28200</v>
      </c>
      <c r="BG117" t="s">
        <v>949</v>
      </c>
      <c r="BH117">
        <v>1600</v>
      </c>
      <c r="BP117" t="s">
        <v>919</v>
      </c>
      <c r="BS117" s="5" t="s">
        <v>578</v>
      </c>
      <c r="BT117" s="5">
        <v>0</v>
      </c>
      <c r="BV117" s="2" t="s">
        <v>950</v>
      </c>
    </row>
    <row r="118" spans="9:75">
      <c r="I118" t="s">
        <v>935</v>
      </c>
      <c r="J118">
        <v>800</v>
      </c>
      <c r="K118" t="e">
        <v>#N/A</v>
      </c>
      <c r="Y118" t="s">
        <v>927</v>
      </c>
      <c r="AE118" t="s">
        <v>935</v>
      </c>
      <c r="AF118">
        <v>800</v>
      </c>
      <c r="AX118" s="1" t="s">
        <v>598</v>
      </c>
      <c r="AY118" s="1">
        <v>1600</v>
      </c>
      <c r="BG118" t="s">
        <v>951</v>
      </c>
      <c r="BH118">
        <v>0</v>
      </c>
      <c r="BP118" t="s">
        <v>490</v>
      </c>
      <c r="BS118" s="5" t="s">
        <v>579</v>
      </c>
      <c r="BT118" s="5">
        <v>40</v>
      </c>
      <c r="BV118" s="2" t="s">
        <v>952</v>
      </c>
    </row>
    <row r="119" spans="9:75">
      <c r="I119" t="s">
        <v>936</v>
      </c>
      <c r="J119">
        <v>800</v>
      </c>
      <c r="K119" t="e">
        <v>#N/A</v>
      </c>
      <c r="Y119" t="s">
        <v>930</v>
      </c>
      <c r="AE119" t="s">
        <v>936</v>
      </c>
      <c r="AF119">
        <v>800</v>
      </c>
      <c r="AX119" s="1" t="s">
        <v>938</v>
      </c>
      <c r="AY119" s="1">
        <v>800</v>
      </c>
      <c r="BG119" t="s">
        <v>953</v>
      </c>
      <c r="BH119">
        <v>1600</v>
      </c>
      <c r="BP119" t="s">
        <v>921</v>
      </c>
      <c r="BS119" s="5" t="s">
        <v>580</v>
      </c>
      <c r="BT119" s="5">
        <v>40</v>
      </c>
      <c r="BU119">
        <v>214.74</v>
      </c>
      <c r="BV119" s="2" t="s">
        <v>954</v>
      </c>
    </row>
    <row r="120" spans="9:75">
      <c r="I120" t="s">
        <v>949</v>
      </c>
      <c r="J120">
        <v>2400</v>
      </c>
      <c r="K120" t="e">
        <v>#N/A</v>
      </c>
      <c r="Y120" t="s">
        <v>500</v>
      </c>
      <c r="AE120" t="s">
        <v>949</v>
      </c>
      <c r="AF120">
        <v>2400</v>
      </c>
      <c r="AX120" s="1" t="s">
        <v>941</v>
      </c>
      <c r="AY120" s="1">
        <v>640</v>
      </c>
      <c r="BG120" t="s">
        <v>519</v>
      </c>
      <c r="BH120">
        <v>440</v>
      </c>
      <c r="BP120" t="s">
        <v>922</v>
      </c>
      <c r="BS120" s="5" t="s">
        <v>583</v>
      </c>
      <c r="BT120" s="5">
        <v>0</v>
      </c>
      <c r="BU120">
        <v>440</v>
      </c>
      <c r="BV120" s="2" t="s">
        <v>955</v>
      </c>
    </row>
    <row r="121" spans="9:75">
      <c r="I121" t="s">
        <v>951</v>
      </c>
      <c r="J121">
        <v>800</v>
      </c>
      <c r="K121" t="e">
        <v>#N/A</v>
      </c>
      <c r="Y121" t="s">
        <v>506</v>
      </c>
      <c r="AE121" t="s">
        <v>951</v>
      </c>
      <c r="AF121">
        <v>800</v>
      </c>
      <c r="AX121" s="1" t="s">
        <v>943</v>
      </c>
      <c r="AY121" s="1">
        <v>640</v>
      </c>
      <c r="BG121" t="s">
        <v>521</v>
      </c>
      <c r="BH121">
        <v>2558.12</v>
      </c>
      <c r="BP121" t="s">
        <v>488</v>
      </c>
      <c r="BS121" s="5"/>
      <c r="BT121" s="5"/>
      <c r="BU121">
        <v>649.36</v>
      </c>
      <c r="BV121" s="2" t="s">
        <v>518</v>
      </c>
      <c r="BW121" s="2">
        <v>215.17</v>
      </c>
    </row>
    <row r="122" spans="9:75">
      <c r="I122" t="s">
        <v>956</v>
      </c>
      <c r="J122">
        <v>0</v>
      </c>
      <c r="K122" t="e">
        <v>#N/A</v>
      </c>
      <c r="Y122" t="s">
        <v>933</v>
      </c>
      <c r="AE122" t="s">
        <v>956</v>
      </c>
      <c r="AF122">
        <v>0</v>
      </c>
      <c r="AX122" s="1" t="s">
        <v>945</v>
      </c>
      <c r="AY122" s="1">
        <v>240</v>
      </c>
      <c r="BG122" t="s">
        <v>524</v>
      </c>
      <c r="BH122">
        <v>1298.42</v>
      </c>
      <c r="BP122" t="s">
        <v>502</v>
      </c>
      <c r="BS122" s="5" t="s">
        <v>584</v>
      </c>
      <c r="BT122" s="5"/>
      <c r="BU122">
        <v>4231.6</v>
      </c>
      <c r="BV122" s="2" t="s">
        <v>519</v>
      </c>
      <c r="BW122" s="2">
        <v>440</v>
      </c>
    </row>
    <row r="123" spans="9:75">
      <c r="I123" t="s">
        <v>953</v>
      </c>
      <c r="J123">
        <v>800</v>
      </c>
      <c r="K123" t="e">
        <v>#N/A</v>
      </c>
      <c r="Y123" t="s">
        <v>518</v>
      </c>
      <c r="Z123" s="1">
        <v>700</v>
      </c>
      <c r="AE123" t="s">
        <v>953</v>
      </c>
      <c r="AF123">
        <v>800</v>
      </c>
      <c r="AX123" s="1" t="s">
        <v>947</v>
      </c>
      <c r="AY123" s="1">
        <v>240</v>
      </c>
      <c r="BG123" t="s">
        <v>526</v>
      </c>
      <c r="BH123">
        <v>2125.61</v>
      </c>
      <c r="BP123" t="s">
        <v>927</v>
      </c>
      <c r="BS123" s="5"/>
      <c r="BT123" s="5"/>
      <c r="BU123">
        <v>524.13</v>
      </c>
      <c r="BV123" s="2" t="s">
        <v>899</v>
      </c>
      <c r="BW123" s="2">
        <v>216.57</v>
      </c>
    </row>
    <row r="124" spans="9:75">
      <c r="I124" t="s">
        <v>943</v>
      </c>
      <c r="J124">
        <v>800</v>
      </c>
      <c r="K124" t="e">
        <v>#N/A</v>
      </c>
      <c r="Y124" t="s">
        <v>935</v>
      </c>
      <c r="Z124" s="1">
        <v>800</v>
      </c>
      <c r="AE124" t="s">
        <v>519</v>
      </c>
      <c r="AF124">
        <v>440</v>
      </c>
      <c r="AX124" s="1" t="s">
        <v>949</v>
      </c>
      <c r="AY124" s="1">
        <v>1600</v>
      </c>
      <c r="BG124" t="s">
        <v>529</v>
      </c>
      <c r="BH124">
        <v>282.7</v>
      </c>
      <c r="BP124" t="s">
        <v>930</v>
      </c>
      <c r="BS124" s="5"/>
      <c r="BT124" s="5"/>
      <c r="BU124">
        <v>542.53</v>
      </c>
      <c r="BV124" s="2" t="s">
        <v>901</v>
      </c>
      <c r="BW124" s="2">
        <v>12.6</v>
      </c>
    </row>
    <row r="125" spans="9:75">
      <c r="I125" t="s">
        <v>938</v>
      </c>
      <c r="J125">
        <v>800</v>
      </c>
      <c r="K125" t="e">
        <v>#N/A</v>
      </c>
      <c r="Y125" t="s">
        <v>936</v>
      </c>
      <c r="Z125" s="1">
        <v>800</v>
      </c>
      <c r="AE125" t="s">
        <v>521</v>
      </c>
      <c r="AF125">
        <v>1634.06</v>
      </c>
      <c r="AX125" s="1" t="s">
        <v>951</v>
      </c>
      <c r="AY125" s="1">
        <v>0</v>
      </c>
      <c r="BG125" t="s">
        <v>532</v>
      </c>
      <c r="BH125">
        <v>608.62</v>
      </c>
      <c r="BP125" t="s">
        <v>500</v>
      </c>
      <c r="BS125" s="5"/>
      <c r="BT125" s="5"/>
      <c r="BU125">
        <v>303.07</v>
      </c>
      <c r="BV125" s="2" t="s">
        <v>902</v>
      </c>
      <c r="BW125" s="2">
        <v>13.69</v>
      </c>
    </row>
    <row r="126" spans="9:75">
      <c r="I126" t="s">
        <v>519</v>
      </c>
      <c r="J126">
        <v>440</v>
      </c>
      <c r="K126" t="s">
        <v>519</v>
      </c>
      <c r="Y126" t="s">
        <v>949</v>
      </c>
      <c r="Z126" s="1">
        <v>2400</v>
      </c>
      <c r="AE126" t="s">
        <v>524</v>
      </c>
      <c r="AF126">
        <v>336.73</v>
      </c>
      <c r="AX126" s="1" t="s">
        <v>953</v>
      </c>
      <c r="AY126" s="1">
        <v>7600</v>
      </c>
      <c r="BG126" t="s">
        <v>534</v>
      </c>
      <c r="BH126">
        <v>0</v>
      </c>
      <c r="BP126" t="s">
        <v>506</v>
      </c>
      <c r="BS126" s="5"/>
      <c r="BT126" s="5"/>
      <c r="BU126">
        <v>496.17</v>
      </c>
      <c r="BV126" s="2" t="s">
        <v>903</v>
      </c>
      <c r="BW126" s="2">
        <v>284.04</v>
      </c>
    </row>
    <row r="127" spans="9:75">
      <c r="I127" t="s">
        <v>521</v>
      </c>
      <c r="J127">
        <v>1556.88</v>
      </c>
      <c r="K127" t="s">
        <v>521</v>
      </c>
      <c r="Y127" t="s">
        <v>951</v>
      </c>
      <c r="Z127" s="1">
        <v>800</v>
      </c>
      <c r="AE127" t="s">
        <v>526</v>
      </c>
      <c r="AF127">
        <v>1697.75</v>
      </c>
      <c r="AX127" s="1" t="s">
        <v>519</v>
      </c>
      <c r="AY127" s="1">
        <v>460</v>
      </c>
      <c r="BG127" t="s">
        <v>537</v>
      </c>
      <c r="BH127">
        <v>112.5</v>
      </c>
      <c r="BP127" t="s">
        <v>933</v>
      </c>
      <c r="BS127" s="5"/>
      <c r="BT127" s="5"/>
      <c r="BU127">
        <v>150</v>
      </c>
      <c r="BV127" s="2" t="s">
        <v>905</v>
      </c>
      <c r="BW127" s="2">
        <v>74.16</v>
      </c>
    </row>
    <row r="128" spans="9:75">
      <c r="I128" t="s">
        <v>524</v>
      </c>
      <c r="J128">
        <v>368.6</v>
      </c>
      <c r="K128" t="s">
        <v>524</v>
      </c>
      <c r="Y128" t="s">
        <v>956</v>
      </c>
      <c r="Z128" s="1">
        <v>0</v>
      </c>
      <c r="AE128" t="s">
        <v>529</v>
      </c>
      <c r="AF128">
        <v>0</v>
      </c>
      <c r="AX128" s="1" t="s">
        <v>521</v>
      </c>
      <c r="AY128" s="1">
        <v>1389.14</v>
      </c>
      <c r="BG128" t="s">
        <v>539</v>
      </c>
      <c r="BH128">
        <v>66</v>
      </c>
      <c r="BP128" t="s">
        <v>518</v>
      </c>
      <c r="BQ128">
        <v>700</v>
      </c>
      <c r="BS128" s="5"/>
      <c r="BT128" s="5"/>
      <c r="BU128">
        <v>70.35</v>
      </c>
      <c r="BV128" s="2" t="s">
        <v>906</v>
      </c>
      <c r="BW128" s="2">
        <v>7.2</v>
      </c>
    </row>
    <row r="129" spans="9:75">
      <c r="I129" t="s">
        <v>526</v>
      </c>
      <c r="J129">
        <v>1968.66</v>
      </c>
      <c r="K129" t="s">
        <v>526</v>
      </c>
      <c r="Y129" t="s">
        <v>953</v>
      </c>
      <c r="Z129" s="1">
        <v>800</v>
      </c>
      <c r="AE129" t="s">
        <v>532</v>
      </c>
      <c r="AF129">
        <v>0</v>
      </c>
      <c r="AX129" s="1" t="s">
        <v>524</v>
      </c>
      <c r="AY129" s="1">
        <v>1336.47</v>
      </c>
      <c r="BG129" t="s">
        <v>541</v>
      </c>
      <c r="BH129">
        <v>151.35</v>
      </c>
      <c r="BP129" t="s">
        <v>935</v>
      </c>
      <c r="BQ129">
        <v>0</v>
      </c>
      <c r="BS129" s="5"/>
      <c r="BT129" s="5"/>
      <c r="BU129">
        <v>504.18</v>
      </c>
      <c r="BV129" s="2" t="s">
        <v>907</v>
      </c>
      <c r="BW129" s="2">
        <v>32.7</v>
      </c>
    </row>
    <row r="130" spans="9:75">
      <c r="I130" t="s">
        <v>529</v>
      </c>
      <c r="J130">
        <v>88.51</v>
      </c>
      <c r="K130" t="s">
        <v>529</v>
      </c>
      <c r="Y130" t="s">
        <v>519</v>
      </c>
      <c r="Z130" s="1">
        <v>440</v>
      </c>
      <c r="AE130" t="s">
        <v>534</v>
      </c>
      <c r="AF130">
        <v>0</v>
      </c>
      <c r="AX130" s="1" t="s">
        <v>526</v>
      </c>
      <c r="AY130" s="1">
        <v>1499.35</v>
      </c>
      <c r="BG130" t="s">
        <v>543</v>
      </c>
      <c r="BH130">
        <v>0</v>
      </c>
      <c r="BP130" t="s">
        <v>936</v>
      </c>
      <c r="BQ130">
        <v>3200</v>
      </c>
      <c r="BS130" s="5"/>
      <c r="BT130" s="5"/>
      <c r="BU130">
        <v>523.14</v>
      </c>
      <c r="BV130" s="2" t="s">
        <v>863</v>
      </c>
      <c r="BW130" s="2">
        <v>746.72</v>
      </c>
    </row>
    <row r="131" spans="9:75">
      <c r="I131" t="s">
        <v>532</v>
      </c>
      <c r="J131">
        <v>225.53</v>
      </c>
      <c r="K131" t="s">
        <v>532</v>
      </c>
      <c r="Y131" t="s">
        <v>521</v>
      </c>
      <c r="Z131" s="1">
        <v>1446.59</v>
      </c>
      <c r="AE131" t="s">
        <v>537</v>
      </c>
      <c r="AF131">
        <v>112.5</v>
      </c>
      <c r="AX131" s="1" t="s">
        <v>529</v>
      </c>
      <c r="AY131" s="1">
        <v>82.92</v>
      </c>
      <c r="BG131" t="s">
        <v>546</v>
      </c>
      <c r="BH131">
        <v>136.85</v>
      </c>
      <c r="BP131" t="s">
        <v>598</v>
      </c>
      <c r="BQ131">
        <v>1600</v>
      </c>
      <c r="BS131" s="5"/>
      <c r="BT131" s="5"/>
      <c r="BU131">
        <v>70.34</v>
      </c>
      <c r="BV131" s="2" t="s">
        <v>521</v>
      </c>
      <c r="BW131" s="2">
        <v>2302.55</v>
      </c>
    </row>
    <row r="132" spans="9:75">
      <c r="I132" t="s">
        <v>534</v>
      </c>
      <c r="J132">
        <v>4.93</v>
      </c>
      <c r="K132" t="s">
        <v>534</v>
      </c>
      <c r="Y132" t="s">
        <v>524</v>
      </c>
      <c r="Z132" s="1">
        <v>507.2</v>
      </c>
      <c r="AE132" t="s">
        <v>539</v>
      </c>
      <c r="AF132">
        <v>75</v>
      </c>
      <c r="AX132" s="1" t="s">
        <v>532</v>
      </c>
      <c r="AY132" s="1">
        <v>672.76</v>
      </c>
      <c r="BG132" t="s">
        <v>548</v>
      </c>
      <c r="BH132">
        <v>117.26</v>
      </c>
      <c r="BP132" t="s">
        <v>938</v>
      </c>
      <c r="BQ132">
        <v>800</v>
      </c>
      <c r="BS132" s="5"/>
      <c r="BT132" s="5"/>
      <c r="BU132">
        <v>32.17</v>
      </c>
      <c r="BV132" s="2" t="s">
        <v>524</v>
      </c>
      <c r="BW132" s="2">
        <v>2480.07</v>
      </c>
    </row>
    <row r="133" spans="9:75">
      <c r="I133" t="s">
        <v>537</v>
      </c>
      <c r="J133">
        <v>112.5</v>
      </c>
      <c r="K133" t="s">
        <v>537</v>
      </c>
      <c r="Y133" t="s">
        <v>526</v>
      </c>
      <c r="Z133" s="1">
        <v>1579.53</v>
      </c>
      <c r="AE133" t="s">
        <v>541</v>
      </c>
      <c r="AF133">
        <v>65.17</v>
      </c>
      <c r="AX133" s="1" t="s">
        <v>534</v>
      </c>
      <c r="AY133" s="1">
        <v>7.15</v>
      </c>
      <c r="BG133" t="s">
        <v>550</v>
      </c>
      <c r="BH133">
        <v>1638.62</v>
      </c>
      <c r="BP133" t="s">
        <v>941</v>
      </c>
      <c r="BQ133">
        <v>640</v>
      </c>
      <c r="BS133" s="5"/>
      <c r="BT133" s="5"/>
      <c r="BU133">
        <v>1630.37</v>
      </c>
      <c r="BV133" s="2" t="s">
        <v>526</v>
      </c>
      <c r="BW133" s="2">
        <v>1521.21</v>
      </c>
    </row>
    <row r="134" spans="9:75">
      <c r="I134" t="s">
        <v>539</v>
      </c>
      <c r="J134">
        <v>66</v>
      </c>
      <c r="K134" t="s">
        <v>539</v>
      </c>
      <c r="Y134" t="s">
        <v>529</v>
      </c>
      <c r="Z134" s="1">
        <v>1781.66</v>
      </c>
      <c r="AE134" t="s">
        <v>543</v>
      </c>
      <c r="AF134">
        <v>0</v>
      </c>
      <c r="AX134" s="1" t="s">
        <v>537</v>
      </c>
      <c r="AY134" s="1">
        <v>112.5</v>
      </c>
      <c r="BG134" t="s">
        <v>552</v>
      </c>
      <c r="BH134">
        <v>381.53</v>
      </c>
      <c r="BP134" t="s">
        <v>943</v>
      </c>
      <c r="BQ134">
        <v>640</v>
      </c>
      <c r="BS134" s="5"/>
      <c r="BT134" s="5"/>
      <c r="BU134">
        <v>1404.56</v>
      </c>
      <c r="BV134" s="2" t="s">
        <v>529</v>
      </c>
      <c r="BW134" s="2">
        <v>381.48</v>
      </c>
    </row>
    <row r="135" spans="9:75">
      <c r="I135" t="s">
        <v>541</v>
      </c>
      <c r="J135">
        <v>103.76</v>
      </c>
      <c r="K135" t="s">
        <v>541</v>
      </c>
      <c r="Y135" t="s">
        <v>532</v>
      </c>
      <c r="Z135" s="1">
        <v>164.88</v>
      </c>
      <c r="AE135" t="s">
        <v>546</v>
      </c>
      <c r="AF135">
        <v>30.23</v>
      </c>
      <c r="AX135" s="1" t="s">
        <v>539</v>
      </c>
      <c r="AY135" s="1">
        <v>75</v>
      </c>
      <c r="BG135" t="s">
        <v>554</v>
      </c>
      <c r="BH135">
        <v>0</v>
      </c>
      <c r="BP135" t="s">
        <v>945</v>
      </c>
      <c r="BQ135">
        <v>240</v>
      </c>
      <c r="BS135" s="5"/>
      <c r="BT135" s="5"/>
      <c r="BU135">
        <v>627.59</v>
      </c>
      <c r="BV135" s="2" t="s">
        <v>532</v>
      </c>
      <c r="BW135" s="2">
        <v>115.1</v>
      </c>
    </row>
    <row r="136" spans="9:75">
      <c r="I136" t="s">
        <v>543</v>
      </c>
      <c r="J136">
        <v>0</v>
      </c>
      <c r="K136" t="s">
        <v>543</v>
      </c>
      <c r="Y136" t="s">
        <v>534</v>
      </c>
      <c r="Z136" s="1">
        <v>1336.77</v>
      </c>
      <c r="AE136" t="s">
        <v>548</v>
      </c>
      <c r="AF136">
        <v>42.37</v>
      </c>
      <c r="AX136" s="1" t="s">
        <v>541</v>
      </c>
      <c r="AY136" s="1">
        <v>65.17</v>
      </c>
      <c r="BG136" t="s">
        <v>556</v>
      </c>
      <c r="BH136">
        <v>0</v>
      </c>
      <c r="BP136" t="s">
        <v>947</v>
      </c>
      <c r="BQ136">
        <v>240</v>
      </c>
      <c r="BS136" s="5"/>
      <c r="BT136" s="5"/>
      <c r="BU136">
        <v>0</v>
      </c>
      <c r="BV136" s="2" t="s">
        <v>534</v>
      </c>
      <c r="BW136" s="2">
        <v>171.57</v>
      </c>
    </row>
    <row r="137" spans="9:75">
      <c r="I137" t="s">
        <v>546</v>
      </c>
      <c r="J137">
        <v>42.46</v>
      </c>
      <c r="K137" t="s">
        <v>546</v>
      </c>
      <c r="Y137" t="s">
        <v>537</v>
      </c>
      <c r="Z137" s="1">
        <v>112.5</v>
      </c>
      <c r="AE137" t="s">
        <v>550</v>
      </c>
      <c r="AF137">
        <v>1104</v>
      </c>
      <c r="AX137" s="1" t="s">
        <v>543</v>
      </c>
      <c r="AY137" s="1">
        <v>0</v>
      </c>
      <c r="BG137" t="s">
        <v>558</v>
      </c>
      <c r="BH137">
        <v>390.24</v>
      </c>
      <c r="BP137" t="s">
        <v>949</v>
      </c>
      <c r="BQ137">
        <v>1600</v>
      </c>
      <c r="BS137" s="5"/>
      <c r="BT137" s="5"/>
      <c r="BU137">
        <v>942.66</v>
      </c>
      <c r="BV137" s="2" t="s">
        <v>537</v>
      </c>
      <c r="BW137" s="2">
        <v>150</v>
      </c>
    </row>
    <row r="138" spans="9:75">
      <c r="I138" t="s">
        <v>548</v>
      </c>
      <c r="J138">
        <v>83.86</v>
      </c>
      <c r="K138" t="s">
        <v>548</v>
      </c>
      <c r="Y138" t="s">
        <v>539</v>
      </c>
      <c r="Z138" s="1">
        <v>75</v>
      </c>
      <c r="AE138" t="s">
        <v>552</v>
      </c>
      <c r="AF138">
        <v>129</v>
      </c>
      <c r="AX138" s="1" t="s">
        <v>546</v>
      </c>
      <c r="AY138" s="1">
        <v>29.52</v>
      </c>
      <c r="BG138" t="s">
        <v>570</v>
      </c>
      <c r="BH138">
        <v>83.99</v>
      </c>
      <c r="BP138" t="s">
        <v>951</v>
      </c>
      <c r="BQ138">
        <v>0</v>
      </c>
      <c r="BS138" s="5"/>
      <c r="BT138" s="5"/>
      <c r="BU138">
        <v>540.9</v>
      </c>
      <c r="BV138" s="2" t="s">
        <v>539</v>
      </c>
      <c r="BW138" s="2">
        <v>70.67</v>
      </c>
    </row>
    <row r="139" spans="9:75">
      <c r="I139" t="s">
        <v>550</v>
      </c>
      <c r="J139">
        <v>79.36</v>
      </c>
      <c r="K139" t="s">
        <v>550</v>
      </c>
      <c r="Y139" t="s">
        <v>541</v>
      </c>
      <c r="Z139" s="1">
        <v>65.18</v>
      </c>
      <c r="AE139" t="s">
        <v>554</v>
      </c>
      <c r="AF139">
        <v>0</v>
      </c>
      <c r="AX139" s="1" t="s">
        <v>548</v>
      </c>
      <c r="AY139" s="1">
        <v>58.48</v>
      </c>
      <c r="BG139" t="s">
        <v>572</v>
      </c>
      <c r="BP139" t="s">
        <v>953</v>
      </c>
      <c r="BQ139">
        <v>1600</v>
      </c>
      <c r="BS139" s="5"/>
      <c r="BT139" s="5"/>
      <c r="BV139" s="2" t="s">
        <v>541</v>
      </c>
      <c r="BW139" s="2">
        <v>210.85</v>
      </c>
    </row>
    <row r="140" spans="9:75">
      <c r="I140" t="s">
        <v>552</v>
      </c>
      <c r="J140">
        <v>136.11</v>
      </c>
      <c r="K140" t="s">
        <v>552</v>
      </c>
      <c r="Y140" t="s">
        <v>543</v>
      </c>
      <c r="Z140" s="1">
        <v>0</v>
      </c>
      <c r="AE140" t="s">
        <v>556</v>
      </c>
      <c r="AF140">
        <v>0</v>
      </c>
      <c r="AX140" s="1" t="s">
        <v>550</v>
      </c>
      <c r="AY140" s="1">
        <v>1104</v>
      </c>
      <c r="BG140" t="s">
        <v>574</v>
      </c>
      <c r="BP140" t="s">
        <v>519</v>
      </c>
      <c r="BQ140">
        <v>440</v>
      </c>
      <c r="BS140" s="5"/>
      <c r="BT140" s="5"/>
      <c r="BV140" s="2" t="s">
        <v>543</v>
      </c>
      <c r="BW140" s="2">
        <v>249.93</v>
      </c>
    </row>
    <row r="141" spans="9:75">
      <c r="I141" t="s">
        <v>554</v>
      </c>
      <c r="J141">
        <v>0</v>
      </c>
      <c r="K141" t="s">
        <v>554</v>
      </c>
      <c r="Y141" t="s">
        <v>546</v>
      </c>
      <c r="Z141" s="1">
        <v>10.92</v>
      </c>
      <c r="AE141" t="s">
        <v>558</v>
      </c>
      <c r="AF141">
        <v>1002.74</v>
      </c>
      <c r="AX141" s="1" t="s">
        <v>552</v>
      </c>
      <c r="AY141" s="1">
        <v>130.08</v>
      </c>
      <c r="BG141" t="s">
        <v>561</v>
      </c>
      <c r="BH141">
        <v>0</v>
      </c>
      <c r="BP141" t="s">
        <v>521</v>
      </c>
      <c r="BQ141">
        <v>2878.24</v>
      </c>
      <c r="BS141" s="5"/>
      <c r="BT141" s="5"/>
      <c r="BU141">
        <v>0</v>
      </c>
      <c r="BV141" s="2" t="s">
        <v>546</v>
      </c>
      <c r="BW141" s="2">
        <v>102.73</v>
      </c>
    </row>
    <row r="142" spans="9:75">
      <c r="I142" t="s">
        <v>556</v>
      </c>
      <c r="J142">
        <v>0</v>
      </c>
      <c r="K142" t="s">
        <v>556</v>
      </c>
      <c r="Y142" t="s">
        <v>548</v>
      </c>
      <c r="Z142" s="1">
        <v>8.71</v>
      </c>
      <c r="AE142" t="s">
        <v>570</v>
      </c>
      <c r="AF142">
        <v>93.23</v>
      </c>
      <c r="AX142" s="1" t="s">
        <v>554</v>
      </c>
      <c r="AY142" s="1">
        <v>0</v>
      </c>
      <c r="BG142" t="s">
        <v>957</v>
      </c>
      <c r="BH142">
        <v>0</v>
      </c>
      <c r="BP142" t="s">
        <v>524</v>
      </c>
      <c r="BQ142">
        <v>1660.21</v>
      </c>
      <c r="BS142" s="5"/>
      <c r="BT142" s="5"/>
      <c r="BV142" s="2" t="s">
        <v>548</v>
      </c>
      <c r="BW142" s="2">
        <v>81.32</v>
      </c>
    </row>
    <row r="143" spans="9:75">
      <c r="I143" t="s">
        <v>558</v>
      </c>
      <c r="J143">
        <v>593.82</v>
      </c>
      <c r="K143" t="s">
        <v>558</v>
      </c>
      <c r="Y143" t="s">
        <v>550</v>
      </c>
      <c r="Z143" s="1">
        <v>1104</v>
      </c>
      <c r="AE143" t="s">
        <v>572</v>
      </c>
      <c r="AX143" s="1" t="s">
        <v>556</v>
      </c>
      <c r="AY143" s="1">
        <v>0</v>
      </c>
      <c r="BG143" t="s">
        <v>578</v>
      </c>
      <c r="BP143" t="s">
        <v>526</v>
      </c>
      <c r="BQ143">
        <v>2777.9</v>
      </c>
      <c r="BS143" s="5"/>
      <c r="BT143" s="5"/>
      <c r="BU143">
        <v>0</v>
      </c>
      <c r="BV143" s="2" t="s">
        <v>550</v>
      </c>
      <c r="BW143" s="2">
        <v>1299.69</v>
      </c>
    </row>
    <row r="144" spans="9:75">
      <c r="I144" t="s">
        <v>570</v>
      </c>
      <c r="J144">
        <v>84.23</v>
      </c>
      <c r="K144" t="s">
        <v>570</v>
      </c>
      <c r="Y144" t="s">
        <v>552</v>
      </c>
      <c r="Z144" s="1">
        <v>130.4</v>
      </c>
      <c r="AE144" t="s">
        <v>574</v>
      </c>
      <c r="AX144" s="1" t="s">
        <v>558</v>
      </c>
      <c r="AY144" s="1">
        <v>490.68</v>
      </c>
      <c r="BG144" t="s">
        <v>579</v>
      </c>
      <c r="BH144">
        <v>40</v>
      </c>
      <c r="BP144" t="s">
        <v>529</v>
      </c>
      <c r="BQ144">
        <v>1998.89</v>
      </c>
      <c r="BS144" s="5"/>
      <c r="BT144" s="5"/>
      <c r="BU144">
        <v>40</v>
      </c>
      <c r="BV144" s="2" t="s">
        <v>552</v>
      </c>
      <c r="BW144" s="2">
        <v>1444.4</v>
      </c>
    </row>
    <row r="145" spans="9:75">
      <c r="I145" t="s">
        <v>572</v>
      </c>
      <c r="K145" t="s">
        <v>572</v>
      </c>
      <c r="Y145" t="s">
        <v>554</v>
      </c>
      <c r="Z145" s="1">
        <v>1568.03</v>
      </c>
      <c r="AE145" t="s">
        <v>561</v>
      </c>
      <c r="AF145">
        <v>0</v>
      </c>
      <c r="AX145" s="1" t="s">
        <v>570</v>
      </c>
      <c r="AY145" s="1">
        <v>87.51</v>
      </c>
      <c r="BG145" t="s">
        <v>580</v>
      </c>
      <c r="BH145">
        <v>40</v>
      </c>
      <c r="BP145" t="s">
        <v>532</v>
      </c>
      <c r="BQ145">
        <v>1205.28</v>
      </c>
      <c r="BS145" s="5"/>
      <c r="BT145" s="5"/>
      <c r="BU145">
        <v>40</v>
      </c>
      <c r="BV145" s="2" t="s">
        <v>554</v>
      </c>
      <c r="BW145" s="2">
        <v>132.38</v>
      </c>
    </row>
    <row r="146" spans="9:75">
      <c r="I146" t="s">
        <v>574</v>
      </c>
      <c r="K146" t="s">
        <v>574</v>
      </c>
      <c r="Y146" t="s">
        <v>556</v>
      </c>
      <c r="Z146" s="1">
        <v>0</v>
      </c>
      <c r="AE146" t="s">
        <v>958</v>
      </c>
      <c r="AF146">
        <v>0</v>
      </c>
      <c r="AX146" s="1" t="s">
        <v>572</v>
      </c>
      <c r="BG146" t="s">
        <v>583</v>
      </c>
      <c r="BH146">
        <v>0</v>
      </c>
      <c r="BP146" t="s">
        <v>534</v>
      </c>
      <c r="BQ146">
        <v>2052.35</v>
      </c>
      <c r="BS146" s="5"/>
      <c r="BT146" s="5"/>
      <c r="BU146">
        <v>0</v>
      </c>
      <c r="BV146" s="2" t="s">
        <v>556</v>
      </c>
      <c r="BW146" s="2">
        <v>0</v>
      </c>
    </row>
    <row r="147" spans="9:75">
      <c r="I147" t="s">
        <v>561</v>
      </c>
      <c r="J147">
        <v>0</v>
      </c>
      <c r="K147" t="s">
        <v>561</v>
      </c>
      <c r="Y147" t="s">
        <v>558</v>
      </c>
      <c r="Z147" s="1">
        <v>323.62</v>
      </c>
      <c r="AE147" t="s">
        <v>578</v>
      </c>
      <c r="AX147" s="1" t="s">
        <v>574</v>
      </c>
      <c r="BP147" t="s">
        <v>537</v>
      </c>
      <c r="BQ147">
        <v>150</v>
      </c>
      <c r="BS147" s="5"/>
      <c r="BT147" s="5"/>
      <c r="BV147" s="2" t="s">
        <v>558</v>
      </c>
      <c r="BW147" s="2">
        <v>1520.69</v>
      </c>
    </row>
    <row r="148" spans="9:75">
      <c r="I148" t="s">
        <v>959</v>
      </c>
      <c r="J148">
        <v>0</v>
      </c>
      <c r="K148" t="s">
        <v>959</v>
      </c>
      <c r="Y148" t="s">
        <v>570</v>
      </c>
      <c r="Z148" s="1">
        <v>93.23</v>
      </c>
      <c r="AE148" t="s">
        <v>579</v>
      </c>
      <c r="AF148">
        <v>40</v>
      </c>
      <c r="AX148" s="1" t="s">
        <v>561</v>
      </c>
      <c r="AY148" s="1">
        <v>0</v>
      </c>
      <c r="BP148" t="s">
        <v>539</v>
      </c>
      <c r="BQ148">
        <v>66</v>
      </c>
      <c r="BS148" s="5"/>
      <c r="BT148" s="5"/>
      <c r="BU148">
        <v>51080.09</v>
      </c>
      <c r="BV148" s="2" t="s">
        <v>751</v>
      </c>
      <c r="BW148" s="2">
        <v>0</v>
      </c>
    </row>
    <row r="149" spans="9:75">
      <c r="I149" t="s">
        <v>958</v>
      </c>
      <c r="J149">
        <v>0</v>
      </c>
      <c r="K149" t="s">
        <v>958</v>
      </c>
      <c r="Y149" t="s">
        <v>572</v>
      </c>
      <c r="AE149" t="s">
        <v>580</v>
      </c>
      <c r="AF149">
        <v>40</v>
      </c>
      <c r="AX149" s="1" t="s">
        <v>958</v>
      </c>
      <c r="AY149" s="1">
        <v>0</v>
      </c>
      <c r="BP149" t="s">
        <v>541</v>
      </c>
      <c r="BQ149">
        <v>56.17</v>
      </c>
      <c r="BS149" s="5"/>
      <c r="BT149" s="5"/>
      <c r="BV149" s="2" t="s">
        <v>570</v>
      </c>
      <c r="BW149" s="2">
        <v>591.69</v>
      </c>
    </row>
    <row r="150" spans="9:75">
      <c r="I150" t="s">
        <v>578</v>
      </c>
      <c r="K150" t="s">
        <v>578</v>
      </c>
      <c r="Y150" t="s">
        <v>574</v>
      </c>
      <c r="AE150" t="s">
        <v>583</v>
      </c>
      <c r="AF150">
        <v>0</v>
      </c>
      <c r="AX150" s="1" t="s">
        <v>578</v>
      </c>
      <c r="BP150" t="s">
        <v>543</v>
      </c>
      <c r="BQ150">
        <v>165.11</v>
      </c>
      <c r="BS150" s="5"/>
      <c r="BT150" s="5"/>
      <c r="BU150">
        <v>51080.09</v>
      </c>
      <c r="BV150" s="2" t="s">
        <v>572</v>
      </c>
    </row>
    <row r="151" spans="9:75">
      <c r="I151" t="s">
        <v>579</v>
      </c>
      <c r="J151">
        <v>40</v>
      </c>
      <c r="K151" t="s">
        <v>579</v>
      </c>
      <c r="Y151" t="s">
        <v>561</v>
      </c>
      <c r="Z151" s="1">
        <v>0</v>
      </c>
      <c r="AX151" s="1" t="s">
        <v>579</v>
      </c>
      <c r="AY151" s="1">
        <v>40</v>
      </c>
      <c r="BP151" t="s">
        <v>546</v>
      </c>
      <c r="BQ151">
        <v>20.99</v>
      </c>
      <c r="BS151" s="5"/>
      <c r="BT151" s="5"/>
      <c r="BV151" s="2" t="s">
        <v>574</v>
      </c>
    </row>
    <row r="152" spans="9:75">
      <c r="I152" t="s">
        <v>580</v>
      </c>
      <c r="J152">
        <v>40</v>
      </c>
      <c r="K152" t="s">
        <v>580</v>
      </c>
      <c r="Y152" t="s">
        <v>958</v>
      </c>
      <c r="Z152" s="1">
        <v>0</v>
      </c>
      <c r="AE152" t="s">
        <v>584</v>
      </c>
      <c r="AF152">
        <v>47129.93</v>
      </c>
      <c r="AX152" s="1" t="s">
        <v>580</v>
      </c>
      <c r="AY152" s="1">
        <v>40</v>
      </c>
      <c r="BP152" t="s">
        <v>548</v>
      </c>
      <c r="BQ152">
        <v>33.13</v>
      </c>
      <c r="BS152" s="5"/>
      <c r="BT152" s="5"/>
      <c r="BU152">
        <v>0</v>
      </c>
      <c r="BV152" s="2" t="s">
        <v>561</v>
      </c>
      <c r="BW152" s="2">
        <v>0</v>
      </c>
    </row>
    <row r="153" spans="9:75">
      <c r="I153" t="s">
        <v>583</v>
      </c>
      <c r="J153">
        <v>0</v>
      </c>
      <c r="K153" t="s">
        <v>583</v>
      </c>
      <c r="Y153" t="s">
        <v>578</v>
      </c>
      <c r="AX153" s="1" t="s">
        <v>583</v>
      </c>
      <c r="AY153" s="1">
        <v>0</v>
      </c>
      <c r="BP153" t="s">
        <v>550</v>
      </c>
      <c r="BQ153">
        <v>1056</v>
      </c>
      <c r="BS153" s="5"/>
      <c r="BT153" s="5"/>
      <c r="BV153" s="2" t="s">
        <v>960</v>
      </c>
    </row>
    <row r="154" spans="9:75">
      <c r="Y154" t="s">
        <v>579</v>
      </c>
      <c r="Z154" s="1">
        <v>40</v>
      </c>
      <c r="AF154">
        <v>47129.93</v>
      </c>
      <c r="BP154" t="s">
        <v>552</v>
      </c>
      <c r="BQ154">
        <v>433.85</v>
      </c>
      <c r="BS154" s="5"/>
      <c r="BT154" s="5"/>
      <c r="BV154" s="2" t="s">
        <v>578</v>
      </c>
      <c r="BW154" s="2">
        <v>0</v>
      </c>
    </row>
    <row r="155" spans="9:75">
      <c r="I155" t="s">
        <v>584</v>
      </c>
      <c r="J155">
        <v>54532.29</v>
      </c>
      <c r="Y155" t="s">
        <v>580</v>
      </c>
      <c r="Z155" s="1">
        <v>40</v>
      </c>
      <c r="AX155" s="1" t="s">
        <v>584</v>
      </c>
      <c r="AY155" s="1">
        <v>83618.26</v>
      </c>
      <c r="BP155" t="s">
        <v>554</v>
      </c>
      <c r="BQ155">
        <v>588.9</v>
      </c>
      <c r="BS155" s="5"/>
      <c r="BT155" s="5"/>
      <c r="BV155" s="2" t="s">
        <v>579</v>
      </c>
      <c r="BW155" s="2">
        <v>40</v>
      </c>
    </row>
    <row r="156" spans="9:75">
      <c r="Y156" t="s">
        <v>583</v>
      </c>
      <c r="Z156" s="1">
        <v>0</v>
      </c>
      <c r="AF156">
        <v>0</v>
      </c>
      <c r="BP156" t="s">
        <v>556</v>
      </c>
      <c r="BQ156">
        <v>0</v>
      </c>
      <c r="BS156" s="5"/>
      <c r="BT156" s="5"/>
      <c r="BV156" s="2" t="s">
        <v>580</v>
      </c>
      <c r="BW156" s="2">
        <v>40</v>
      </c>
    </row>
    <row r="157" spans="9:75">
      <c r="J157">
        <v>54532.29</v>
      </c>
      <c r="AY157" s="1">
        <v>83618.26</v>
      </c>
      <c r="BP157" t="s">
        <v>558</v>
      </c>
      <c r="BQ157">
        <v>428.32</v>
      </c>
      <c r="BS157" s="5"/>
      <c r="BT157" s="5"/>
      <c r="BV157" s="2" t="s">
        <v>583</v>
      </c>
      <c r="BW157" s="2">
        <v>0</v>
      </c>
    </row>
    <row r="158" spans="9:75">
      <c r="Y158" t="s">
        <v>584</v>
      </c>
      <c r="Z158" s="1">
        <v>56013.61</v>
      </c>
      <c r="BP158" t="s">
        <v>570</v>
      </c>
      <c r="BQ158">
        <v>92.99</v>
      </c>
      <c r="BS158" s="5"/>
      <c r="BT158" s="5"/>
    </row>
    <row r="159" spans="9:75">
      <c r="J159">
        <v>0</v>
      </c>
      <c r="AY159" s="1">
        <v>0</v>
      </c>
      <c r="BP159" t="s">
        <v>572</v>
      </c>
      <c r="BS159" s="5"/>
      <c r="BT159" s="5"/>
      <c r="BV159" s="2" t="s">
        <v>584</v>
      </c>
      <c r="BW159" s="2">
        <v>47848.42</v>
      </c>
    </row>
    <row r="160" spans="9:75">
      <c r="Z160" s="1">
        <v>56013.61</v>
      </c>
      <c r="BP160" t="s">
        <v>574</v>
      </c>
      <c r="BS160" s="5"/>
      <c r="BT160" s="5"/>
    </row>
    <row r="161" spans="26:75">
      <c r="BP161" t="s">
        <v>561</v>
      </c>
      <c r="BQ161">
        <v>0</v>
      </c>
      <c r="BS161" s="5"/>
      <c r="BT161" s="5"/>
      <c r="BW161" s="2">
        <v>47848.42</v>
      </c>
    </row>
    <row r="162" spans="26:75">
      <c r="Z162" s="1">
        <v>0</v>
      </c>
      <c r="BP162" t="s">
        <v>957</v>
      </c>
      <c r="BQ162">
        <v>0</v>
      </c>
      <c r="BS162" s="5"/>
      <c r="BT162" s="5"/>
    </row>
    <row r="163" spans="26:75">
      <c r="BP163" t="s">
        <v>578</v>
      </c>
      <c r="BS163" s="5"/>
      <c r="BT163" s="5"/>
      <c r="BW163" s="2">
        <v>0</v>
      </c>
    </row>
    <row r="164" spans="26:75">
      <c r="BP164" t="s">
        <v>579</v>
      </c>
      <c r="BQ164">
        <v>40</v>
      </c>
      <c r="BS164" s="5"/>
      <c r="BT164" s="5"/>
    </row>
    <row r="165" spans="26:75">
      <c r="BP165" t="s">
        <v>580</v>
      </c>
      <c r="BQ165">
        <v>40</v>
      </c>
      <c r="BS165" s="5"/>
      <c r="BT165" s="5"/>
    </row>
    <row r="166" spans="26:75">
      <c r="BP166" t="s">
        <v>583</v>
      </c>
      <c r="BQ166">
        <v>0</v>
      </c>
      <c r="BS166" s="5"/>
      <c r="BT166" s="5"/>
    </row>
    <row r="167" spans="26:75">
      <c r="BS167" s="5"/>
      <c r="BT167" s="5"/>
    </row>
    <row r="168" spans="26:75">
      <c r="BP168" t="s">
        <v>584</v>
      </c>
      <c r="BQ168">
        <v>87576.98</v>
      </c>
      <c r="BS168" s="5"/>
      <c r="BT168" s="5"/>
    </row>
    <row r="169" spans="26:75">
      <c r="BS169" s="5"/>
      <c r="BT169" s="5"/>
    </row>
    <row r="170" spans="26:75">
      <c r="BQ170">
        <v>87576.98</v>
      </c>
      <c r="BS170" s="5"/>
      <c r="BT170" s="5"/>
    </row>
    <row r="171" spans="26:75">
      <c r="BS171" s="5"/>
      <c r="BT171" s="5"/>
    </row>
    <row r="172" spans="26:75">
      <c r="BQ172">
        <v>0</v>
      </c>
      <c r="BS172" s="5"/>
      <c r="BT172" s="5"/>
    </row>
    <row r="173" spans="26:75">
      <c r="BS173" s="5"/>
      <c r="BT173" s="5"/>
    </row>
    <row r="174" spans="26:75">
      <c r="BS174" s="5"/>
      <c r="BT174" s="5"/>
    </row>
    <row r="175" spans="26:75">
      <c r="BS175" s="5"/>
      <c r="BT175" s="5"/>
    </row>
    <row r="176" spans="26:75">
      <c r="BS176" s="5"/>
      <c r="BT176" s="5"/>
    </row>
    <row r="177" spans="71:72">
      <c r="BS177" s="5"/>
      <c r="BT177" s="5"/>
    </row>
    <row r="178" spans="71:72">
      <c r="BS178" s="5"/>
      <c r="BT178" s="5"/>
    </row>
    <row r="179" spans="71:72">
      <c r="BS179" s="5"/>
      <c r="BT179" s="5"/>
    </row>
    <row r="180" spans="71:72">
      <c r="BS180" s="5"/>
      <c r="BT180" s="5"/>
    </row>
    <row r="181" spans="71:72">
      <c r="BS181" s="5"/>
      <c r="BT181" s="5"/>
    </row>
    <row r="182" spans="71:72">
      <c r="BS182" s="5"/>
      <c r="BT182" s="5"/>
    </row>
    <row r="183" spans="71:72">
      <c r="BS183" s="5"/>
      <c r="BT183" s="5"/>
    </row>
    <row r="184" spans="71:72">
      <c r="BS184" s="5"/>
      <c r="BT184" s="5"/>
    </row>
    <row r="185" spans="71:72">
      <c r="BS185" s="5"/>
      <c r="BT185" s="5"/>
    </row>
    <row r="186" spans="71:72">
      <c r="BS186" s="5"/>
      <c r="BT186" s="5"/>
    </row>
    <row r="187" spans="71:72">
      <c r="BS187" s="5"/>
      <c r="BT187" s="5"/>
    </row>
    <row r="188" spans="71:72">
      <c r="BS188" s="5"/>
      <c r="BT188" s="5"/>
    </row>
    <row r="189" spans="71:72">
      <c r="BS189" s="5"/>
      <c r="BT189" s="5"/>
    </row>
  </sheetData>
  <autoFilter xmlns:etc="http://www.wps.cn/officeDocument/2017/etCustomData" ref="B2:BQ172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Summary</vt:lpstr>
      <vt:lpstr>薪酬明细</vt:lpstr>
      <vt:lpstr>Sheet3</vt:lpstr>
      <vt:lpstr>HR|社保明细</vt:lpstr>
      <vt:lpstr>点才基数调整</vt:lpstr>
      <vt:lpstr>HR|社保政策</vt:lpstr>
      <vt:lpstr>hr.个税累计数据</vt:lpstr>
      <vt:lpstr>考勤调整记录</vt:lpstr>
      <vt:lpstr>考勤vlookup工具</vt:lpstr>
      <vt:lpstr>2026年6月考勤汇总</vt:lpstr>
      <vt:lpstr>2026年5月考勤汇总</vt:lpstr>
      <vt:lpstr>天津5月服务费</vt:lpstr>
      <vt:lpstr>透视表-按部门</vt:lpstr>
      <vt:lpstr>透视表-按公司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H₂O</cp:lastModifiedBy>
  <dcterms:created xsi:type="dcterms:W3CDTF">2018-07-22T08:36:00Z</dcterms:created>
  <cp:lastPrinted>2021-03-31T13:03:00Z</cp:lastPrinted>
  <dcterms:modified xsi:type="dcterms:W3CDTF">2026-08-04T16:36:31Z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ICV">
    <vt:lpwstr>8A1EA88844E07B188FA4716AF295BFDD_43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